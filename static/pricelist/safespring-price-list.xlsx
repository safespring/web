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9"/>
  <workbookPr/>
  <mc:AlternateContent xmlns:mc="http://schemas.openxmlformats.org/markup-compatibility/2006">
    <mc:Choice Requires="x15">
      <x15ac:absPath xmlns:x15ac="http://schemas.microsoft.com/office/spreadsheetml/2010/11/ac" url="/Users/marcus/GitHub/web/static/pricelist/"/>
    </mc:Choice>
  </mc:AlternateContent>
  <xr:revisionPtr revIDLastSave="0" documentId="8_{A58753A5-13AE-A045-8507-606447D4E941}" xr6:coauthVersionLast="47" xr6:coauthVersionMax="47" xr10:uidLastSave="{00000000-0000-0000-0000-000000000000}"/>
  <bookViews>
    <workbookView xWindow="0" yWindow="780" windowWidth="36000" windowHeight="22600" tabRatio="500" activeTab="1" xr2:uid="{00000000-000D-0000-FFFF-FFFF00000000}"/>
  </bookViews>
  <sheets>
    <sheet name="EUR - Safespring services 2025" sheetId="1" r:id="rId1"/>
    <sheet name="SEK - Safesprings tjänster 2025" sheetId="2" r:id="rId2"/>
    <sheet name="NOK - Safespring tjenester 2025" sheetId="3" r:id="rId3"/>
    <sheet name="EUR - Safespring services 2021" sheetId="4" state="hidden" r:id="rId4"/>
    <sheet name="NOK - Safesprings tjeneste 2021" sheetId="5" state="hidden" r:id="rId5"/>
    <sheet name="SUNET SEK - priser 2020" sheetId="6" state="hidden" r:id="rId6"/>
    <sheet name="DKK - Safespring-tjenester 2025" sheetId="7" r:id="rId7"/>
    <sheet name="Data" sheetId="8" state="hidden" r:id="rId8"/>
  </sheets>
  <definedNames>
    <definedName name="Antal_instanser" localSheetId="6">'DKK - Safespring-tjenester 2025'!#REF!</definedName>
    <definedName name="Antal_instanser" localSheetId="0">'EUR - Safespring services 2025'!#REF!</definedName>
    <definedName name="Antal_instanser" localSheetId="2">'NOK - Safespring tjenester 2025'!#REF!</definedName>
    <definedName name="Antal_instanser">'SEK - Safesprings tjänster 2025'!#REF!</definedName>
    <definedName name="BAAS_large_EUR">Data!$F$27</definedName>
    <definedName name="BAAS_large_SEK">Data!$E$27</definedName>
    <definedName name="BAAS_large.fee_EUR">Data!$F$25</definedName>
    <definedName name="BAAS_large.fee_SEK">Data!$E$25</definedName>
    <definedName name="BAAS_on.demand_EUR">Data!$F$23</definedName>
    <definedName name="BAAS_on.demand_SEK">Data!$E$23</definedName>
    <definedName name="BAAS_small_EUR">Data!$F$26</definedName>
    <definedName name="BAAS_small_SEK">Data!$E$26</definedName>
    <definedName name="BAAS_small.fee_EUR">Data!$F$24</definedName>
    <definedName name="BAAS_small.fee_SEK">Data!$E$24</definedName>
    <definedName name="Disk__GB" localSheetId="6">'DKK - Safespring-tjenester 2025'!#REF!</definedName>
    <definedName name="Disk__GB" localSheetId="0">'EUR - Safespring services 2025'!#REF!</definedName>
    <definedName name="Disk__GB" localSheetId="2">'NOK - Safespring tjenester 2025'!#REF!</definedName>
    <definedName name="Disk__GB">'SEK - Safesprings tjänster 2025'!#REF!</definedName>
    <definedName name="EUR">Data!$K$4</definedName>
    <definedName name="IAAS_GPU_A2_EUR">Data!$F$9</definedName>
    <definedName name="IAAS_GPU_A2_SEK">Data!$E$9</definedName>
    <definedName name="IAAS_gpu_EUR">Data!$F$7</definedName>
    <definedName name="IAAS_GPU_H100_EUR">Data!$F$10</definedName>
    <definedName name="IAAS_GPU_H100_SEK">Data!$E$10</definedName>
    <definedName name="IAAS_gpu_SEK">Data!$E$7</definedName>
    <definedName name="IAAS_gpu_SUNET">Data!$G$7</definedName>
    <definedName name="IAAS_nvme_EUR">Data!$F$6</definedName>
    <definedName name="IAAS_nvme_SEK">Data!$E$6</definedName>
    <definedName name="IAAS_nvme_SUNET">Data!$G$6</definedName>
    <definedName name="IAAS_pcpu_EUR">Data!$F$8</definedName>
    <definedName name="IAAS_pcpu_SEK">Data!$E$8</definedName>
    <definedName name="IAAS_pcpu_SUNET">Data!$G$8</definedName>
    <definedName name="IAAS_ram_EUR">Data!$F$3</definedName>
    <definedName name="IAAS_ram_SEK">Data!$E$3</definedName>
    <definedName name="IAAS_ram_SUNET">Data!$G$3</definedName>
    <definedName name="IAAS_ram_sunet_b_m">Data!$G$9</definedName>
    <definedName name="IAAS_ssd_EUR">Data!$F$4</definedName>
    <definedName name="IAAS_ssd_SEK">Data!$E$4</definedName>
    <definedName name="IAAS_ssd_SUNET">Data!$G$11</definedName>
    <definedName name="IAAS_vcpu_EUR">Data!$F$5</definedName>
    <definedName name="IAAS_vcpu_SEK">Data!$E$5</definedName>
    <definedName name="IAAS_vcpu_SUNET">Data!$G$5</definedName>
    <definedName name="IAAS_vcpu_sunet_b_m">Data!$G$10</definedName>
    <definedName name="INSTANCE_p1.2xlarge.16d_EUR">Data!$F$14</definedName>
    <definedName name="INSTANCE_p1.2xlarge.16d_SEK">Data!$E$14</definedName>
    <definedName name="INSTANCE_p1.4xlarge.16d_EUR">Data!$F$15</definedName>
    <definedName name="INSTANCE_p1.4xlarge.16d_SEK">Data!$E$15</definedName>
    <definedName name="INSTANCE_p1.8xlarge.32d_EUR">Data!$F$16</definedName>
    <definedName name="INSTANCE_p1.8xlarge.32d_SEK">Data!$E$16</definedName>
    <definedName name="list_Antal_instanser" localSheetId="6">'DKK - Safespring-tjenester 2025'!#REF!</definedName>
    <definedName name="list_Antal_instanser" localSheetId="0">'EUR - Safespring services 2025'!#REF!</definedName>
    <definedName name="list_Antal_instanser" localSheetId="2">'NOK - Safespring tjenester 2025'!#REF!</definedName>
    <definedName name="list_Antal_instanser">'SEK - Safesprings tjänster 2025'!#REF!</definedName>
    <definedName name="list_Disk__GB" localSheetId="6">'DKK - Safespring-tjenester 2025'!#REF!</definedName>
    <definedName name="list_Disk__GB" localSheetId="0">'EUR - Safespring services 2025'!#REF!</definedName>
    <definedName name="list_Disk__GB" localSheetId="2">'NOK - Safespring tjenester 2025'!#REF!</definedName>
    <definedName name="list_Disk__GB">'SEK - Safesprings tjänster 2025'!#REF!</definedName>
    <definedName name="list_RAM__GB" localSheetId="6">'DKK - Safespring-tjenester 2025'!#REF!</definedName>
    <definedName name="list_RAM__GB" localSheetId="0">'EUR - Safespring services 2025'!#REF!</definedName>
    <definedName name="list_RAM__GB" localSheetId="2">'NOK - Safespring tjenester 2025'!#REF!</definedName>
    <definedName name="list_RAM__GB">'SEK - Safesprings tjänster 2025'!#REF!</definedName>
    <definedName name="list_vCPU" localSheetId="6">'DKK - Safespring-tjenester 2025'!#REF!</definedName>
    <definedName name="list_vCPU" localSheetId="0">'EUR - Safespring services 2025'!#REF!</definedName>
    <definedName name="list_vCPU" localSheetId="2">'NOK - Safespring tjenester 2025'!#REF!</definedName>
    <definedName name="list_vCPU">'SEK - Safesprings tjänster 2025'!#REF!</definedName>
    <definedName name="NET_byoip_EUR">Data!$F$49</definedName>
    <definedName name="NET_byoip_SEK">Data!$E$49</definedName>
    <definedName name="NET_egress_EUR">Data!$F$45</definedName>
    <definedName name="NET_egress_SEK">Data!$E$45</definedName>
    <definedName name="NET_ingress_EUR">Data!$F$44</definedName>
    <definedName name="NET_ingress_SEK">Data!$E$44</definedName>
    <definedName name="NET_mgn.slb_EUR">Data!$F$46</definedName>
    <definedName name="NET_mgn.slb_SEK">Data!$E$46</definedName>
    <definedName name="NET_publicv4_EUR">Data!$F$42</definedName>
    <definedName name="NET_publicv4_SEK">Data!$E$42</definedName>
    <definedName name="NET_publicv6_EUR">Data!$F$43</definedName>
    <definedName name="NET_publicv6_SEK">Data!$E$43</definedName>
    <definedName name="NET_rdns_EUR">Data!$F$47</definedName>
    <definedName name="NET_rdns_SEK">Data!$E$47</definedName>
    <definedName name="NET_saferoute_EUR">Data!$F$48</definedName>
    <definedName name="NET_saferoute_SEK">Data!$E$48</definedName>
    <definedName name="NOK">Data!$K$5</definedName>
    <definedName name="PAAS_man.elasticsearch_EUR">Data!$F$64</definedName>
    <definedName name="PAAS_man.elasticsearch_SEK">Data!$E$64</definedName>
    <definedName name="PAAS_man.kubernetes_EUR">Data!$F$62</definedName>
    <definedName name="PAAS_man.kubernetes_SEK">Data!$E$62</definedName>
    <definedName name="PAAS_man.kubernetes24_EUR">Data!$F$62</definedName>
    <definedName name="PAAS_man.kubernetes24_SEK">Data!$E$62</definedName>
    <definedName name="PAAS_man.kubernetes8_EUR">Data!$F$63</definedName>
    <definedName name="PAAS_man.kubernetes8_SEK">Data!$E$63</definedName>
    <definedName name="PAAS_man.mariadb_EUR">Data!$F$67</definedName>
    <definedName name="PAAS_man.mariadb_SEK">Data!$E$67</definedName>
    <definedName name="PAAS_man.nats_EUR">Data!$F$66</definedName>
    <definedName name="PAAS_man.nats_SEK">Data!$E$66</definedName>
    <definedName name="PAAS_man.postgres.sql_EUR">Data!$F$63</definedName>
    <definedName name="PAAS_man.postgres.sql_SEK">Data!$E$63</definedName>
    <definedName name="PAAS_man.redis_EUR">Data!$F$65</definedName>
    <definedName name="PAAS_man.redis_SEK">Data!$E$65</definedName>
    <definedName name="PAAS_openshift_EUR">Data!$F$68</definedName>
    <definedName name="PAAS_openshift_SEK">Data!$E$68</definedName>
    <definedName name="PRICE_total">'EUR - Safespring services 2021'!#REF!</definedName>
    <definedName name="PS_cloudarch.jun_EUR">Data!$F$73</definedName>
    <definedName name="PS_cloudarch.jun_SEK">Data!$E$73</definedName>
    <definedName name="PS_cloudarch.sen_EUR">Data!$F$74</definedName>
    <definedName name="PS_cloudarch.sen_SEK">Data!$E$74</definedName>
    <definedName name="PS_consult.jun_EUR">Data!$F$71</definedName>
    <definedName name="PS_consult.jun_SEK">Data!$E$71</definedName>
    <definedName name="PS_consult.sen_EUR">Data!$F$72</definedName>
    <definedName name="PS_consult.sen_SEK">Data!$E$72</definedName>
    <definedName name="PS_pm.jun_EUR">Data!$F$75</definedName>
    <definedName name="PS_pm.jun_SEK">Data!$E$75</definedName>
    <definedName name="PS_pm.sen_EUR">Data!$F$76</definedName>
    <definedName name="PS_pm.sen_SEK">Data!$E$76</definedName>
    <definedName name="RAM__GB" localSheetId="6">'DKK - Safespring-tjenester 2025'!#REF!</definedName>
    <definedName name="RAM__GB" localSheetId="0">'EUR - Safespring services 2025'!#REF!</definedName>
    <definedName name="RAM__GB" localSheetId="2">'NOK - Safespring tjenester 2025'!#REF!</definedName>
    <definedName name="RAM__GB">'SEK - Safesprings tjänster 2025'!#REF!</definedName>
    <definedName name="S3_archive.100_EUR">Data!$F$36</definedName>
    <definedName name="S3_archive.100_SEK">Data!$E$36</definedName>
    <definedName name="S3_archive.100_SUNET">Data!$G$36</definedName>
    <definedName name="S3_archive.1000_EUR">Data!$F$38</definedName>
    <definedName name="S3_archive.1000_SEK">Data!$E$38</definedName>
    <definedName name="S3_archive.1000_SUNET">Data!$G$38</definedName>
    <definedName name="S3_archive.50_EUR">Data!$F$35</definedName>
    <definedName name="S3_archive.50_SEK">Data!$E$35</definedName>
    <definedName name="S3_archive.50_SUNET">Data!$G$35</definedName>
    <definedName name="S3_archive.500_EUR">Data!$F$37</definedName>
    <definedName name="S3_archive.500_SEK">Data!$E$37</definedName>
    <definedName name="S3_archive.500_SUNET">Data!$G$37</definedName>
    <definedName name="S3_archive.quote_EUR">Data!$F$39</definedName>
    <definedName name="S3_archive.quote_SEK">Data!$E$39</definedName>
    <definedName name="S3_archive.quote_SUNET">Data!$G$39</definedName>
    <definedName name="S3_archive100">Data!$E$36</definedName>
    <definedName name="S3_storage.100_EUR">Data!$F$36</definedName>
    <definedName name="S3_storage.100_SEK">Data!$E$36</definedName>
    <definedName name="S3_storage.100_SUNET">Data!$G$36</definedName>
    <definedName name="S3_storage.1000_EUR">Data!$F$38</definedName>
    <definedName name="S3_storage.1000_SEK">Data!$E$38</definedName>
    <definedName name="S3_storage.1000_SUNET">Data!$G$38</definedName>
    <definedName name="S3_storage.50_EUR">Data!$F$35</definedName>
    <definedName name="S3_storage.50_SEK">Data!$E$35</definedName>
    <definedName name="S3_storage.50_SUNET">Data!$G$35</definedName>
    <definedName name="S3_storage.500_EUR">Data!$F$37</definedName>
    <definedName name="S3_storage.500_SEK">Data!$E$37</definedName>
    <definedName name="S3_storage.500_SUNET">Data!$G$37</definedName>
    <definedName name="S3_storage.quote_EUR">Data!$F$39</definedName>
    <definedName name="S3_storage.quote_SEK">Data!$E$39</definedName>
    <definedName name="S3_storage.quote_SUNET">Data!$G$39</definedName>
    <definedName name="S3_storage100_EUR">Data!$F$31</definedName>
    <definedName name="S3_storage100_SEK">Data!$E$31</definedName>
    <definedName name="S3_storage1000_EUR">Data!$F$33</definedName>
    <definedName name="S3_storage1000_SEK">Data!$E$33</definedName>
    <definedName name="S3_storage50">Data!$E$30</definedName>
    <definedName name="S3_storage50_EUR">Data!$F$30</definedName>
    <definedName name="S3_storage50_SEK">Data!$E$30</definedName>
    <definedName name="S3_storage500_EUR">Data!$F$32</definedName>
    <definedName name="S3_storage500_SEK">Data!$E$32</definedName>
    <definedName name="S3.archive.50">Data!$E$35</definedName>
    <definedName name="Safespring.price.increase">Data!$K$14</definedName>
    <definedName name="SEK">Data!$K$3</definedName>
    <definedName name="sunet.price.increase">Data!$K$15</definedName>
    <definedName name="SW_backup.ninja_EUR">Data!$F$59</definedName>
    <definedName name="SW_backup.ninja_SEK">Data!$E$59</definedName>
    <definedName name="SW_cluster.control_EUR">Data!$F$58</definedName>
    <definedName name="SW_cluster.control_SEK">Data!$E$58</definedName>
    <definedName name="SW_ms.sql.ser_EUR">Data!$F$53</definedName>
    <definedName name="SW_ms.sql.ser_SEK">Data!$E$53</definedName>
    <definedName name="SW_ms.sql.ser.ent_EUR">Data!$F$54</definedName>
    <definedName name="SW_ms.sql.ser.ent_SEK">Data!$E$54</definedName>
    <definedName name="SW_nextcloud_EUR">Data!$F$56</definedName>
    <definedName name="SW_nextcloud_SEK">Data!$E$56</definedName>
    <definedName name="SW_stackn_EUR">Data!$F$55</definedName>
    <definedName name="SW_stackn_SEK">Data!$E$55</definedName>
    <definedName name="SW_suse_EUR">Data!$F$57</definedName>
    <definedName name="SW_suse_SEK">Data!$E$57</definedName>
    <definedName name="SW_suse_SEUR">Data!$F$57</definedName>
    <definedName name="SW_win.ser.201X_EUR">Data!$F$52</definedName>
    <definedName name="SW_win.ser.201X_SEK">Data!$E$52</definedName>
    <definedName name="_xlnm.Print_Area" localSheetId="6">'DKK - Safespring-tjenester 2025'!$A$3:$L$239</definedName>
    <definedName name="_xlnm.Print_Area" localSheetId="3">'EUR - Safespring services 2021'!$I$43:$I$65</definedName>
    <definedName name="_xlnm.Print_Area" localSheetId="0">'EUR - Safespring services 2025'!$A$3:$L$226</definedName>
    <definedName name="_xlnm.Print_Area" localSheetId="2">'NOK - Safespring tjenester 2025'!$A$1:$L$249</definedName>
    <definedName name="_xlnm.Print_Area" localSheetId="4">'NOK - Safesprings tjeneste 2021'!$A$1:$N$305</definedName>
    <definedName name="_xlnm.Print_Area" localSheetId="1">'SEK - Safesprings tjänster 2025'!$A$1:$L$224</definedName>
    <definedName name="_xlnm.Print_Area" localSheetId="5">'SUNET SEK - priser 2020'!$A$1:$N$246</definedName>
    <definedName name="vCPU" localSheetId="6">'DKK - Safespring-tjenester 2025'!#REF!</definedName>
    <definedName name="vCPU" localSheetId="0">'EUR - Safespring services 2025'!#REF!</definedName>
    <definedName name="vCPU" localSheetId="2">'NOK - Safespring tjenester 2025'!#REF!</definedName>
    <definedName name="vCPU">'SEK - Safesprings tjänster 2025'!#REF!</definedName>
    <definedName name="VOLUME_fast_EUR">Data!$F$20</definedName>
    <definedName name="VOLUME_fast_SEK">Data!$E$20</definedName>
    <definedName name="VOLUME_fast_SUNET">Data!$G$20</definedName>
    <definedName name="VOLUME_large_EUR">Data!$F$19</definedName>
    <definedName name="VOLUME_large_SEK">Data!$E$19</definedName>
    <definedName name="VOLUME_large_SUNET">Data!$G$19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7" i="7" l="1"/>
  <c r="K26" i="7"/>
  <c r="G26" i="7"/>
  <c r="K25" i="7"/>
  <c r="K27" i="7" s="1"/>
  <c r="G25" i="7"/>
  <c r="I27" i="3"/>
  <c r="K26" i="3"/>
  <c r="G26" i="3"/>
  <c r="K25" i="3"/>
  <c r="K27" i="3" s="1"/>
  <c r="G25" i="3"/>
  <c r="I27" i="1"/>
  <c r="K26" i="1"/>
  <c r="G26" i="1"/>
  <c r="K25" i="1"/>
  <c r="G25" i="1"/>
  <c r="E27" i="2" a="1"/>
  <c r="D27" i="2" a="1"/>
  <c r="C27" i="2" a="1"/>
  <c r="I27" i="2"/>
  <c r="H83" i="7"/>
  <c r="H82" i="7"/>
  <c r="H81" i="7"/>
  <c r="G81" i="7"/>
  <c r="H80" i="7"/>
  <c r="G80" i="7"/>
  <c r="H79" i="7"/>
  <c r="G79" i="7"/>
  <c r="H83" i="3"/>
  <c r="G83" i="3" s="1"/>
  <c r="H82" i="3"/>
  <c r="G82" i="3" s="1"/>
  <c r="H81" i="3"/>
  <c r="G81" i="3" s="1"/>
  <c r="H80" i="3"/>
  <c r="G80" i="3" s="1"/>
  <c r="H79" i="3"/>
  <c r="G79" i="3" s="1"/>
  <c r="K157" i="2"/>
  <c r="K158" i="2"/>
  <c r="K159" i="2"/>
  <c r="K160" i="2"/>
  <c r="K135" i="1"/>
  <c r="K136" i="1"/>
  <c r="K137" i="1"/>
  <c r="K138" i="1"/>
  <c r="K139" i="1"/>
  <c r="K140" i="1"/>
  <c r="K148" i="1"/>
  <c r="K149" i="1"/>
  <c r="K150" i="1"/>
  <c r="K157" i="1"/>
  <c r="K158" i="1"/>
  <c r="K159" i="1"/>
  <c r="K160" i="1"/>
  <c r="K161" i="1"/>
  <c r="I84" i="1"/>
  <c r="H80" i="1"/>
  <c r="H81" i="1"/>
  <c r="H82" i="1"/>
  <c r="H83" i="1"/>
  <c r="H79" i="1"/>
  <c r="H83" i="2"/>
  <c r="H82" i="2"/>
  <c r="E10" i="8"/>
  <c r="F10" i="8"/>
  <c r="G10" i="8"/>
  <c r="E11" i="8"/>
  <c r="F11" i="8"/>
  <c r="G11" i="8"/>
  <c r="H79" i="2"/>
  <c r="H80" i="2"/>
  <c r="H81" i="2"/>
  <c r="F76" i="8"/>
  <c r="E76" i="8"/>
  <c r="F75" i="8"/>
  <c r="E75" i="8"/>
  <c r="F74" i="8"/>
  <c r="E74" i="8"/>
  <c r="F73" i="8"/>
  <c r="E73" i="8"/>
  <c r="F72" i="8"/>
  <c r="E72" i="8"/>
  <c r="F71" i="8"/>
  <c r="E71" i="8"/>
  <c r="F59" i="8"/>
  <c r="E59" i="8"/>
  <c r="F54" i="8"/>
  <c r="E54" i="8"/>
  <c r="F53" i="8"/>
  <c r="E53" i="8"/>
  <c r="F52" i="8"/>
  <c r="E52" i="8"/>
  <c r="F49" i="8"/>
  <c r="E49" i="8"/>
  <c r="E48" i="8"/>
  <c r="F47" i="8"/>
  <c r="E47" i="8"/>
  <c r="F46" i="8"/>
  <c r="E46" i="8"/>
  <c r="F45" i="8"/>
  <c r="E45" i="8"/>
  <c r="F44" i="8"/>
  <c r="E44" i="8"/>
  <c r="F43" i="8"/>
  <c r="E43" i="8"/>
  <c r="F42" i="8"/>
  <c r="E42" i="8"/>
  <c r="E39" i="8"/>
  <c r="F38" i="8"/>
  <c r="E38" i="8"/>
  <c r="F37" i="8"/>
  <c r="E37" i="8"/>
  <c r="F36" i="8"/>
  <c r="E36" i="8"/>
  <c r="F35" i="8"/>
  <c r="E35" i="8"/>
  <c r="G34" i="8"/>
  <c r="E34" i="8"/>
  <c r="F33" i="8"/>
  <c r="E33" i="8"/>
  <c r="F32" i="8"/>
  <c r="E32" i="8"/>
  <c r="F31" i="8"/>
  <c r="E31" i="8"/>
  <c r="F30" i="8"/>
  <c r="E30" i="8"/>
  <c r="F27" i="8"/>
  <c r="E27" i="8"/>
  <c r="F26" i="8"/>
  <c r="E26" i="8"/>
  <c r="F25" i="8"/>
  <c r="E25" i="8"/>
  <c r="F24" i="8"/>
  <c r="E24" i="8"/>
  <c r="F23" i="8"/>
  <c r="E23" i="8"/>
  <c r="G20" i="8"/>
  <c r="F20" i="8"/>
  <c r="E20" i="8"/>
  <c r="G19" i="8"/>
  <c r="F19" i="8"/>
  <c r="E19" i="8"/>
  <c r="F15" i="8"/>
  <c r="E15" i="8"/>
  <c r="D14" i="8"/>
  <c r="G9" i="8"/>
  <c r="F9" i="8"/>
  <c r="E9" i="8"/>
  <c r="G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K201" i="7"/>
  <c r="K200" i="7"/>
  <c r="K199" i="7"/>
  <c r="K198" i="7"/>
  <c r="K197" i="7"/>
  <c r="K196" i="7"/>
  <c r="K161" i="7"/>
  <c r="K160" i="7"/>
  <c r="K159" i="7"/>
  <c r="K151" i="7"/>
  <c r="K149" i="7"/>
  <c r="K148" i="7"/>
  <c r="K147" i="7"/>
  <c r="K146" i="7"/>
  <c r="K133" i="7"/>
  <c r="G133" i="7"/>
  <c r="G132" i="7"/>
  <c r="I120" i="7"/>
  <c r="K119" i="7"/>
  <c r="G119" i="7"/>
  <c r="E119" i="7"/>
  <c r="K118" i="7"/>
  <c r="G118" i="7"/>
  <c r="E118" i="7"/>
  <c r="G117" i="7"/>
  <c r="G104" i="7"/>
  <c r="G103" i="7"/>
  <c r="I92" i="7"/>
  <c r="H91" i="7"/>
  <c r="G91" i="7"/>
  <c r="H90" i="7"/>
  <c r="H89" i="7"/>
  <c r="G89" i="7" s="1"/>
  <c r="I84" i="7"/>
  <c r="E84" i="7" a="1"/>
  <c r="E84" i="7" s="1"/>
  <c r="D84" i="7" a="1"/>
  <c r="D84" i="7" s="1"/>
  <c r="C84" i="7" a="1"/>
  <c r="C84" i="7" s="1"/>
  <c r="I72" i="7"/>
  <c r="I55" i="7"/>
  <c r="H137" i="6"/>
  <c r="N136" i="6"/>
  <c r="F136" i="6"/>
  <c r="N135" i="6"/>
  <c r="F135" i="6"/>
  <c r="F134" i="6"/>
  <c r="K121" i="6" a="1"/>
  <c r="K121" i="6"/>
  <c r="F121" i="6" a="1"/>
  <c r="F121" i="6"/>
  <c r="D116" i="6"/>
  <c r="D115" i="6"/>
  <c r="D114" i="6"/>
  <c r="D113" i="6"/>
  <c r="J101" i="6"/>
  <c r="F100" i="6"/>
  <c r="E100" i="6"/>
  <c r="F99" i="6"/>
  <c r="E99" i="6"/>
  <c r="K94" i="6"/>
  <c r="J94" i="6"/>
  <c r="I94" i="6"/>
  <c r="N93" i="6"/>
  <c r="N92" i="6"/>
  <c r="L92" i="6"/>
  <c r="H92" i="6"/>
  <c r="G92" i="6"/>
  <c r="N91" i="6"/>
  <c r="K86" i="6"/>
  <c r="J86" i="6"/>
  <c r="I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K60" i="6"/>
  <c r="J60" i="6"/>
  <c r="I60" i="6"/>
  <c r="N59" i="6"/>
  <c r="N58" i="6"/>
  <c r="N57" i="6"/>
  <c r="N56" i="6"/>
  <c r="N55" i="6"/>
  <c r="K36" i="6"/>
  <c r="J36" i="6"/>
  <c r="I36" i="6"/>
  <c r="N35" i="6"/>
  <c r="N34" i="6"/>
  <c r="N33" i="6"/>
  <c r="N32" i="6"/>
  <c r="N31" i="6"/>
  <c r="N30" i="6"/>
  <c r="N29" i="6"/>
  <c r="N28" i="6"/>
  <c r="N27" i="6"/>
  <c r="N26" i="6"/>
  <c r="N25" i="6"/>
  <c r="L225" i="5"/>
  <c r="M196" i="5"/>
  <c r="M195" i="5"/>
  <c r="M194" i="5"/>
  <c r="M193" i="5"/>
  <c r="M192" i="5"/>
  <c r="M191" i="5"/>
  <c r="M168" i="5"/>
  <c r="M167" i="5"/>
  <c r="M162" i="5"/>
  <c r="M161" i="5"/>
  <c r="M160" i="5"/>
  <c r="M159" i="5"/>
  <c r="M158" i="5"/>
  <c r="M157" i="5"/>
  <c r="M156" i="5"/>
  <c r="M155" i="5"/>
  <c r="M151" i="5"/>
  <c r="M150" i="5"/>
  <c r="M149" i="5"/>
  <c r="M148" i="5"/>
  <c r="M147" i="5"/>
  <c r="M146" i="5"/>
  <c r="M145" i="5"/>
  <c r="H127" i="5"/>
  <c r="M126" i="5"/>
  <c r="F126" i="5"/>
  <c r="M125" i="5"/>
  <c r="F111" i="5" a="1"/>
  <c r="D107" i="5"/>
  <c r="D106" i="5"/>
  <c r="D105" i="5"/>
  <c r="D104" i="5"/>
  <c r="D103" i="5"/>
  <c r="I91" i="5"/>
  <c r="F90" i="5"/>
  <c r="E90" i="5"/>
  <c r="F89" i="5"/>
  <c r="E89" i="5"/>
  <c r="J84" i="5"/>
  <c r="I84" i="5"/>
  <c r="M83" i="5"/>
  <c r="M82" i="5"/>
  <c r="K82" i="5"/>
  <c r="H82" i="5"/>
  <c r="G82" i="5"/>
  <c r="M81" i="5"/>
  <c r="J76" i="5"/>
  <c r="I76" i="5"/>
  <c r="M75" i="5"/>
  <c r="M74" i="5"/>
  <c r="K74" i="5"/>
  <c r="M73" i="5"/>
  <c r="M72" i="5"/>
  <c r="K72" i="5"/>
  <c r="I67" i="5"/>
  <c r="E67" i="5" a="1"/>
  <c r="D67" i="5" a="1"/>
  <c r="D67" i="5"/>
  <c r="C67" i="5" a="1"/>
  <c r="C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G52" i="5"/>
  <c r="H51" i="5"/>
  <c r="H50" i="5"/>
  <c r="H49" i="5"/>
  <c r="H48" i="5"/>
  <c r="H47" i="5"/>
  <c r="H46" i="5"/>
  <c r="H45" i="5"/>
  <c r="H44" i="5"/>
  <c r="H43" i="5"/>
  <c r="I38" i="5"/>
  <c r="E38" i="5" a="1"/>
  <c r="D38" i="5" a="1"/>
  <c r="D38" i="5"/>
  <c r="C38" i="5" a="1"/>
  <c r="C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D11" i="5"/>
  <c r="L228" i="4"/>
  <c r="F227" i="4"/>
  <c r="L202" i="4"/>
  <c r="L201" i="4"/>
  <c r="L200" i="4"/>
  <c r="L199" i="4"/>
  <c r="L198" i="4"/>
  <c r="L197" i="4"/>
  <c r="L178" i="4"/>
  <c r="L177" i="4"/>
  <c r="L176" i="4"/>
  <c r="L175" i="4"/>
  <c r="L174" i="4"/>
  <c r="L173" i="4"/>
  <c r="L168" i="4"/>
  <c r="L167" i="4"/>
  <c r="L166" i="4"/>
  <c r="L165" i="4"/>
  <c r="L164" i="4"/>
  <c r="L163" i="4"/>
  <c r="L162" i="4"/>
  <c r="L161" i="4"/>
  <c r="L157" i="4"/>
  <c r="L156" i="4"/>
  <c r="L155" i="4"/>
  <c r="L154" i="4"/>
  <c r="L153" i="4"/>
  <c r="L152" i="4"/>
  <c r="L151" i="4"/>
  <c r="H133" i="4"/>
  <c r="M132" i="4"/>
  <c r="F132" i="4"/>
  <c r="D132" i="4"/>
  <c r="M131" i="4"/>
  <c r="F131" i="4"/>
  <c r="D131" i="4"/>
  <c r="F130" i="4"/>
  <c r="D117" i="4"/>
  <c r="D116" i="4"/>
  <c r="D115" i="4"/>
  <c r="D114" i="4"/>
  <c r="D113" i="4"/>
  <c r="E112" i="4" a="1"/>
  <c r="D108" i="4"/>
  <c r="D107" i="4"/>
  <c r="D106" i="4"/>
  <c r="D105" i="4"/>
  <c r="D104" i="4"/>
  <c r="E103" i="4" a="1"/>
  <c r="I91" i="4"/>
  <c r="F90" i="4"/>
  <c r="F89" i="4"/>
  <c r="J84" i="4"/>
  <c r="I84" i="4"/>
  <c r="M83" i="4"/>
  <c r="M82" i="4"/>
  <c r="K82" i="4"/>
  <c r="H82" i="4"/>
  <c r="M81" i="4"/>
  <c r="J76" i="4"/>
  <c r="I76" i="4"/>
  <c r="M75" i="4"/>
  <c r="H75" i="4"/>
  <c r="I67" i="4"/>
  <c r="E67" i="4" a="1"/>
  <c r="E67" i="4"/>
  <c r="D67" i="4" a="1"/>
  <c r="D67" i="4"/>
  <c r="C67" i="4" a="1"/>
  <c r="C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4" i="4"/>
  <c r="G44" i="4"/>
  <c r="H43" i="4"/>
  <c r="G43" i="4"/>
  <c r="I38" i="4"/>
  <c r="E38" i="4" a="1"/>
  <c r="E38" i="4"/>
  <c r="D38" i="4" a="1"/>
  <c r="D38" i="4"/>
  <c r="C38" i="4" a="1"/>
  <c r="C38" i="4"/>
  <c r="H37" i="4"/>
  <c r="G37" i="4"/>
  <c r="H36" i="4"/>
  <c r="G36" i="4"/>
  <c r="H35" i="4"/>
  <c r="G35" i="4"/>
  <c r="H34" i="4"/>
  <c r="G34" i="4"/>
  <c r="J26" i="4"/>
  <c r="D11" i="4"/>
  <c r="K211" i="3"/>
  <c r="K210" i="3"/>
  <c r="K209" i="3"/>
  <c r="K208" i="3"/>
  <c r="K207" i="3"/>
  <c r="K206" i="3"/>
  <c r="K173" i="3"/>
  <c r="K172" i="3"/>
  <c r="K171" i="3"/>
  <c r="K163" i="3"/>
  <c r="K161" i="3"/>
  <c r="K160" i="3"/>
  <c r="K159" i="3"/>
  <c r="K158" i="3"/>
  <c r="K144" i="3"/>
  <c r="K143" i="3"/>
  <c r="I131" i="3"/>
  <c r="K130" i="3"/>
  <c r="G130" i="3"/>
  <c r="K129" i="3"/>
  <c r="G129" i="3"/>
  <c r="G128" i="3"/>
  <c r="D116" i="3"/>
  <c r="D115" i="3"/>
  <c r="D114" i="3"/>
  <c r="D113" i="3"/>
  <c r="D112" i="3"/>
  <c r="E111" i="3" a="1"/>
  <c r="E111" i="3" s="1"/>
  <c r="G106" i="3"/>
  <c r="G105" i="3"/>
  <c r="I94" i="3"/>
  <c r="H93" i="3"/>
  <c r="H92" i="3"/>
  <c r="H91" i="3"/>
  <c r="G91" i="3"/>
  <c r="I84" i="3"/>
  <c r="E84" i="3" a="1"/>
  <c r="E84" i="3" s="1"/>
  <c r="D84" i="3" a="1"/>
  <c r="D84" i="3" s="1"/>
  <c r="C84" i="3" a="1"/>
  <c r="C84" i="3" s="1"/>
  <c r="I72" i="3"/>
  <c r="I55" i="3"/>
  <c r="K188" i="1"/>
  <c r="K187" i="1"/>
  <c r="K186" i="1"/>
  <c r="K185" i="1"/>
  <c r="K184" i="1"/>
  <c r="K183" i="1"/>
  <c r="K163" i="1"/>
  <c r="K162" i="1"/>
  <c r="I123" i="1"/>
  <c r="K122" i="1"/>
  <c r="G122" i="1"/>
  <c r="E122" i="1"/>
  <c r="K121" i="1"/>
  <c r="G121" i="1"/>
  <c r="E121" i="1"/>
  <c r="G120" i="1"/>
  <c r="G107" i="1"/>
  <c r="G106" i="1"/>
  <c r="I94" i="1"/>
  <c r="G93" i="1"/>
  <c r="G92" i="1"/>
  <c r="G91" i="1"/>
  <c r="E84" i="1" a="1"/>
  <c r="E84" i="1" s="1"/>
  <c r="D84" i="1" a="1"/>
  <c r="D84" i="1" s="1"/>
  <c r="C84" i="1" a="1"/>
  <c r="C84" i="1" s="1"/>
  <c r="I72" i="1"/>
  <c r="I55" i="1"/>
  <c r="K186" i="2"/>
  <c r="K185" i="2"/>
  <c r="K184" i="2"/>
  <c r="K183" i="2"/>
  <c r="K182" i="2"/>
  <c r="K181" i="2"/>
  <c r="K156" i="2"/>
  <c r="K155" i="2"/>
  <c r="K148" i="2"/>
  <c r="K147" i="2"/>
  <c r="K146" i="2"/>
  <c r="K138" i="2"/>
  <c r="K137" i="2"/>
  <c r="K136" i="2"/>
  <c r="K135" i="2"/>
  <c r="K134" i="2"/>
  <c r="K133" i="2"/>
  <c r="I121" i="2"/>
  <c r="K120" i="2"/>
  <c r="G120" i="2"/>
  <c r="K119" i="2"/>
  <c r="G119" i="2"/>
  <c r="G118" i="2"/>
  <c r="G106" i="2"/>
  <c r="G105" i="2"/>
  <c r="I94" i="2"/>
  <c r="H93" i="2"/>
  <c r="H92" i="2"/>
  <c r="H91" i="2"/>
  <c r="G91" i="2"/>
  <c r="I84" i="2"/>
  <c r="E84" i="2" a="1"/>
  <c r="D84" i="2" a="1"/>
  <c r="C84" i="2" a="1"/>
  <c r="I72" i="2"/>
  <c r="D72" i="2" a="1"/>
  <c r="C72" i="2" a="1"/>
  <c r="H71" i="2"/>
  <c r="K71" i="2" s="1"/>
  <c r="H70" i="2"/>
  <c r="H69" i="2"/>
  <c r="H68" i="2"/>
  <c r="H67" i="2"/>
  <c r="H66" i="2"/>
  <c r="H65" i="2"/>
  <c r="H64" i="2"/>
  <c r="H63" i="2"/>
  <c r="H62" i="2"/>
  <c r="I55" i="2"/>
  <c r="E55" i="2" a="1"/>
  <c r="D55" i="2" a="1"/>
  <c r="C55" i="2" a="1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G92" i="2"/>
  <c r="K26" i="2"/>
  <c r="K25" i="2"/>
  <c r="G25" i="2"/>
  <c r="G26" i="2"/>
  <c r="G93" i="3"/>
  <c r="G92" i="3"/>
  <c r="G82" i="7"/>
  <c r="G83" i="7"/>
  <c r="G90" i="7"/>
  <c r="G68" i="2"/>
  <c r="G93" i="2"/>
  <c r="G67" i="2"/>
  <c r="G83" i="2"/>
  <c r="F92" i="1"/>
  <c r="H87" i="2"/>
  <c r="G82" i="2"/>
  <c r="G79" i="2"/>
  <c r="G81" i="2"/>
  <c r="G62" i="2"/>
  <c r="G66" i="2"/>
  <c r="G51" i="2"/>
  <c r="K51" i="2"/>
  <c r="G48" i="8"/>
  <c r="G39" i="8"/>
  <c r="D117" i="6" s="1"/>
  <c r="D16" i="8"/>
  <c r="F14" i="8"/>
  <c r="H81" i="4" s="1"/>
  <c r="E14" i="8"/>
  <c r="K10" i="8"/>
  <c r="K9" i="8"/>
  <c r="K11" i="8" s="1"/>
  <c r="F8" i="8"/>
  <c r="E8" i="8"/>
  <c r="K104" i="7"/>
  <c r="K103" i="7"/>
  <c r="K105" i="7" s="1"/>
  <c r="J228" i="7" s="1"/>
  <c r="K91" i="7"/>
  <c r="K90" i="7"/>
  <c r="K89" i="7"/>
  <c r="K92" i="7" s="1"/>
  <c r="K82" i="7"/>
  <c r="K81" i="7"/>
  <c r="K80" i="7"/>
  <c r="K79" i="7"/>
  <c r="D72" i="7" a="1"/>
  <c r="D72" i="7" s="1"/>
  <c r="C72" i="7" a="1"/>
  <c r="C72" i="7" s="1"/>
  <c r="H71" i="7"/>
  <c r="K71" i="7" s="1"/>
  <c r="H70" i="7"/>
  <c r="K70" i="7" s="1"/>
  <c r="H69" i="7"/>
  <c r="K69" i="7" s="1"/>
  <c r="H68" i="7"/>
  <c r="K68" i="7" s="1"/>
  <c r="H67" i="7"/>
  <c r="K67" i="7" s="1"/>
  <c r="H66" i="7"/>
  <c r="K66" i="7" s="1"/>
  <c r="H65" i="7"/>
  <c r="K65" i="7" s="1"/>
  <c r="H64" i="7"/>
  <c r="K64" i="7" s="1"/>
  <c r="K132" i="7"/>
  <c r="K134" i="7" s="1"/>
  <c r="H63" i="7"/>
  <c r="K63" i="7" s="1"/>
  <c r="H62" i="7"/>
  <c r="K62" i="7" s="1"/>
  <c r="E55" i="7" a="1"/>
  <c r="E55" i="7" s="1"/>
  <c r="D55" i="7" a="1"/>
  <c r="D55" i="7" s="1"/>
  <c r="C55" i="7" a="1"/>
  <c r="C55" i="7" s="1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N134" i="6"/>
  <c r="N137" i="6" s="1"/>
  <c r="M162" i="6" s="1"/>
  <c r="M121" i="6"/>
  <c r="M122" i="6" s="1"/>
  <c r="M161" i="6" s="1"/>
  <c r="G65" i="5"/>
  <c r="G64" i="5"/>
  <c r="G61" i="5"/>
  <c r="G60" i="5"/>
  <c r="K55" i="5"/>
  <c r="G55" i="5"/>
  <c r="K53" i="5"/>
  <c r="G51" i="5"/>
  <c r="K48" i="5"/>
  <c r="G47" i="5"/>
  <c r="K46" i="5"/>
  <c r="G46" i="5"/>
  <c r="G45" i="5"/>
  <c r="G44" i="5"/>
  <c r="K43" i="5"/>
  <c r="E112" i="4"/>
  <c r="M112" i="4" s="1" a="1"/>
  <c r="M112" i="4" s="1"/>
  <c r="K90" i="4"/>
  <c r="E90" i="4"/>
  <c r="G82" i="4"/>
  <c r="G64" i="2"/>
  <c r="G53" i="2"/>
  <c r="K52" i="2"/>
  <c r="E121" i="6"/>
  <c r="N100" i="6"/>
  <c r="N99" i="6"/>
  <c r="N101" i="6" s="1"/>
  <c r="N94" i="6"/>
  <c r="M92" i="6"/>
  <c r="N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59" i="6"/>
  <c r="H58" i="6"/>
  <c r="H57" i="6"/>
  <c r="H56" i="6"/>
  <c r="H74" i="5"/>
  <c r="E67" i="5"/>
  <c r="F221" i="5" s="1"/>
  <c r="K66" i="5"/>
  <c r="G66" i="5"/>
  <c r="K65" i="5"/>
  <c r="G63" i="5"/>
  <c r="K58" i="5"/>
  <c r="K57" i="5"/>
  <c r="K56" i="5"/>
  <c r="K54" i="5"/>
  <c r="G54" i="5"/>
  <c r="K49" i="5"/>
  <c r="K47" i="5"/>
  <c r="L75" i="4"/>
  <c r="K105" i="2"/>
  <c r="D84" i="2"/>
  <c r="C55" i="2"/>
  <c r="K54" i="2"/>
  <c r="K53" i="2"/>
  <c r="G41" i="2"/>
  <c r="H55" i="6"/>
  <c r="N54" i="6"/>
  <c r="H54" i="6"/>
  <c r="N53" i="6"/>
  <c r="H53" i="6"/>
  <c r="N52" i="6"/>
  <c r="H52" i="6"/>
  <c r="N51" i="6"/>
  <c r="H51" i="6"/>
  <c r="N50" i="6"/>
  <c r="H50" i="6"/>
  <c r="N49" i="6"/>
  <c r="H49" i="6"/>
  <c r="N48" i="6"/>
  <c r="H48" i="6"/>
  <c r="N47" i="6"/>
  <c r="H47" i="6"/>
  <c r="N46" i="6"/>
  <c r="H46" i="6"/>
  <c r="N45" i="6"/>
  <c r="H45" i="6"/>
  <c r="N44" i="6"/>
  <c r="H44" i="6"/>
  <c r="N43" i="6"/>
  <c r="H43" i="6"/>
  <c r="N42" i="6"/>
  <c r="H42" i="6"/>
  <c r="N41" i="6"/>
  <c r="H41" i="6"/>
  <c r="N36" i="6"/>
  <c r="H35" i="6"/>
  <c r="H34" i="6"/>
  <c r="H33" i="6"/>
  <c r="H32" i="6"/>
  <c r="H31" i="6"/>
  <c r="H30" i="6"/>
  <c r="H29" i="6"/>
  <c r="H28" i="6"/>
  <c r="H27" i="6"/>
  <c r="H26" i="6"/>
  <c r="H25" i="6"/>
  <c r="D221" i="5"/>
  <c r="C221" i="5"/>
  <c r="F111" i="5"/>
  <c r="M111" i="5" s="1" a="1"/>
  <c r="M111" i="5" s="1"/>
  <c r="K90" i="5"/>
  <c r="K89" i="5"/>
  <c r="K91" i="5" s="1"/>
  <c r="M84" i="5"/>
  <c r="L82" i="5"/>
  <c r="M76" i="5"/>
  <c r="H75" i="5"/>
  <c r="H73" i="5"/>
  <c r="H72" i="5"/>
  <c r="G62" i="5"/>
  <c r="K60" i="5"/>
  <c r="G50" i="5"/>
  <c r="K45" i="5"/>
  <c r="K44" i="5"/>
  <c r="G43" i="5"/>
  <c r="E38" i="5"/>
  <c r="E221" i="5" s="1"/>
  <c r="M118" i="4"/>
  <c r="L82" i="4"/>
  <c r="F125" i="5"/>
  <c r="F124" i="5"/>
  <c r="M124" i="5" s="1"/>
  <c r="M127" i="5" s="1"/>
  <c r="L223" i="5" s="1"/>
  <c r="M112" i="5"/>
  <c r="L222" i="5" s="1"/>
  <c r="K64" i="5"/>
  <c r="K63" i="5"/>
  <c r="K62" i="5"/>
  <c r="K61" i="5"/>
  <c r="K59" i="5"/>
  <c r="G59" i="5"/>
  <c r="G58" i="5"/>
  <c r="G57" i="5"/>
  <c r="G56" i="5"/>
  <c r="G53" i="5"/>
  <c r="K52" i="5"/>
  <c r="K51" i="5"/>
  <c r="K50" i="5"/>
  <c r="G49" i="5"/>
  <c r="G48" i="5"/>
  <c r="M84" i="4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38" i="5" s="1"/>
  <c r="E227" i="4"/>
  <c r="D227" i="4"/>
  <c r="C227" i="4"/>
  <c r="M130" i="4"/>
  <c r="M133" i="4" s="1"/>
  <c r="L229" i="4" s="1"/>
  <c r="E103" i="4"/>
  <c r="M103" i="4" s="1" a="1"/>
  <c r="M103" i="4" s="1"/>
  <c r="M109" i="4" s="1"/>
  <c r="K89" i="4"/>
  <c r="E89" i="4"/>
  <c r="K93" i="2"/>
  <c r="E84" i="2"/>
  <c r="K63" i="2"/>
  <c r="G75" i="4"/>
  <c r="M74" i="4"/>
  <c r="H74" i="4"/>
  <c r="M73" i="4"/>
  <c r="H73" i="4"/>
  <c r="M72" i="4"/>
  <c r="M76" i="4" s="1"/>
  <c r="H72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37" i="4"/>
  <c r="K36" i="4"/>
  <c r="K35" i="4"/>
  <c r="K34" i="4"/>
  <c r="G54" i="1"/>
  <c r="F54" i="1" s="1"/>
  <c r="K81" i="2"/>
  <c r="K80" i="2"/>
  <c r="E55" i="2"/>
  <c r="H33" i="4"/>
  <c r="H32" i="4"/>
  <c r="H31" i="4"/>
  <c r="H30" i="4"/>
  <c r="H29" i="4"/>
  <c r="H28" i="4"/>
  <c r="J27" i="4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43" i="4" s="1"/>
  <c r="J44" i="4" s="1"/>
  <c r="J45" i="4" s="1"/>
  <c r="J46" i="4" s="1"/>
  <c r="J47" i="4" s="1"/>
  <c r="H27" i="4"/>
  <c r="H26" i="4"/>
  <c r="H25" i="4"/>
  <c r="K145" i="3"/>
  <c r="K128" i="3"/>
  <c r="K131" i="3" s="1"/>
  <c r="J239" i="3" s="1"/>
  <c r="K106" i="3"/>
  <c r="K105" i="3"/>
  <c r="K107" i="3" s="1"/>
  <c r="J238" i="3" s="1"/>
  <c r="K93" i="3"/>
  <c r="K92" i="3"/>
  <c r="K91" i="3"/>
  <c r="K94" i="3" s="1"/>
  <c r="D55" i="1" a="1"/>
  <c r="D55" i="1" s="1"/>
  <c r="K79" i="2"/>
  <c r="C72" i="2"/>
  <c r="K70" i="2"/>
  <c r="G70" i="2"/>
  <c r="G65" i="2"/>
  <c r="G52" i="2"/>
  <c r="D72" i="3" a="1"/>
  <c r="D72" i="3" s="1"/>
  <c r="C72" i="3" a="1"/>
  <c r="C72" i="3" s="1"/>
  <c r="H71" i="3"/>
  <c r="K71" i="3" s="1"/>
  <c r="H70" i="3"/>
  <c r="K70" i="3" s="1"/>
  <c r="H69" i="3"/>
  <c r="K69" i="3" s="1"/>
  <c r="H68" i="3"/>
  <c r="K68" i="3" s="1"/>
  <c r="H67" i="3"/>
  <c r="K67" i="3" s="1"/>
  <c r="H66" i="3"/>
  <c r="K66" i="3" s="1"/>
  <c r="H65" i="3"/>
  <c r="K65" i="3" s="1"/>
  <c r="H64" i="3"/>
  <c r="K64" i="3" s="1"/>
  <c r="H63" i="3"/>
  <c r="K63" i="3" s="1"/>
  <c r="H62" i="3"/>
  <c r="K62" i="3" s="1"/>
  <c r="E55" i="3" a="1"/>
  <c r="E55" i="3" s="1"/>
  <c r="D55" i="3" a="1"/>
  <c r="D55" i="3" s="1"/>
  <c r="C55" i="3" a="1"/>
  <c r="C55" i="3" s="1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K120" i="1"/>
  <c r="K123" i="1" s="1"/>
  <c r="J216" i="1" s="1"/>
  <c r="K107" i="1"/>
  <c r="K106" i="1"/>
  <c r="K92" i="1"/>
  <c r="D72" i="1" a="1"/>
  <c r="D72" i="1" s="1"/>
  <c r="C72" i="1" a="1"/>
  <c r="C72" i="1" s="1"/>
  <c r="G71" i="1"/>
  <c r="G70" i="1"/>
  <c r="G69" i="1"/>
  <c r="G68" i="1"/>
  <c r="G67" i="1"/>
  <c r="G66" i="1"/>
  <c r="G65" i="1"/>
  <c r="G64" i="1"/>
  <c r="G63" i="1"/>
  <c r="G62" i="1"/>
  <c r="E55" i="1" a="1"/>
  <c r="E55" i="1" s="1"/>
  <c r="G53" i="1"/>
  <c r="F53" i="1" s="1"/>
  <c r="K118" i="2"/>
  <c r="K121" i="2" s="1"/>
  <c r="J214" i="2" s="1"/>
  <c r="G80" i="2"/>
  <c r="D72" i="2"/>
  <c r="G54" i="2"/>
  <c r="K43" i="2"/>
  <c r="C55" i="1" a="1"/>
  <c r="C55" i="1" s="1"/>
  <c r="G52" i="1"/>
  <c r="F52" i="1" s="1"/>
  <c r="K106" i="2"/>
  <c r="C213" i="2" s="1"/>
  <c r="K92" i="2"/>
  <c r="K91" i="2"/>
  <c r="C84" i="2"/>
  <c r="G71" i="2"/>
  <c r="G69" i="2"/>
  <c r="K67" i="2"/>
  <c r="K65" i="2"/>
  <c r="K64" i="2"/>
  <c r="K62" i="2"/>
  <c r="G46" i="2"/>
  <c r="K45" i="2"/>
  <c r="G45" i="2"/>
  <c r="K44" i="2"/>
  <c r="G44" i="2"/>
  <c r="G51" i="1"/>
  <c r="F51" i="1" s="1"/>
  <c r="G50" i="1"/>
  <c r="F50" i="1" s="1"/>
  <c r="G49" i="1"/>
  <c r="F49" i="1" s="1"/>
  <c r="G48" i="1"/>
  <c r="F48" i="1" s="1"/>
  <c r="G47" i="1"/>
  <c r="F47" i="1" s="1"/>
  <c r="G46" i="1"/>
  <c r="F46" i="1" s="1"/>
  <c r="G45" i="1"/>
  <c r="F45" i="1" s="1"/>
  <c r="G44" i="1"/>
  <c r="F44" i="1" s="1"/>
  <c r="G43" i="1"/>
  <c r="F43" i="1" s="1"/>
  <c r="G42" i="1"/>
  <c r="F42" i="1" s="1"/>
  <c r="G41" i="1"/>
  <c r="F41" i="1" s="1"/>
  <c r="K69" i="2"/>
  <c r="K68" i="2"/>
  <c r="K66" i="2"/>
  <c r="G63" i="2"/>
  <c r="D55" i="2"/>
  <c r="K49" i="2"/>
  <c r="G49" i="2"/>
  <c r="K48" i="2"/>
  <c r="G48" i="2"/>
  <c r="K47" i="2"/>
  <c r="G47" i="2"/>
  <c r="K46" i="2"/>
  <c r="G43" i="2"/>
  <c r="K42" i="2"/>
  <c r="G42" i="2"/>
  <c r="K41" i="2"/>
  <c r="K117" i="7"/>
  <c r="K120" i="7" s="1"/>
  <c r="J229" i="7" s="1"/>
  <c r="K27" i="1" l="1"/>
  <c r="K50" i="2"/>
  <c r="G50" i="2"/>
  <c r="K80" i="1"/>
  <c r="G80" i="1"/>
  <c r="G81" i="1"/>
  <c r="K81" i="1"/>
  <c r="K82" i="1"/>
  <c r="G82" i="1"/>
  <c r="G83" i="1"/>
  <c r="K83" i="1"/>
  <c r="G79" i="1"/>
  <c r="K79" i="1"/>
  <c r="K93" i="1"/>
  <c r="F93" i="1"/>
  <c r="F91" i="1"/>
  <c r="K91" i="1"/>
  <c r="K94" i="1" s="1"/>
  <c r="K27" i="2"/>
  <c r="G68" i="3"/>
  <c r="G67" i="3"/>
  <c r="G68" i="7"/>
  <c r="G67" i="7"/>
  <c r="K94" i="2"/>
  <c r="K111" i="3" a="1"/>
  <c r="K111" i="3" s="1"/>
  <c r="K117" i="3" s="1"/>
  <c r="K84" i="2"/>
  <c r="K72" i="7"/>
  <c r="K84" i="1"/>
  <c r="G66" i="7"/>
  <c r="G62" i="7"/>
  <c r="G62" i="3"/>
  <c r="C215" i="1"/>
  <c r="K84" i="7"/>
  <c r="C228" i="7"/>
  <c r="K72" i="3"/>
  <c r="G66" i="3"/>
  <c r="K55" i="2"/>
  <c r="E16" i="8"/>
  <c r="F16" i="8"/>
  <c r="H83" i="4" s="1"/>
  <c r="L81" i="4"/>
  <c r="G81" i="4"/>
  <c r="H81" i="5"/>
  <c r="H91" i="6"/>
  <c r="K54" i="7"/>
  <c r="G54" i="7"/>
  <c r="K53" i="7"/>
  <c r="G53" i="7"/>
  <c r="K52" i="7"/>
  <c r="G52" i="7"/>
  <c r="K51" i="7"/>
  <c r="G51" i="7"/>
  <c r="K50" i="7"/>
  <c r="G50" i="7"/>
  <c r="K49" i="7"/>
  <c r="G49" i="7"/>
  <c r="K48" i="7"/>
  <c r="G48" i="7"/>
  <c r="K47" i="7"/>
  <c r="G47" i="7"/>
  <c r="K46" i="7"/>
  <c r="G46" i="7"/>
  <c r="K45" i="7"/>
  <c r="G45" i="7"/>
  <c r="K44" i="7"/>
  <c r="G44" i="7"/>
  <c r="K43" i="7"/>
  <c r="G43" i="7"/>
  <c r="K42" i="7"/>
  <c r="G42" i="7"/>
  <c r="K41" i="7"/>
  <c r="G41" i="7"/>
  <c r="G64" i="7"/>
  <c r="G64" i="3"/>
  <c r="M85" i="6"/>
  <c r="G85" i="6"/>
  <c r="M84" i="6"/>
  <c r="G84" i="6"/>
  <c r="M83" i="6"/>
  <c r="G83" i="6"/>
  <c r="M82" i="6"/>
  <c r="G82" i="6"/>
  <c r="M81" i="6"/>
  <c r="G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M69" i="6"/>
  <c r="G69" i="6"/>
  <c r="M68" i="6"/>
  <c r="G68" i="6"/>
  <c r="M67" i="6"/>
  <c r="G67" i="6"/>
  <c r="M66" i="6"/>
  <c r="G66" i="6"/>
  <c r="M65" i="6"/>
  <c r="G65" i="6"/>
  <c r="M59" i="6"/>
  <c r="G59" i="6"/>
  <c r="M58" i="6"/>
  <c r="G58" i="6"/>
  <c r="M57" i="6"/>
  <c r="G57" i="6"/>
  <c r="M56" i="6"/>
  <c r="G56" i="6"/>
  <c r="G74" i="5"/>
  <c r="L74" i="5"/>
  <c r="M55" i="6"/>
  <c r="G55" i="6"/>
  <c r="M54" i="6"/>
  <c r="G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M42" i="6"/>
  <c r="G42" i="6"/>
  <c r="M41" i="6"/>
  <c r="G41" i="6"/>
  <c r="M35" i="6"/>
  <c r="G35" i="6"/>
  <c r="M34" i="6"/>
  <c r="G34" i="6"/>
  <c r="M33" i="6"/>
  <c r="G33" i="6"/>
  <c r="M32" i="6"/>
  <c r="G32" i="6"/>
  <c r="M31" i="6"/>
  <c r="G31" i="6"/>
  <c r="M30" i="6"/>
  <c r="G30" i="6"/>
  <c r="M29" i="6"/>
  <c r="G29" i="6"/>
  <c r="M28" i="6"/>
  <c r="G28" i="6"/>
  <c r="M27" i="6"/>
  <c r="G27" i="6"/>
  <c r="M26" i="6"/>
  <c r="G26" i="6"/>
  <c r="M25" i="6"/>
  <c r="M36" i="6" s="1"/>
  <c r="G25" i="6"/>
  <c r="L75" i="5"/>
  <c r="G75" i="5"/>
  <c r="L73" i="5"/>
  <c r="G73" i="5"/>
  <c r="L72" i="5"/>
  <c r="L76" i="5" s="1"/>
  <c r="G72" i="5"/>
  <c r="L74" i="4"/>
  <c r="G74" i="4"/>
  <c r="L73" i="4"/>
  <c r="G73" i="4"/>
  <c r="L72" i="4"/>
  <c r="L76" i="4" s="1"/>
  <c r="G72" i="4"/>
  <c r="K54" i="1"/>
  <c r="K33" i="4"/>
  <c r="G33" i="4"/>
  <c r="K32" i="4"/>
  <c r="G32" i="4"/>
  <c r="K31" i="4"/>
  <c r="G31" i="4"/>
  <c r="K30" i="4"/>
  <c r="G30" i="4"/>
  <c r="K29" i="4"/>
  <c r="G29" i="4"/>
  <c r="K28" i="4"/>
  <c r="G28" i="4"/>
  <c r="J48" i="4"/>
  <c r="J49" i="4" s="1"/>
  <c r="J50" i="4" s="1"/>
  <c r="J51" i="4" s="1"/>
  <c r="J52" i="4"/>
  <c r="J53" i="4" s="1"/>
  <c r="J54" i="4" s="1"/>
  <c r="J55" i="4" s="1"/>
  <c r="J56" i="4" s="1"/>
  <c r="J57" i="4" s="1"/>
  <c r="J58" i="4" s="1"/>
  <c r="J59" i="4" s="1"/>
  <c r="J60" i="4" s="1"/>
  <c r="J61" i="4" s="1"/>
  <c r="K27" i="4"/>
  <c r="G27" i="4"/>
  <c r="K26" i="4"/>
  <c r="G26" i="4"/>
  <c r="K25" i="4"/>
  <c r="K38" i="4" s="1"/>
  <c r="G25" i="4"/>
  <c r="G70" i="7"/>
  <c r="G70" i="3"/>
  <c r="G65" i="7"/>
  <c r="G65" i="3"/>
  <c r="K82" i="3"/>
  <c r="K81" i="3"/>
  <c r="K80" i="3"/>
  <c r="K79" i="3"/>
  <c r="K54" i="3"/>
  <c r="G54" i="3"/>
  <c r="K53" i="3"/>
  <c r="G53" i="3"/>
  <c r="K52" i="3"/>
  <c r="G52" i="3"/>
  <c r="K51" i="3"/>
  <c r="G51" i="3"/>
  <c r="K50" i="3"/>
  <c r="G50" i="3"/>
  <c r="K49" i="3"/>
  <c r="G49" i="3"/>
  <c r="K48" i="3"/>
  <c r="G48" i="3"/>
  <c r="K47" i="3"/>
  <c r="G47" i="3"/>
  <c r="K46" i="3"/>
  <c r="G46" i="3"/>
  <c r="K45" i="3"/>
  <c r="G45" i="3"/>
  <c r="K44" i="3"/>
  <c r="G44" i="3"/>
  <c r="K43" i="3"/>
  <c r="G43" i="3"/>
  <c r="K42" i="3"/>
  <c r="G42" i="3"/>
  <c r="K41" i="3"/>
  <c r="G41" i="3"/>
  <c r="K71" i="1"/>
  <c r="F71" i="1"/>
  <c r="K70" i="1"/>
  <c r="F70" i="1"/>
  <c r="K69" i="1"/>
  <c r="F69" i="1"/>
  <c r="K68" i="1"/>
  <c r="F68" i="1"/>
  <c r="K67" i="1"/>
  <c r="F67" i="1"/>
  <c r="K66" i="1"/>
  <c r="F66" i="1"/>
  <c r="K65" i="1"/>
  <c r="F65" i="1"/>
  <c r="K64" i="1"/>
  <c r="F64" i="1"/>
  <c r="K63" i="1"/>
  <c r="F63" i="1"/>
  <c r="K62" i="1"/>
  <c r="F62" i="1"/>
  <c r="K53" i="1"/>
  <c r="K52" i="1"/>
  <c r="G71" i="3"/>
  <c r="G71" i="7"/>
  <c r="G69" i="3"/>
  <c r="G69" i="7"/>
  <c r="K51" i="1"/>
  <c r="K50" i="1"/>
  <c r="K49" i="1"/>
  <c r="K48" i="1"/>
  <c r="K47" i="1"/>
  <c r="K46" i="1"/>
  <c r="K45" i="1"/>
  <c r="K44" i="1"/>
  <c r="K43" i="1"/>
  <c r="K42" i="1"/>
  <c r="K41" i="1"/>
  <c r="G63" i="3"/>
  <c r="G63" i="7"/>
  <c r="K67" i="5"/>
  <c r="K107" i="2"/>
  <c r="J213" i="2" s="1"/>
  <c r="N60" i="6"/>
  <c r="M163" i="6" s="1"/>
  <c r="K91" i="4"/>
  <c r="L230" i="4"/>
  <c r="C238" i="3"/>
  <c r="K108" i="1"/>
  <c r="J215" i="1" s="1"/>
  <c r="K67" i="4"/>
  <c r="K72" i="2"/>
  <c r="K84" i="3" l="1"/>
  <c r="M86" i="6"/>
  <c r="J212" i="2"/>
  <c r="J215" i="2" s="1"/>
  <c r="H83" i="5"/>
  <c r="H93" i="6"/>
  <c r="G83" i="4"/>
  <c r="L83" i="4"/>
  <c r="L84" i="4" s="1"/>
  <c r="L227" i="4" s="1"/>
  <c r="L231" i="4" s="1"/>
  <c r="L81" i="5"/>
  <c r="G81" i="5"/>
  <c r="M91" i="6"/>
  <c r="G91" i="6"/>
  <c r="J62" i="4"/>
  <c r="K72" i="4"/>
  <c r="M60" i="6"/>
  <c r="K55" i="7"/>
  <c r="J227" i="7" s="1"/>
  <c r="J230" i="7" s="1"/>
  <c r="K55" i="3"/>
  <c r="K72" i="1"/>
  <c r="K55" i="1"/>
  <c r="J214" i="1" s="1"/>
  <c r="J237" i="3" l="1"/>
  <c r="J240" i="3" s="1"/>
  <c r="J217" i="1"/>
  <c r="L83" i="5"/>
  <c r="L84" i="5" s="1"/>
  <c r="L221" i="5" s="1"/>
  <c r="G83" i="5"/>
  <c r="M93" i="6"/>
  <c r="M94" i="6" s="1"/>
  <c r="M160" i="6" s="1"/>
  <c r="G93" i="6"/>
  <c r="J63" i="4"/>
  <c r="K73" i="4"/>
  <c r="M166" i="6" l="1"/>
  <c r="M167" i="6"/>
  <c r="J164" i="6"/>
  <c r="J64" i="4"/>
  <c r="K74" i="4"/>
  <c r="J65" i="4" l="1"/>
  <c r="J66" i="4" s="1"/>
  <c r="K7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<sst xmlns="http://schemas.openxmlformats.org/spreadsheetml/2006/main" count="2377" uniqueCount="730">
  <si>
    <t>Contact Safespring</t>
  </si>
  <si>
    <t>Currency</t>
  </si>
  <si>
    <t>Call us: +46 8-55 10 73 56</t>
  </si>
  <si>
    <t>hello@safespring.com</t>
  </si>
  <si>
    <r>
      <rPr>
        <sz val="48"/>
        <color theme="8"/>
        <rFont val="Hind Light"/>
      </rPr>
      <t xml:space="preserve">Safespring Compute </t>
    </r>
    <r>
      <rPr>
        <sz val="48"/>
        <color theme="4"/>
        <rFont val="Hind Light"/>
      </rPr>
      <t>| IaaS</t>
    </r>
  </si>
  <si>
    <t>Infrastructure as a service can run on an open source license or with a Windows license.</t>
  </si>
  <si>
    <t>All prices are in EUR, excluding VAT.</t>
  </si>
  <si>
    <r>
      <rPr>
        <sz val="11"/>
        <color theme="1"/>
        <rFont val="Montserrat Medium"/>
      </rPr>
      <t xml:space="preserve">Instructions: </t>
    </r>
    <r>
      <rPr>
        <sz val="11"/>
        <color theme="1"/>
        <rFont val="Montserrat Light"/>
      </rPr>
      <t>Fill in the desired quantity in the colored fields.</t>
    </r>
  </si>
  <si>
    <t>Flavors with local NVMe storage</t>
  </si>
  <si>
    <r>
      <rPr>
        <sz val="9"/>
        <color theme="1"/>
        <rFont val="Montserrat Light"/>
      </rPr>
      <t>Central block storage can be purchased for the instances. See "</t>
    </r>
    <r>
      <rPr>
        <sz val="9"/>
        <color theme="5"/>
        <rFont val="Montserrat SemiBold"/>
      </rPr>
      <t>Central block storage</t>
    </r>
    <r>
      <rPr>
        <sz val="9"/>
        <color theme="1"/>
        <rFont val="Montserrat Light"/>
      </rPr>
      <t>" in the price list.</t>
    </r>
  </si>
  <si>
    <t>Product ID</t>
  </si>
  <si>
    <t>vCPU</t>
  </si>
  <si>
    <t>RAM (GB)</t>
  </si>
  <si>
    <t>Local disc (GB)</t>
  </si>
  <si>
    <t>Hourly</t>
  </si>
  <si>
    <t>30 days</t>
  </si>
  <si>
    <t>Amount</t>
  </si>
  <si>
    <t>Infrastructure</t>
  </si>
  <si>
    <t>Total</t>
  </si>
  <si>
    <t>Flavors without local storage</t>
  </si>
  <si>
    <t>N/A</t>
  </si>
  <si>
    <t>Flavors with GPU</t>
  </si>
  <si>
    <t>Central block storage provides three copies of the data distributed in a robust CEPH cluster.</t>
  </si>
  <si>
    <t>Produkt ID</t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</si>
  <si>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l2.c4r16.125.gA2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</si>
  <si>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l2.c8r32.250.gA2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</si>
  <si>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b2.c4r8.gA2</t>
    </r>
  </si>
  <si>
    <t>Totalt</t>
  </si>
  <si>
    <t>CPU (p) core</t>
  </si>
  <si>
    <t>NVME (GB)</t>
  </si>
  <si>
    <t>GPU</t>
  </si>
  <si>
    <t>Per timme</t>
  </si>
  <si>
    <t>Per 30 dagar</t>
  </si>
  <si>
    <t>Antal instanser</t>
  </si>
  <si>
    <t>Infrastruktur</t>
  </si>
  <si>
    <t>Antal</t>
  </si>
  <si>
    <t>Central block storage</t>
  </si>
  <si>
    <t>Description</t>
  </si>
  <si>
    <t>Amount (GB)</t>
  </si>
  <si>
    <t>Storage</t>
  </si>
  <si>
    <r>
      <rPr>
        <sz val="10"/>
        <color theme="1" tint="0.39988402966399123"/>
        <rFont val="Montserrat Medium"/>
      </rPr>
      <t>VOLUME-</t>
    </r>
    <r>
      <rPr>
        <sz val="11"/>
        <color theme="1"/>
        <rFont val="Montserrat Medium"/>
      </rPr>
      <t>large</t>
    </r>
  </si>
  <si>
    <t>HDD-backed 3-replica Ceph</t>
  </si>
  <si>
    <r>
      <rPr>
        <sz val="10"/>
        <color theme="1" tint="0.39988402966399123"/>
        <rFont val="Montserrat Medium"/>
      </rPr>
      <t>VOLUME-</t>
    </r>
    <r>
      <rPr>
        <sz val="11"/>
        <color theme="1"/>
        <rFont val="Montserrat Medium"/>
      </rPr>
      <t>fast</t>
    </r>
  </si>
  <si>
    <t>SSD-backed 3-replica Ceph</t>
  </si>
  <si>
    <r>
      <rPr>
        <sz val="10"/>
        <color theme="1" tint="0.39988402966399123"/>
        <rFont val="Montserrat Medium"/>
      </rPr>
      <t>VOLUME-</t>
    </r>
    <r>
      <rPr>
        <sz val="11"/>
        <color theme="1"/>
        <rFont val="Montserrat Medium"/>
      </rPr>
      <t>snapshot</t>
    </r>
  </si>
  <si>
    <t>Snapshot of image</t>
  </si>
  <si>
    <r>
      <rPr>
        <sz val="48"/>
        <color theme="8"/>
        <rFont val="Hind Light"/>
      </rPr>
      <t xml:space="preserve">Safespring Storage </t>
    </r>
    <r>
      <rPr>
        <sz val="48"/>
        <color theme="4"/>
        <rFont val="Hind Light"/>
      </rPr>
      <t>| S3</t>
    </r>
  </si>
  <si>
    <t>Contact us for discounts on larger storage quantities. Pricing model based on the number of stored TB per month.</t>
  </si>
  <si>
    <t>Per TB for 30 days</t>
  </si>
  <si>
    <t>Amount (TB)</t>
  </si>
  <si>
    <r>
      <rPr>
        <sz val="10"/>
        <color theme="1" tint="0.39988402966399123"/>
        <rFont val="Montserrat Medium"/>
      </rPr>
      <t>S3</t>
    </r>
    <r>
      <rPr>
        <sz val="11"/>
        <color theme="1" tint="0.39988402966399123"/>
        <rFont val="Montserrat Medium"/>
      </rPr>
      <t>-</t>
    </r>
    <r>
      <rPr>
        <sz val="11"/>
        <color theme="3"/>
        <rFont val="Montserrat Medium"/>
      </rPr>
      <t>archive</t>
    </r>
  </si>
  <si>
    <r>
      <rPr>
        <sz val="10"/>
        <color theme="1" tint="0.39988402966399123"/>
        <rFont val="Montserrat Medium"/>
      </rPr>
      <t>S3-</t>
    </r>
    <r>
      <rPr>
        <sz val="11"/>
        <color theme="1"/>
        <rFont val="Montserrat Medium"/>
      </rPr>
      <t>storage</t>
    </r>
  </si>
  <si>
    <t>S3 Archive</t>
  </si>
  <si>
    <t>Antal TB</t>
  </si>
  <si>
    <t>Per TB/månad</t>
  </si>
  <si>
    <t>S3-archive</t>
  </si>
  <si>
    <t>TB</t>
  </si>
  <si>
    <t>0 - 49</t>
  </si>
  <si>
    <t>50 - 99</t>
  </si>
  <si>
    <t>100 - 499</t>
  </si>
  <si>
    <t>500 - 999</t>
  </si>
  <si>
    <t xml:space="preserve">1000 - </t>
  </si>
  <si>
    <t xml:space="preserve">  Totalt</t>
  </si>
  <si>
    <r>
      <rPr>
        <sz val="48"/>
        <color theme="8"/>
        <rFont val="Hind Light"/>
      </rPr>
      <t xml:space="preserve">Safespring Backup </t>
    </r>
    <r>
      <rPr>
        <sz val="48"/>
        <color theme="4"/>
        <rFont val="Hind Light"/>
      </rPr>
      <t>| SP</t>
    </r>
  </si>
  <si>
    <t>Cloud backup solution for on-prem or cloud servers based on Spectrum Protect (TSM).</t>
  </si>
  <si>
    <t>Fixed monthly price</t>
  </si>
  <si>
    <t>Per GB / 30 days</t>
  </si>
  <si>
    <r>
      <rPr>
        <sz val="12"/>
        <color theme="4"/>
        <rFont val="Hind Light"/>
      </rPr>
      <t>Deduplication</t>
    </r>
    <r>
      <rPr>
        <sz val="14"/>
        <color theme="4"/>
        <rFont val="Hind Light"/>
      </rPr>
      <t xml:space="preserve"> 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</si>
  <si>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Backup</t>
  </si>
  <si>
    <r>
      <rPr>
        <sz val="10"/>
        <color theme="1" tint="0.39988402966399123"/>
        <rFont val="Montserrat Medium"/>
      </rPr>
      <t>BAAS-</t>
    </r>
    <r>
      <rPr>
        <sz val="11"/>
        <color theme="1"/>
        <rFont val="Montserrat Medium"/>
      </rPr>
      <t xml:space="preserve">on.demand </t>
    </r>
    <r>
      <rPr>
        <vertAlign val="superscript"/>
        <sz val="11"/>
        <color theme="6"/>
        <rFont val="Montserrat SemiBold"/>
      </rPr>
      <t>2</t>
    </r>
  </si>
  <si>
    <r>
      <rPr>
        <sz val="10"/>
        <color theme="1" tint="0.39988402966399123"/>
        <rFont val="Montserrat Medium"/>
      </rPr>
      <t>BAAS-</t>
    </r>
    <r>
      <rPr>
        <sz val="11"/>
        <color theme="1"/>
        <rFont val="Montserrat Medium"/>
      </rPr>
      <t xml:space="preserve">small </t>
    </r>
    <r>
      <rPr>
        <vertAlign val="superscript"/>
        <sz val="11"/>
        <color theme="6"/>
        <rFont val="Montserrat SemiBold"/>
      </rPr>
      <t>3</t>
    </r>
  </si>
  <si>
    <r>
      <rPr>
        <sz val="10"/>
        <color theme="1" tint="0.39988402966399123"/>
        <rFont val="Montserrat Medium"/>
      </rPr>
      <t>BAAS-</t>
    </r>
    <r>
      <rPr>
        <sz val="11"/>
        <color theme="1"/>
        <rFont val="Montserrat Medium"/>
      </rPr>
      <t xml:space="preserve">large </t>
    </r>
    <r>
      <rPr>
        <vertAlign val="superscript"/>
        <sz val="11"/>
        <color theme="6"/>
        <rFont val="Montserrat SemiBold"/>
      </rPr>
      <t>4</t>
    </r>
  </si>
  <si>
    <t>Compliant Kubernetes</t>
  </si>
  <si>
    <t>Run Compliant Kubernetes as a managed service. Safespring Compute will be added.</t>
  </si>
  <si>
    <t>Safespring Compute will be added. We can work with you to calculate your price.</t>
  </si>
  <si>
    <t>Support hours</t>
  </si>
  <si>
    <t>Availability</t>
  </si>
  <si>
    <t>Pris</t>
  </si>
  <si>
    <r>
      <rPr>
        <sz val="10"/>
        <color theme="1" tint="0.39988402966399123"/>
        <rFont val="Montserrat Medium"/>
      </rPr>
      <t>PAAS</t>
    </r>
    <r>
      <rPr>
        <sz val="10"/>
        <color theme="1"/>
        <rFont val="Montserrat Medium"/>
      </rPr>
      <t>-</t>
    </r>
    <r>
      <rPr>
        <sz val="11"/>
        <color theme="1"/>
        <rFont val="Montserrat Medium"/>
      </rPr>
      <t>man.kubernetes8</t>
    </r>
  </si>
  <si>
    <t>08:00 - 17:00</t>
  </si>
  <si>
    <t>Weekdays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</si>
  <si>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man.kubernetes24</t>
    </r>
  </si>
  <si>
    <t>Around the clock</t>
  </si>
  <si>
    <t>All days</t>
  </si>
  <si>
    <t>Network and software</t>
  </si>
  <si>
    <t>Network</t>
  </si>
  <si>
    <t>Safespring offers several network services.</t>
  </si>
  <si>
    <t xml:space="preserve"> Type</t>
  </si>
  <si>
    <t>Billing per</t>
  </si>
  <si>
    <t>Monthly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</si>
  <si>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publicv4</t>
    </r>
  </si>
  <si>
    <t>IPv4</t>
  </si>
  <si>
    <t>Public</t>
  </si>
  <si>
    <t>IP-address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</si>
  <si>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publicv6</t>
    </r>
  </si>
  <si>
    <t>IPv6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</si>
  <si>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ingress</t>
    </r>
  </si>
  <si>
    <t>Data transfer</t>
  </si>
  <si>
    <t>GB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</si>
  <si>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egress</t>
    </r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</si>
  <si>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mgn.slb</t>
    </r>
  </si>
  <si>
    <t>Managed SLB (ElasticIP)</t>
  </si>
  <si>
    <t>Load balancers that require their own instances</t>
  </si>
  <si>
    <t>Instance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</si>
  <si>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rdns</t>
    </r>
  </si>
  <si>
    <t>Reverse DNS names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</si>
  <si>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byoip</t>
    </r>
  </si>
  <si>
    <t>Bring your own IP prefixes</t>
  </si>
  <si>
    <t>Software and licenses</t>
  </si>
  <si>
    <t>Safespring offers several software and licenses.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</si>
  <si>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win.ser.2022</t>
    </r>
  </si>
  <si>
    <t>Microsoft Windows Server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</si>
  <si>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ms.sql.ser</t>
    </r>
  </si>
  <si>
    <t>Microsoft SQL Server Standard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</si>
  <si>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ms.sql.ser.ent</t>
    </r>
  </si>
  <si>
    <t>Microsoft SQL Server Enterprise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</si>
  <si>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nextcloud</t>
    </r>
  </si>
  <si>
    <t>Nextcloud Hub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</si>
  <si>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suse.linux</t>
    </r>
  </si>
  <si>
    <t>SUSE Linux Enterprise Server</t>
  </si>
  <si>
    <t>Platform services</t>
  </si>
  <si>
    <t>Safespring offers several platform services.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</si>
  <si>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man.welkin24</t>
    </r>
  </si>
  <si>
    <t>Elastisys Managed Welkin (Support 24/7)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</si>
  <si>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man.welkin8</t>
    </r>
  </si>
  <si>
    <t>Elastisys Managed Welkin (Support 8/5)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</si>
  <si>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man.opensearch</t>
    </r>
  </si>
  <si>
    <t>Managed Opensearch (ingår i Welkin)</t>
  </si>
  <si>
    <r>
      <rPr>
        <sz val="10"/>
        <color theme="1" tint="0.39988402966399123"/>
        <rFont val="Montserrat Medium"/>
      </rPr>
      <t>PAAS-p</t>
    </r>
    <r>
      <rPr>
        <sz val="11"/>
        <color theme="1"/>
        <rFont val="Montserrat Medium"/>
      </rPr>
      <t>ostgresql</t>
    </r>
  </si>
  <si>
    <t>Managed PostgreSQL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</si>
  <si>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man.mysql</t>
    </r>
  </si>
  <si>
    <t>Managed MySQL</t>
  </si>
  <si>
    <r>
      <rPr>
        <sz val="10"/>
        <color theme="1" tint="0.39988402966399123"/>
        <rFont val="Montserrat Medium"/>
      </rPr>
      <t>PAAS-</t>
    </r>
    <r>
      <rPr>
        <sz val="11"/>
        <color theme="1"/>
        <rFont val="Montserrat Medium"/>
      </rPr>
      <t>man.mariadb</t>
    </r>
  </si>
  <si>
    <t>Managed MariaDB</t>
  </si>
  <si>
    <r>
      <rPr>
        <sz val="11"/>
        <color theme="1" tint="0.39988402966399123"/>
        <rFont val="Montserrat Medium"/>
      </rPr>
      <t>PAAS-</t>
    </r>
    <r>
      <rPr>
        <sz val="11"/>
        <color theme="1"/>
        <rFont val="Montserrat Medium"/>
      </rPr>
      <t>man.redis</t>
    </r>
  </si>
  <si>
    <t>Managed Redis</t>
  </si>
  <si>
    <t>Support and consulting services</t>
  </si>
  <si>
    <t>Support applies to Safespring Compute, Safespring Storage and Safespring Backup.</t>
  </si>
  <si>
    <t>All prices stated in SEK, excluding VAT.</t>
  </si>
  <si>
    <t>Support</t>
  </si>
  <si>
    <t>Safespring offers several support agreements.</t>
  </si>
  <si>
    <r>
      <rPr>
        <sz val="10"/>
        <color theme="1" tint="0.39988402966399123"/>
        <rFont val="Montserrat Medium"/>
      </rPr>
      <t>SUPPORT-</t>
    </r>
    <r>
      <rPr>
        <sz val="11"/>
        <color theme="1"/>
        <rFont val="Montserrat Medium"/>
      </rPr>
      <t>base</t>
    </r>
  </si>
  <si>
    <t>Support for Safespring's services</t>
  </si>
  <si>
    <r>
      <rPr>
        <sz val="10"/>
        <color theme="1" tint="0.39988402966399123"/>
        <rFont val="Montserrat Medium"/>
      </rPr>
      <t>SUPPORT-</t>
    </r>
    <r>
      <rPr>
        <sz val="11"/>
        <color theme="1"/>
        <rFont val="Montserrat Medium"/>
      </rPr>
      <t>premium</t>
    </r>
  </si>
  <si>
    <t>Dedicated Service Manager with quarterly operations meetings</t>
  </si>
  <si>
    <t>Hour</t>
  </si>
  <si>
    <t>Request a quote</t>
  </si>
  <si>
    <t>Consulting services</t>
  </si>
  <si>
    <t>Safespring offers several consulting services.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</si>
  <si>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consult.jun</t>
    </r>
  </si>
  <si>
    <t>Cloud Infrastructure Consultant, junior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</si>
  <si>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consult.sen</t>
    </r>
  </si>
  <si>
    <t>Cloud infrastructure Consultant, senior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</si>
  <si>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cloudarch.jun</t>
    </r>
  </si>
  <si>
    <t>Cloud Infrastructure Architect Consultant, junior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</si>
  <si>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cloudarch.sen</t>
    </r>
  </si>
  <si>
    <t>Cloud Infrastructure Architect Consultant, senior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</si>
  <si>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pm.jun</t>
    </r>
  </si>
  <si>
    <t>Project Manager, junior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</si>
  <si>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pm.sen</t>
    </r>
  </si>
  <si>
    <t>Project Manager, senior expertise level</t>
  </si>
  <si>
    <t>Educations</t>
  </si>
  <si>
    <t>Safespring offers several courses in IaaS and cloud services.</t>
  </si>
  <si>
    <t>Duration</t>
  </si>
  <si>
    <t>Price</t>
  </si>
  <si>
    <r>
      <rPr>
        <sz val="10"/>
        <color theme="1" tint="0.39988402966399123"/>
        <rFont val="Montserrat Medium"/>
      </rPr>
      <t>COURSE-</t>
    </r>
    <r>
      <rPr>
        <sz val="11"/>
        <color theme="1"/>
        <rFont val="Montserrat Medium"/>
      </rPr>
      <t>intro.iaas</t>
    </r>
  </si>
  <si>
    <t>Introduction to "infrastructure as a service"</t>
  </si>
  <si>
    <t>One day</t>
  </si>
  <si>
    <t>Occasion</t>
  </si>
  <si>
    <t>Requests for quotation</t>
  </si>
  <si>
    <r>
      <rPr>
        <sz val="10"/>
        <color theme="1" tint="0.39988402966399123"/>
        <rFont val="Montserrat Medium"/>
      </rPr>
      <t>COURSE-</t>
    </r>
    <r>
      <rPr>
        <sz val="11"/>
        <color theme="1"/>
        <rFont val="Montserrat Medium"/>
      </rPr>
      <t>cxo.strategy</t>
    </r>
  </si>
  <si>
    <t>Cloud strategy for management teams</t>
  </si>
  <si>
    <r>
      <rPr>
        <sz val="10"/>
        <color theme="1" tint="0.39988402966399123"/>
        <rFont val="Montserrat Medium"/>
      </rPr>
      <t>COURSE-</t>
    </r>
    <r>
      <rPr>
        <sz val="11"/>
        <color theme="1"/>
        <rFont val="Montserrat Medium"/>
      </rPr>
      <t>intro.cloud</t>
    </r>
  </si>
  <si>
    <t>Introduction to cloud infrastructure technology</t>
  </si>
  <si>
    <t>Four days</t>
  </si>
  <si>
    <r>
      <rPr>
        <sz val="10"/>
        <color theme="1" tint="0.39988402966399123"/>
        <rFont val="Montserrat Medium"/>
      </rPr>
      <t>COURSE-</t>
    </r>
    <r>
      <rPr>
        <sz val="11"/>
        <color theme="1"/>
        <rFont val="Montserrat Medium"/>
      </rPr>
      <t>devops.microservices</t>
    </r>
  </si>
  <si>
    <t>Modern DevOps and "microservices"</t>
  </si>
  <si>
    <t>Monthly cost</t>
  </si>
  <si>
    <t>Contact Safespring for a complete quote</t>
  </si>
  <si>
    <t>Phone: +46 8-55 10 73 56</t>
  </si>
  <si>
    <t>Product</t>
  </si>
  <si>
    <t>Safespring Compute</t>
  </si>
  <si>
    <t>Safespring Storage</t>
  </si>
  <si>
    <t>Safespring Backup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</si>
  <si>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Deduplication is a data reduction done in the service. Depending on the data, it usually varies between 45% -90%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</si>
  <si>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>The price is per protected GB on the client.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</si>
  <si>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The price is per GB stored in the service after deduplication and compression.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</si>
  <si>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The price is per GB stored in the service after deduplication and compression. The service includes 1000 GB in the fixed monthly price.</t>
    </r>
  </si>
  <si>
    <t>Kontakta Safespring</t>
  </si>
  <si>
    <t>Valuta</t>
  </si>
  <si>
    <t>Telefon: 08-55 10 73 56</t>
  </si>
  <si>
    <r>
      <rPr>
        <sz val="48"/>
        <color theme="8"/>
        <rFont val="Hind Light"/>
      </rPr>
      <t>Safespring Compute</t>
    </r>
    <r>
      <rPr>
        <sz val="48"/>
        <color theme="8" tint="0.59987182226020086"/>
        <rFont val="Hind Light"/>
      </rPr>
      <t xml:space="preserve"> | IaaS</t>
    </r>
  </si>
  <si>
    <t>Infrastruktur kan köras med en Open Source-licens eller med en Windows-licens</t>
  </si>
  <si>
    <t>Alla priser är angivna i SEK, exklusive moms.</t>
  </si>
  <si>
    <r>
      <rPr>
        <sz val="11"/>
        <color theme="1"/>
        <rFont val="Montserrat Medium"/>
      </rPr>
      <t>Instruktioner:</t>
    </r>
    <r>
      <rPr>
        <sz val="11"/>
        <color theme="1"/>
        <rFont val="Montserrat Light"/>
      </rPr>
      <t xml:space="preserve"> Fyll i önskad kvantitet i de färgade fälten. </t>
    </r>
  </si>
  <si>
    <t>Flavors med lokal NVMe-disk</t>
  </si>
  <si>
    <t>Central blocklagring kan köpas till instanserna. Se "Central blocklagring" i prislistan.</t>
  </si>
  <si>
    <r>
      <rPr>
        <sz val="14"/>
        <color theme="4"/>
        <rFont val="Hind Light"/>
      </rPr>
      <t xml:space="preserve">RAM </t>
    </r>
    <r>
      <rPr>
        <sz val="11"/>
        <color theme="4"/>
        <rFont val="Hind Light"/>
      </rPr>
      <t>(GB)</t>
    </r>
  </si>
  <si>
    <r>
      <rPr>
        <sz val="14"/>
        <color theme="4"/>
        <rFont val="Hind Light"/>
      </rPr>
      <t xml:space="preserve">Lokal disk </t>
    </r>
    <r>
      <rPr>
        <sz val="11"/>
        <color theme="4"/>
        <rFont val="Hind Light"/>
      </rPr>
      <t>(GB)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</si>
  <si>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c2 r4.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</si>
  <si>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c2 r4.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</si>
  <si>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c2 r4. 1000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</si>
  <si>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c4 r8.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</si>
  <si>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c4 r8.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</si>
  <si>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c4 r8. 1000</t>
    </r>
  </si>
  <si>
    <r>
      <rPr>
        <sz val="10"/>
        <color theme="1" tint="0.39988402966399123"/>
        <rFont val="Montserrat Medium"/>
      </rPr>
      <t>FLAVOR</t>
    </r>
    <r>
      <rPr>
        <sz val="11"/>
        <color theme="1" tint="0.39988402966399123"/>
        <rFont val="Montserrat Medium"/>
      </rPr>
      <t>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c8 r16.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</si>
  <si>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c8 r16.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</si>
  <si>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c8 r16. 1000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</si>
  <si>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c16 r32.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</si>
  <si>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c16 r32.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</si>
  <si>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c16 r32. 1000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</si>
  <si>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l2. c32 r64. 1000</t>
    </r>
  </si>
  <si>
    <t>Flavors utan lokal disk</t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</si>
  <si>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c1 r2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</si>
  <si>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c1 r4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</si>
  <si>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c2 r4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</si>
  <si>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c2 r8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</si>
  <si>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>b2 .c4 r8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</si>
  <si>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c4 r16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</si>
  <si>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c8 r16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</si>
  <si>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c8 r32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</si>
  <si>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c16 r32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</si>
  <si>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c16 r64</t>
    </r>
  </si>
  <si>
    <t>Flavors med GPU</t>
  </si>
  <si>
    <r>
      <rPr>
        <sz val="11"/>
        <color theme="1" tint="0.39988402966399123"/>
        <rFont val="Montserrat Medium"/>
      </rPr>
      <t>FLAVOR-</t>
    </r>
    <r>
      <rPr>
        <sz val="11"/>
        <color theme="3"/>
        <rFont val="Montserrat Medium"/>
      </rPr>
      <t>b2.c8r16.gA2</t>
    </r>
  </si>
  <si>
    <t>Central blocklagring</t>
  </si>
  <si>
    <t>Central blocklagring ger tre kopior av datat utspritt i ett robust CEPH-kluster.</t>
  </si>
  <si>
    <t>Beskrivning</t>
  </si>
  <si>
    <t>Extra GB</t>
  </si>
  <si>
    <t>Lagring</t>
  </si>
  <si>
    <r>
      <rPr>
        <sz val="48"/>
        <color theme="8"/>
        <rFont val="Hind Light"/>
      </rPr>
      <t xml:space="preserve">Safespring Storage </t>
    </r>
    <r>
      <rPr>
        <sz val="48"/>
        <color theme="8" tint="0.59987182226020086"/>
        <rFont val="Hind Light"/>
      </rPr>
      <t>| S3</t>
    </r>
  </si>
  <si>
    <t>Kontaka oss för rabatter vid större lagringsmängder. Prismodell baserat på antal lagrade TB i månaden.</t>
  </si>
  <si>
    <t>Per TB i 30 dagar</t>
  </si>
  <si>
    <t>Anpassad för större lagringsvolymer över längre tid.</t>
  </si>
  <si>
    <t>Anpassad för applikationer som aktivt använder S3-protokollet.</t>
  </si>
  <si>
    <r>
      <rPr>
        <sz val="48"/>
        <color theme="8"/>
        <rFont val="Hind Light"/>
      </rPr>
      <t>Safespring Backup</t>
    </r>
    <r>
      <rPr>
        <sz val="48"/>
        <color theme="8" tint="0.59987182226020086"/>
        <rFont val="Hind Light"/>
      </rPr>
      <t xml:space="preserve"> | SP</t>
    </r>
  </si>
  <si>
    <t>Backup-lösning i cloud för lokala servrar eller molnservrar baserad på Spectrum Protect (TSM).</t>
  </si>
  <si>
    <t>Alla priser angivna i SEK, exklusive moms.</t>
  </si>
  <si>
    <r>
      <rPr>
        <sz val="11"/>
        <color theme="1"/>
        <rFont val="Montserrat Medium"/>
      </rPr>
      <t xml:space="preserve">Instruktioner: </t>
    </r>
    <r>
      <rPr>
        <sz val="11"/>
        <color theme="1"/>
        <rFont val="Montserrat Light"/>
      </rPr>
      <t xml:space="preserve">Fyll i önskad kvantitet i de färgade fälten. </t>
    </r>
  </si>
  <si>
    <t>Fast månadspris</t>
  </si>
  <si>
    <t>Per GB i 30 dagar</t>
  </si>
  <si>
    <t>Antal GB</t>
  </si>
  <si>
    <r>
      <rPr>
        <sz val="14"/>
        <color theme="4"/>
        <rFont val="Hind Light"/>
      </rPr>
      <t>Deduplicering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</si>
  <si>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Nätverk och programvara</t>
  </si>
  <si>
    <t>Nätverk</t>
  </si>
  <si>
    <t>Safespring erbjuder flera nätverkstjänster.</t>
  </si>
  <si>
    <t xml:space="preserve"> Typ</t>
  </si>
  <si>
    <t>Debitering per</t>
  </si>
  <si>
    <t>Per månad</t>
  </si>
  <si>
    <t>Publik</t>
  </si>
  <si>
    <t>IP-adress</t>
  </si>
  <si>
    <t>Datatrafik</t>
  </si>
  <si>
    <t>Lastbalanserare som kräver egna instanser</t>
  </si>
  <si>
    <t xml:space="preserve">Instans </t>
  </si>
  <si>
    <t>Programvara och licenser</t>
  </si>
  <si>
    <t>Safespring erbjuder flera programvaror och licenser.</t>
  </si>
  <si>
    <t>Partnertjänster</t>
  </si>
  <si>
    <t xml:space="preserve">Safespring erbjuder flera tjänster via våra partners. </t>
  </si>
  <si>
    <t>Begär offert</t>
  </si>
  <si>
    <t>Support och konsulttjänster</t>
  </si>
  <si>
    <t>Support gäller för Safespring Compute, Safespring Storage och Safespring Backup.</t>
  </si>
  <si>
    <t>Safespring erbjuder flera supportavtal.</t>
  </si>
  <si>
    <t>Support för Safesprings tjänster</t>
  </si>
  <si>
    <t>Dedikerad servicechef med kvartalsvisa driftsmöten</t>
  </si>
  <si>
    <t>Timme</t>
  </si>
  <si>
    <t>Konsulttjänster</t>
  </si>
  <si>
    <t>Safespring erbjuder flera konsulttjänster.</t>
  </si>
  <si>
    <t>Utbildningar</t>
  </si>
  <si>
    <t>Safespring erbjuder flera utbildningar inom IaaS och molntjänster.</t>
  </si>
  <si>
    <t>Längd</t>
  </si>
  <si>
    <t>Introduktion till "infrastruktur som tjänst"</t>
  </si>
  <si>
    <t>En dag</t>
  </si>
  <si>
    <t>Tillfälle</t>
  </si>
  <si>
    <t>Molnstrategi för ledningsgrupper</t>
  </si>
  <si>
    <t>Introduktion till moln-infrastrukturteknik</t>
  </si>
  <si>
    <t>Fyra dagar</t>
  </si>
  <si>
    <t>Modern DevOps och "microservices"</t>
  </si>
  <si>
    <t>Månadskostnad</t>
  </si>
  <si>
    <t xml:space="preserve"> Kontakta Safespring för en fullständig offert</t>
  </si>
  <si>
    <t>Produkt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</si>
  <si>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 är en datareduktion som görs i tjänsten. Beroende på data varierar det normalt mellan 45 % - 90 %.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</si>
  <si>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 xml:space="preserve">Priset är per skyddad GB på klienten. 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</si>
  <si>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 xml:space="preserve">Priset är per lagrad GB i tjänsten efter deduplicering och komprimering. Det ingår 1 000 GB i det fasta månadspriset. 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</si>
  <si>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 xml:space="preserve">Priset är per lagrad GB i tjänsten efter deduplicering och komprimering. </t>
    </r>
  </si>
  <si>
    <t>Kontakt Safespring</t>
  </si>
  <si>
    <t>Telefon: +47 35 68 88 70</t>
  </si>
  <si>
    <t>Infrastruktur kan kjøres med en Open Source-lisens eller med en Windows-lisens.</t>
  </si>
  <si>
    <t>Alle priser er oppgitt i NOK, eks mva.</t>
  </si>
  <si>
    <r>
      <rPr>
        <sz val="11"/>
        <color theme="1"/>
        <rFont val="Montserrat Medium"/>
      </rPr>
      <t xml:space="preserve">Instruksjoner: </t>
    </r>
    <r>
      <rPr>
        <sz val="11"/>
        <color theme="1"/>
        <rFont val="Montserrat Light"/>
      </rPr>
      <t>Angi ønsket antall i de fargede feltene.</t>
    </r>
  </si>
  <si>
    <r>
      <rPr>
        <sz val="9"/>
        <color theme="1"/>
        <rFont val="Montserrat Light"/>
      </rPr>
      <t>Sentral blokklagring kan kjøpes til innsatsene. Se "</t>
    </r>
    <r>
      <rPr>
        <sz val="9"/>
        <color theme="5"/>
        <rFont val="Montserrat SemiBold"/>
      </rPr>
      <t>Sentral blokklagring</t>
    </r>
    <r>
      <rPr>
        <sz val="9"/>
        <color theme="1"/>
        <rFont val="Montserrat Light"/>
      </rPr>
      <t>" i prislisten.</t>
    </r>
  </si>
  <si>
    <t>Per time</t>
  </si>
  <si>
    <t>Per 30 dager</t>
  </si>
  <si>
    <t>Antall</t>
  </si>
  <si>
    <t>Sentral blokklagring gir tre kopier av dataene distribuert i en robust CEPH-klynge.</t>
  </si>
  <si>
    <t>Sentral blokklagring</t>
  </si>
  <si>
    <t>Beskrivelse</t>
  </si>
  <si>
    <t>Antall (GB)</t>
  </si>
  <si>
    <t>Kontakt oss for rabatter på større lagringsmengder. Prismodell basert på antall lagrede TB per måned.</t>
  </si>
  <si>
    <t>Alle priser er oppgitt i NOK, eks mva</t>
  </si>
  <si>
    <t>Per TB i 30 dager</t>
  </si>
  <si>
    <t>Antall (TB)</t>
  </si>
  <si>
    <t>Cloud backup-løsning for on-prem eller skyservere basert på Spectrum Protect (TSM).</t>
  </si>
  <si>
    <t>Fast månedlig pris</t>
  </si>
  <si>
    <t>Per GB i 30 dager</t>
  </si>
  <si>
    <r>
      <rPr>
        <sz val="14"/>
        <color theme="4"/>
        <rFont val="Hind Light"/>
      </rPr>
      <t>Deduplisering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</si>
  <si>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Kjør Compliant Kubernetes som en administrert tjeneste. Safespring Compute vil bli lagt til.</t>
  </si>
  <si>
    <t>Safespring Compute vil bli lagt til. Vi kan samarbeide med deg for å beregne prisen.</t>
  </si>
  <si>
    <r>
      <rPr>
        <sz val="11"/>
        <color theme="1"/>
        <rFont val="Montserrat Medium"/>
      </rPr>
      <t xml:space="preserve">Instruksjoner: </t>
    </r>
    <r>
      <rPr>
        <sz val="11"/>
        <color theme="1"/>
        <rFont val="Montserrat Light"/>
      </rPr>
      <t>Gjør et valg i de fargede feltene.</t>
    </r>
  </si>
  <si>
    <t>Støttetider</t>
  </si>
  <si>
    <t>Tilgjengelighet</t>
  </si>
  <si>
    <t>Hverdager</t>
  </si>
  <si>
    <t>Døgnet rundt</t>
  </si>
  <si>
    <t>Alle dager</t>
  </si>
  <si>
    <t>Nettverk og programvare</t>
  </si>
  <si>
    <t>Nettverk</t>
  </si>
  <si>
    <t>Safespring tilbyr flere nettverkstjenester.</t>
  </si>
  <si>
    <t>Type</t>
  </si>
  <si>
    <t>Fakturering pr</t>
  </si>
  <si>
    <t>Per måned</t>
  </si>
  <si>
    <t>Datatrafikk</t>
  </si>
  <si>
    <t>Lastbalansere som krever egne instanser</t>
  </si>
  <si>
    <t>Tilbud</t>
  </si>
  <si>
    <t>Programvare og lisenser</t>
  </si>
  <si>
    <t>Safespring tilbyr flere programvarer og lisenser.</t>
  </si>
  <si>
    <t>Plattformtjenester</t>
  </si>
  <si>
    <t>Safespring tilbyr flere plattformtjenester.</t>
  </si>
  <si>
    <t>Support og konsulenttjenester</t>
  </si>
  <si>
    <t>Support gjelder Safespring Compute, Safespring Storage og Safespring Backup.</t>
  </si>
  <si>
    <t>Safespring tilbyr flere support-avtaler.</t>
  </si>
  <si>
    <t>Support til Safesprings tjenester</t>
  </si>
  <si>
    <t>Dedikert servicesjef med kvartalsvise driftsmøter</t>
  </si>
  <si>
    <t>Konsulttjenester</t>
  </si>
  <si>
    <t>Safespring tilbyr flere konsulttjenester.</t>
  </si>
  <si>
    <t>Utdanninger</t>
  </si>
  <si>
    <t>Safespring tilbyr flere utdanninger innen IaaS og cloud.</t>
  </si>
  <si>
    <t>Varighet</t>
  </si>
  <si>
    <t>Introduksjon til "infrastruktur som en tjeneste"</t>
  </si>
  <si>
    <t>Stykk</t>
  </si>
  <si>
    <t>Cloud-strategi for ledergrupper</t>
  </si>
  <si>
    <t>Introduksjon til cloud-infrastrukturteknologi</t>
  </si>
  <si>
    <t>Fire dager</t>
  </si>
  <si>
    <t>Moderne DevOps og "microservices"</t>
  </si>
  <si>
    <t>Månedlig kostnad</t>
  </si>
  <si>
    <t>Kontakt Safespring for et komplett tilbud</t>
  </si>
  <si>
    <t>Telefon: 35 68 88 70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</si>
  <si>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 er en datareduksjon gjort i tjenesten. Avhengig av dataene varierer det normalt mellom 45 % - 90 %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</si>
  <si>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>Prisen er per beskyttet GB på klienten.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</si>
  <si>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per lagret GB i tjenesten etter deduplisering og komprimering. 1000 GB er inkludert i den faste månedsprisen.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</si>
  <si>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per lagret GB i tjenesten etter deduplisering og komprimering.</t>
    </r>
  </si>
  <si>
    <t>Price calculator 2022-01-04</t>
  </si>
  <si>
    <t>Phone: +46 855 10 73 56</t>
  </si>
  <si>
    <t>sales@safespring.com</t>
  </si>
  <si>
    <t>Infrastructure as a service can run on a open source license or with a Windows license.</t>
  </si>
  <si>
    <r>
      <rPr>
        <sz val="11"/>
        <color theme="1"/>
        <rFont val="Montserrat Medium"/>
      </rPr>
      <t>Instructions:</t>
    </r>
    <r>
      <rPr>
        <sz val="11"/>
        <color theme="1"/>
        <rFont val="Montserrat Light"/>
      </rPr>
      <t xml:space="preserve"> Enter the desired amount in the colored fields</t>
    </r>
  </si>
  <si>
    <t>Instances with central block storage</t>
  </si>
  <si>
    <t>Storage (GB)</t>
  </si>
  <si>
    <t>Monthly (30 days)</t>
  </si>
  <si>
    <t>Instances</t>
  </si>
  <si>
    <t>INSTANCE-b.tiny</t>
  </si>
  <si>
    <t>INSTANCE-b.small</t>
  </si>
  <si>
    <t>INSTANCE-b.medium</t>
  </si>
  <si>
    <t>INSTANCE-b.large</t>
  </si>
  <si>
    <t>INSTANCE-b.xlarge</t>
  </si>
  <si>
    <t>INSTANCE-b.2xlarge</t>
  </si>
  <si>
    <t>INSTANCE-m.small</t>
  </si>
  <si>
    <t>INSTANCE-m.medium</t>
  </si>
  <si>
    <t>INSTANCE-m.large</t>
  </si>
  <si>
    <t>INSTANCE-m.xlarge</t>
  </si>
  <si>
    <t>INSTANCE-m.2xlarge</t>
  </si>
  <si>
    <t>INSTANCE-m.4xlarge</t>
  </si>
  <si>
    <t>INSTANCE-m.8xlarge</t>
  </si>
  <si>
    <t>Instances with local storage (NVMe)</t>
  </si>
  <si>
    <t>INSTANCE-lb.tiny</t>
  </si>
  <si>
    <t>INSTANCE-lb.small</t>
  </si>
  <si>
    <t>INSTANCE-lb.medium.1d</t>
  </si>
  <si>
    <t>INSTANCE-lb.large.1d</t>
  </si>
  <si>
    <t>INSTANCE-lb.xlarge.1d</t>
  </si>
  <si>
    <t>INSTANCE-lb.2xlarge.1d</t>
  </si>
  <si>
    <t>INSTANCE-lb.2xlarge.2d</t>
  </si>
  <si>
    <t>INSTANCE-lb.2xlarge.4d</t>
  </si>
  <si>
    <t>INSTANCE-lb.4xlarge.1d</t>
  </si>
  <si>
    <t>INSTANCE-lb.4xlarge.2d</t>
  </si>
  <si>
    <t>INSTANCE-lb.4xlarge.4d</t>
  </si>
  <si>
    <t>INSTANCE-lm.small</t>
  </si>
  <si>
    <t>INSTANCE-lm.medium.1d</t>
  </si>
  <si>
    <t>INSTANCE-lm.large.1d</t>
  </si>
  <si>
    <t>INSTANCE-lm.xlarge.1d</t>
  </si>
  <si>
    <t>INSTANCE-lm.xlarge.2d</t>
  </si>
  <si>
    <t>INSTANCE-lm.xlarge.4d</t>
  </si>
  <si>
    <t>INSTANCE-lm.2xlarge.1d</t>
  </si>
  <si>
    <t>INSTANCE-lm.2xlarge.2d</t>
  </si>
  <si>
    <t>INSTANCE-lm.2xlarge.4d</t>
  </si>
  <si>
    <t>INSTANCE-lm.4xlarge.1d</t>
  </si>
  <si>
    <t>INSTANCE-lm.4xlarge.2d</t>
  </si>
  <si>
    <t>INSTANCE-lm.4xlarge.4d</t>
  </si>
  <si>
    <t>INSTANCE-lm.8xlarge.4d</t>
  </si>
  <si>
    <t>Instances with GPU and local storage (NVMe)</t>
  </si>
  <si>
    <t>Windows licenses</t>
  </si>
  <si>
    <t>Licenses</t>
  </si>
  <si>
    <t>INSTANCE-glm.large.1d</t>
  </si>
  <si>
    <t>INSTANCE-glm.xlarge.2d</t>
  </si>
  <si>
    <t>INSTANCE-glm.2xlarge.4d</t>
  </si>
  <si>
    <t>INSTANCE-glm.4xlarge.8d</t>
  </si>
  <si>
    <t xml:space="preserve">Bare Metal compute </t>
  </si>
  <si>
    <t>INSTANCE-p1.2xlarge.16d</t>
  </si>
  <si>
    <t>Instanser</t>
  </si>
  <si>
    <t>INSTANCE-p1.4xlarge.16d</t>
  </si>
  <si>
    <t>INSTANCE-p1.8xlarge.32d</t>
  </si>
  <si>
    <t>Extra Storage</t>
  </si>
  <si>
    <t>Per GB / Monthly</t>
  </si>
  <si>
    <t>VOLUME-large</t>
  </si>
  <si>
    <t>VOLUME-fast</t>
  </si>
  <si>
    <t xml:space="preserve">  Object storage with S3 standard.</t>
  </si>
  <si>
    <t>Price model based on the amount of terabyte stored at Safespring Storage</t>
  </si>
  <si>
    <r>
      <rPr>
        <sz val="11"/>
        <color theme="1"/>
        <rFont val="Montserrat Medium"/>
      </rPr>
      <t xml:space="preserve">   Instructions:</t>
    </r>
    <r>
      <rPr>
        <sz val="11"/>
        <color theme="1"/>
        <rFont val="Montserrat Light"/>
      </rPr>
      <t xml:space="preserve"> 
Enter the desired amount in the colored fields</t>
    </r>
  </si>
  <si>
    <t>Amount of TB</t>
  </si>
  <si>
    <t>Per TB/monthly</t>
  </si>
  <si>
    <t>S3-storage</t>
  </si>
  <si>
    <t xml:space="preserve">  Total</t>
  </si>
  <si>
    <t>Cloud backup solution for on-prem or cloud servers based on Spectrum Protect.</t>
  </si>
  <si>
    <t>Monthly fee</t>
  </si>
  <si>
    <t>Per GB/month</t>
  </si>
  <si>
    <r>
      <rPr>
        <sz val="14"/>
        <color theme="4"/>
        <rFont val="Hind Light"/>
      </rPr>
      <t>Deduplication</t>
    </r>
    <r>
      <rPr>
        <sz val="14"/>
        <color theme="6"/>
        <rFont val="Hind Light"/>
      </rPr>
      <t>*</t>
    </r>
  </si>
  <si>
    <r>
      <rPr>
        <sz val="11"/>
        <color theme="1"/>
        <rFont val="Montserrat Medium"/>
      </rPr>
      <t xml:space="preserve">BAAS-on.demand </t>
    </r>
    <r>
      <rPr>
        <sz val="11"/>
        <color theme="6"/>
        <rFont val="Montserrat Medium"/>
      </rPr>
      <t>**</t>
    </r>
  </si>
  <si>
    <r>
      <rPr>
        <sz val="11"/>
        <color theme="1"/>
        <rFont val="Montserrat Medium"/>
      </rPr>
      <t xml:space="preserve">BAAS-small </t>
    </r>
    <r>
      <rPr>
        <sz val="11"/>
        <color theme="6"/>
        <rFont val="Montserrat Medium"/>
      </rPr>
      <t>****</t>
    </r>
  </si>
  <si>
    <r>
      <rPr>
        <sz val="11"/>
        <color theme="1"/>
        <rFont val="Montserrat Medium"/>
      </rPr>
      <t xml:space="preserve">BAAS-large </t>
    </r>
    <r>
      <rPr>
        <sz val="11"/>
        <color theme="6"/>
        <rFont val="Montserrat Medium"/>
      </rPr>
      <t>***</t>
    </r>
  </si>
  <si>
    <r>
      <rPr>
        <i/>
        <sz val="11"/>
        <color theme="6"/>
        <rFont val="Montserrat Light"/>
      </rPr>
      <t xml:space="preserve">* </t>
    </r>
    <r>
      <rPr>
        <i/>
        <sz val="11"/>
        <color theme="1"/>
        <rFont val="Montserrat Light"/>
      </rPr>
      <t>Deduplication is a data reduction done in the service. Depending on the data, it usually varies between 45% -90%</t>
    </r>
  </si>
  <si>
    <r>
      <rPr>
        <i/>
        <sz val="11"/>
        <color theme="6"/>
        <rFont val="Montserrat Light"/>
      </rPr>
      <t xml:space="preserve">** </t>
    </r>
    <r>
      <rPr>
        <i/>
        <sz val="11"/>
        <color theme="1"/>
        <rFont val="Montserrat Light"/>
      </rPr>
      <t>The price is per protected GB on the client.</t>
    </r>
  </si>
  <si>
    <r>
      <rPr>
        <i/>
        <sz val="11"/>
        <color theme="6"/>
        <rFont val="Montserrat Light"/>
      </rPr>
      <t xml:space="preserve">*** </t>
    </r>
    <r>
      <rPr>
        <i/>
        <sz val="11"/>
        <color theme="1"/>
        <rFont val="Montserrat Light"/>
      </rPr>
      <t>The price is per GB stored in the service after deduplication and compression.</t>
    </r>
  </si>
  <si>
    <r>
      <rPr>
        <i/>
        <sz val="11"/>
        <color theme="6"/>
        <rFont val="Montserrat Light"/>
      </rPr>
      <t xml:space="preserve">**** </t>
    </r>
    <r>
      <rPr>
        <i/>
        <sz val="11"/>
        <color theme="1"/>
        <rFont val="Montserrat Light"/>
      </rPr>
      <t>The price is per GB stored in the service after deduplication and compression. The service includes 1000GB in the fixed monthly price.</t>
    </r>
  </si>
  <si>
    <t>Charge per</t>
  </si>
  <si>
    <t>NET-publicv4</t>
  </si>
  <si>
    <t>NET-publicv6</t>
  </si>
  <si>
    <t>NET-ingress</t>
  </si>
  <si>
    <t>NET-egress</t>
  </si>
  <si>
    <t>1 TB / month included per project (no charges for the academic sector)</t>
  </si>
  <si>
    <t>NET-mgn.slb</t>
  </si>
  <si>
    <t xml:space="preserve">Managed SLB </t>
  </si>
  <si>
    <t>NET-rdns</t>
  </si>
  <si>
    <t>NET-byoip</t>
  </si>
  <si>
    <t>SW-win.ser.2016</t>
  </si>
  <si>
    <t>Windows Server 2016</t>
  </si>
  <si>
    <t>SW-win.ser.2019</t>
  </si>
  <si>
    <t>Windows Server 2019</t>
  </si>
  <si>
    <t>SW-ms.sql.ser</t>
  </si>
  <si>
    <t>Microsoft SQL Server</t>
  </si>
  <si>
    <t>SW-stackn</t>
  </si>
  <si>
    <t>STACKn (Machine Learning), supported by provider</t>
  </si>
  <si>
    <t>SW-nextcloud</t>
  </si>
  <si>
    <t>Nextcloud Filesharing</t>
  </si>
  <si>
    <t>SW-suse.linux</t>
  </si>
  <si>
    <t>SUSE Linux Enterprise Server, 12x5 Support</t>
  </si>
  <si>
    <t>SW-cluster.control</t>
  </si>
  <si>
    <t>Cluster Control Supported</t>
  </si>
  <si>
    <t>SW-backup.ninja</t>
  </si>
  <si>
    <t>Backup Ninja</t>
  </si>
  <si>
    <t>Databas</t>
  </si>
  <si>
    <t>PAAS-man.kubernetes24</t>
  </si>
  <si>
    <t>Managed Compliant Kubernetes 24/7</t>
  </si>
  <si>
    <t>PAAS-man.kubernetes8</t>
  </si>
  <si>
    <t>Managed Compliant Kubernetes 8/5</t>
  </si>
  <si>
    <t>PAAS-man.elasticsearch</t>
  </si>
  <si>
    <t>Managed Elasticsearch + Grafana service</t>
  </si>
  <si>
    <t>PAAS-man.redis</t>
  </si>
  <si>
    <t>Redis server</t>
  </si>
  <si>
    <t>PAAS-man.nats</t>
  </si>
  <si>
    <t>Managed NATS</t>
  </si>
  <si>
    <t>Nats server</t>
  </si>
  <si>
    <t>PAAS-man.mariadb</t>
  </si>
  <si>
    <t>Database</t>
  </si>
  <si>
    <t>Support and consulting</t>
  </si>
  <si>
    <t>SUPPORT-iaas.base</t>
  </si>
  <si>
    <t>Base IaaS Support</t>
  </si>
  <si>
    <t>SUPPORT-standard</t>
  </si>
  <si>
    <t>Access to backchannel chat room with support and engineering</t>
  </si>
  <si>
    <t>Total volume</t>
  </si>
  <si>
    <t>3 % of total volume</t>
  </si>
  <si>
    <t>SUPPORT-premium</t>
  </si>
  <si>
    <t>Ask for quote</t>
  </si>
  <si>
    <t>* The support fee is charged at 3 % of the total volume with a minimum fee of 150 Euro per month.</t>
  </si>
  <si>
    <t>Consulting</t>
  </si>
  <si>
    <t>PS-consult.jun</t>
  </si>
  <si>
    <t>PS-consult.sen</t>
  </si>
  <si>
    <t>PS-cloudarch.jun</t>
  </si>
  <si>
    <t>PS-cloudarch.sen</t>
  </si>
  <si>
    <t>PS-pm.jun</t>
  </si>
  <si>
    <t>PS-pm.sen</t>
  </si>
  <si>
    <t>Training</t>
  </si>
  <si>
    <t>TRAIN-intro.iaas</t>
  </si>
  <si>
    <t>TRAIN-cxo.strategy</t>
  </si>
  <si>
    <t>Cloud strategy for top management</t>
  </si>
  <si>
    <t>TRAIN-intro.cloud</t>
  </si>
  <si>
    <t>Introduction to cloud computing</t>
  </si>
  <si>
    <t>TRAIN-devops.microservices</t>
  </si>
  <si>
    <t>Modern DevOps and microservices</t>
  </si>
  <si>
    <t>Calculated price</t>
  </si>
  <si>
    <t>Contact Safespring for a full quote</t>
  </si>
  <si>
    <t>sales@safespring.se</t>
  </si>
  <si>
    <t xml:space="preserve">  Product</t>
  </si>
  <si>
    <t>Montly</t>
  </si>
  <si>
    <t xml:space="preserve">  Safespring Compute</t>
  </si>
  <si>
    <t xml:space="preserve">  Safespring Storage</t>
  </si>
  <si>
    <t xml:space="preserve">  Safespring Backup</t>
  </si>
  <si>
    <t xml:space="preserve">  Licenses (Microsoft)</t>
  </si>
  <si>
    <t>Priskalkulator 04.01.2022</t>
  </si>
  <si>
    <t>Infrastruktur kan kjøres med en gratis opensource-lisens eller med en Windows-lisens.</t>
  </si>
  <si>
    <t>Alle priser er oppgitt i NOK, eksklusiv mva.</t>
  </si>
  <si>
    <t>Instanser med sentral blokklagring</t>
  </si>
  <si>
    <t>Disk (GB)</t>
  </si>
  <si>
    <t>Antall instanser</t>
  </si>
  <si>
    <t>Instanser med lokal lagring (NVMe-disk)</t>
  </si>
  <si>
    <t>Instanser med GPU og lokal lagring (NVME-disk)</t>
  </si>
  <si>
    <t>Windows-lisenser</t>
  </si>
  <si>
    <t>Lisenser</t>
  </si>
  <si>
    <t xml:space="preserve">"Bare Metal" compute </t>
  </si>
  <si>
    <t>Ekstra lagring</t>
  </si>
  <si>
    <t>Per GB/måned</t>
  </si>
  <si>
    <t>Ekstra GB</t>
  </si>
  <si>
    <t>Objektlagring med standard S3.</t>
  </si>
  <si>
    <t>Prismodell basert på antall lagrede TB, se tabellen nedenfor.</t>
  </si>
  <si>
    <r>
      <rPr>
        <sz val="11"/>
        <color rgb="FF414141"/>
        <rFont val="Montserrat Medium"/>
      </rPr>
      <t xml:space="preserve">Instruksjoner: </t>
    </r>
    <r>
      <rPr>
        <sz val="11"/>
        <color rgb="FF414141"/>
        <rFont val="Montserrat Light"/>
      </rPr>
      <t>Fyll ut ønsket mengde i de fargede feltene.</t>
    </r>
  </si>
  <si>
    <t>Antall TB</t>
  </si>
  <si>
    <t>Per TB/måned</t>
  </si>
  <si>
    <t>0 - 50</t>
  </si>
  <si>
    <t>51 - 100</t>
  </si>
  <si>
    <t>101 - 500</t>
  </si>
  <si>
    <t>501 - 1000</t>
  </si>
  <si>
    <t xml:space="preserve">1001 - </t>
  </si>
  <si>
    <t>Cloud backup-løsning for lokale servere eller skyservere basert på Spectrum Protect.</t>
  </si>
  <si>
    <t>Deduplisering*</t>
  </si>
  <si>
    <r>
      <rPr>
        <i/>
        <sz val="11"/>
        <color theme="6"/>
        <rFont val="Montserrat Light"/>
      </rPr>
      <t xml:space="preserve">* </t>
    </r>
    <r>
      <rPr>
        <i/>
        <sz val="11"/>
        <color theme="1"/>
        <rFont val="Montserrat Light"/>
      </rPr>
      <t>Dedup er en datareduksjon som er gjort i tjenesten. Avhengig av data varierer det normalt mellom 45% -90%</t>
    </r>
  </si>
  <si>
    <r>
      <rPr>
        <i/>
        <sz val="11"/>
        <color theme="6"/>
        <rFont val="Montserrat Light"/>
      </rPr>
      <t xml:space="preserve">** </t>
    </r>
    <r>
      <rPr>
        <i/>
        <sz val="11"/>
        <color theme="1"/>
        <rFont val="Montserrat Light"/>
      </rPr>
      <t>Prisen er per beskyttet GB på klienten.</t>
    </r>
  </si>
  <si>
    <r>
      <rPr>
        <i/>
        <sz val="11"/>
        <color theme="6"/>
        <rFont val="Montserrat Light"/>
      </rPr>
      <t xml:space="preserve">*** </t>
    </r>
    <r>
      <rPr>
        <i/>
        <sz val="11"/>
        <color theme="1"/>
        <rFont val="Montserrat Light"/>
      </rPr>
      <t>Prisen er per lagret GB i tjenesten etter deduplisering og komprimering.</t>
    </r>
  </si>
  <si>
    <r>
      <rPr>
        <i/>
        <sz val="11"/>
        <color theme="6"/>
        <rFont val="Montserrat Light"/>
      </rPr>
      <t xml:space="preserve">**** </t>
    </r>
    <r>
      <rPr>
        <i/>
        <sz val="11"/>
        <color theme="1"/>
        <rFont val="Montserrat Light"/>
      </rPr>
      <t>Prisen er per lagret GB i tjenesten etter deduplisering og komprimering. 1000 GB er inkludert i den faste månedlige prisen.</t>
    </r>
  </si>
  <si>
    <t>Pris per</t>
  </si>
  <si>
    <t>IP adresse</t>
  </si>
  <si>
    <t>1 TB / måned inkludert per prosjekt (gratis i akademisk sektor)</t>
  </si>
  <si>
    <t>Microsft SQL Server</t>
  </si>
  <si>
    <t>Instanse</t>
  </si>
  <si>
    <t>Plattformstjänster</t>
  </si>
  <si>
    <t xml:space="preserve">Managed Elasticsearch </t>
  </si>
  <si>
    <t>Forespørsel om tilbud</t>
  </si>
  <si>
    <t>Lading per</t>
  </si>
  <si>
    <t>Total volym</t>
  </si>
  <si>
    <t>3 % av total volym</t>
  </si>
  <si>
    <t>Time</t>
  </si>
  <si>
    <t>Pris på forespørsel</t>
  </si>
  <si>
    <t>* The support fee is charged at 3 % of the total volume with a minimum fee of 1500 SEK per month.</t>
  </si>
  <si>
    <t>Konsulenttjenester</t>
  </si>
  <si>
    <t>Lengde</t>
  </si>
  <si>
    <t>Introduktion til "Infrastruktur som tjeneste"</t>
  </si>
  <si>
    <t>Mulighet</t>
  </si>
  <si>
    <t>Skystrategi for ledergrupper</t>
  </si>
  <si>
    <t>introduksjon til skybasert infrastrukturteknikk</t>
  </si>
  <si>
    <t>Alle priser er oppgitt i SEK, eksklusiv mva.</t>
  </si>
  <si>
    <t>Kontakt Safespring for et fullstendig tilbud</t>
  </si>
  <si>
    <t xml:space="preserve">  Tjeneste</t>
  </si>
  <si>
    <t>Priskalkylator 2020-07-02</t>
  </si>
  <si>
    <t>SEK</t>
  </si>
  <si>
    <t xml:space="preserve">   Infrastruktur kan köras med kostnadsfri opensource-licens eller med Windows-licens.</t>
  </si>
  <si>
    <t xml:space="preserve">   Alla priser är angivna i SEK, exklusive moms.</t>
  </si>
  <si>
    <r>
      <rPr>
        <sz val="11"/>
        <color theme="1"/>
        <rFont val="Montserrat Medium"/>
      </rPr>
      <t xml:space="preserve">   Instruktioner:</t>
    </r>
    <r>
      <rPr>
        <sz val="11"/>
        <color theme="1"/>
        <rFont val="Montserrat Light"/>
      </rPr>
      <t xml:space="preserve"> Fyll i önskad kvantitet i de färgade fälten. </t>
    </r>
  </si>
  <si>
    <t>Instanser med central blocklagring</t>
  </si>
  <si>
    <t>Region</t>
  </si>
  <si>
    <t>Windows-licenser</t>
  </si>
  <si>
    <t>SQL-licenser</t>
  </si>
  <si>
    <t>Licenser</t>
  </si>
  <si>
    <t>STO-1</t>
  </si>
  <si>
    <t>SUNET Private Cloud</t>
  </si>
  <si>
    <t>lb.tiny</t>
  </si>
  <si>
    <t>STH-B</t>
  </si>
  <si>
    <t>lb.small</t>
  </si>
  <si>
    <t>lb.medium.1d</t>
  </si>
  <si>
    <t>lb.large.1d</t>
  </si>
  <si>
    <t>lb.xlarge.1d</t>
  </si>
  <si>
    <t>lb.2xlarge.1d</t>
  </si>
  <si>
    <t>lb.2xlarge.2d</t>
  </si>
  <si>
    <t>lb.2xlarge.4d</t>
  </si>
  <si>
    <t>lb.4xlarge.1d</t>
  </si>
  <si>
    <t>lb.4xlarge.2d</t>
  </si>
  <si>
    <t>lb.4xlarge.4d</t>
  </si>
  <si>
    <t>lm.small</t>
  </si>
  <si>
    <t>lm.medium.1d</t>
  </si>
  <si>
    <t>lm.large.1d</t>
  </si>
  <si>
    <t>lm.xlarge.1d</t>
  </si>
  <si>
    <t>lm.2xlarge.1d</t>
  </si>
  <si>
    <t>lm.2xlarge.2d</t>
  </si>
  <si>
    <t>lm.2xlarge.4d</t>
  </si>
  <si>
    <t>lm.4xlarge.1d</t>
  </si>
  <si>
    <t>lm.4xlarge.2d</t>
  </si>
  <si>
    <t>lm.4xlarge.4d</t>
  </si>
  <si>
    <t xml:space="preserve"> Totalt</t>
  </si>
  <si>
    <t>Extra lagring</t>
  </si>
  <si>
    <t>Per GB/månad</t>
  </si>
  <si>
    <t>SUNET Lagring i privat molntjänst</t>
  </si>
  <si>
    <t xml:space="preserve">  Objektlagring med standarden S3.</t>
  </si>
  <si>
    <t>Prismodell baserat på antal lagrade GB, se tabellen nedan.</t>
  </si>
  <si>
    <t>Per GB /månad</t>
  </si>
  <si>
    <t>&lt;300</t>
  </si>
  <si>
    <t>&gt;=300</t>
  </si>
  <si>
    <t>&gt;=1000</t>
  </si>
  <si>
    <t>&gt;=2000</t>
  </si>
  <si>
    <t>Minsta åtagande</t>
  </si>
  <si>
    <t xml:space="preserve">   Alla priser angivna i SEK, exklusive moms.</t>
  </si>
  <si>
    <r>
      <rPr>
        <sz val="11"/>
        <color theme="1"/>
        <rFont val="Montserrat Medium"/>
      </rPr>
      <t xml:space="preserve">   Instruktioner: </t>
    </r>
    <r>
      <rPr>
        <sz val="11"/>
        <color theme="1"/>
        <rFont val="Montserrat Light"/>
      </rPr>
      <t xml:space="preserve">Fyll i önskad kvantitet i de färgade fälten. </t>
    </r>
  </si>
  <si>
    <r>
      <rPr>
        <sz val="14"/>
        <color theme="4"/>
        <rFont val="Hind Light"/>
      </rPr>
      <t>Deduplicering</t>
    </r>
    <r>
      <rPr>
        <sz val="14"/>
        <color theme="6"/>
        <rFont val="Hind Light"/>
      </rPr>
      <t>*</t>
    </r>
  </si>
  <si>
    <r>
      <rPr>
        <i/>
        <sz val="11"/>
        <color theme="6"/>
        <rFont val="Montserrat Light"/>
      </rPr>
      <t xml:space="preserve">* </t>
    </r>
    <r>
      <rPr>
        <i/>
        <sz val="11"/>
        <color theme="1"/>
        <rFont val="Montserrat Light"/>
      </rPr>
      <t>Dedup är en datareduktion som görs i tjänsten. Beroende på data varierar det normalt mellan 45%-90%</t>
    </r>
  </si>
  <si>
    <r>
      <rPr>
        <i/>
        <sz val="11"/>
        <color theme="6"/>
        <rFont val="Montserrat Light"/>
      </rPr>
      <t xml:space="preserve">** </t>
    </r>
    <r>
      <rPr>
        <i/>
        <sz val="11"/>
        <color theme="1"/>
        <rFont val="Montserrat Light"/>
      </rPr>
      <t xml:space="preserve">Priset är per skyddad GB på klienten. </t>
    </r>
  </si>
  <si>
    <r>
      <rPr>
        <i/>
        <sz val="11"/>
        <color theme="6"/>
        <rFont val="Montserrat Light"/>
      </rPr>
      <t xml:space="preserve">*** </t>
    </r>
    <r>
      <rPr>
        <i/>
        <sz val="11"/>
        <color theme="1"/>
        <rFont val="Montserrat Light"/>
      </rPr>
      <t xml:space="preserve">Priset är per lagrad GB i tjänsten efter deduplicering och komprimering. </t>
    </r>
  </si>
  <si>
    <r>
      <rPr>
        <i/>
        <sz val="11"/>
        <color theme="6"/>
        <rFont val="Montserrat Light"/>
      </rPr>
      <t xml:space="preserve">**** </t>
    </r>
    <r>
      <rPr>
        <i/>
        <sz val="11"/>
        <color theme="1"/>
        <rFont val="Montserrat Light"/>
      </rPr>
      <t>Priset är per lagrad GB i tjänsten efter deduplicering och komprimering. Det ingår 1000GB i det fasta månadspriset.</t>
    </r>
  </si>
  <si>
    <t xml:space="preserve">  Kontakta Safespring för fullständig offert</t>
  </si>
  <si>
    <t xml:space="preserve">  Produkt</t>
  </si>
  <si>
    <t xml:space="preserve">  Licenser (Microsoft)</t>
  </si>
  <si>
    <r>
      <rPr>
        <sz val="11"/>
        <color theme="1"/>
        <rFont val="Montserrat Medium"/>
      </rPr>
      <t xml:space="preserve">Safespring Compute - </t>
    </r>
    <r>
      <rPr>
        <sz val="11"/>
        <color theme="1"/>
        <rFont val="Montserrat Light"/>
      </rPr>
      <t>Totalt efter avdrag för 12 månaders åtagande</t>
    </r>
  </si>
  <si>
    <r>
      <rPr>
        <sz val="11"/>
        <color theme="1"/>
        <rFont val="Montserrat Medium"/>
      </rPr>
      <t xml:space="preserve">Safespring Compute - </t>
    </r>
    <r>
      <rPr>
        <sz val="11"/>
        <color theme="1"/>
        <rFont val="Montserrat Light"/>
      </rPr>
      <t>Totalt efter avdrag för 36 månaders åtagade</t>
    </r>
  </si>
  <si>
    <t>Telefon: +46 8-55 10 73 56</t>
  </si>
  <si>
    <t>Fakturaen vil være i DKK, hvor den gennemsnitlige valutakurs, baseret på valutakurserne fra ECB, pr. måned bruges til at beregne priserne.</t>
  </si>
  <si>
    <t>Infrastruktur kan køre med en Open Source-licens eller med en Windows-licens.</t>
  </si>
  <si>
    <t>Alle priser er i EUR, eksklusive moms. Fakturaen vil være i DKK, hvor den gennemsnitlige valutakurs, baseret på valutakurserne fra ECB, pr. måned bruges til at beregne priserne.</t>
  </si>
  <si>
    <r>
      <rPr>
        <sz val="11"/>
        <color theme="1"/>
        <rFont val="Montserrat Medium"/>
      </rPr>
      <t xml:space="preserve">Vejledning: </t>
    </r>
    <r>
      <rPr>
        <sz val="11"/>
        <color theme="1"/>
        <rFont val="Montserrat Light"/>
      </rPr>
      <t>Udfyld det ønskede antal i de farvede felter.</t>
    </r>
  </si>
  <si>
    <r>
      <rPr>
        <sz val="9"/>
        <color theme="1"/>
        <rFont val="Montserrat Light"/>
      </rPr>
      <t>Central bloklagring kan købes til instanserne. Se "</t>
    </r>
    <r>
      <rPr>
        <sz val="9"/>
        <color theme="5"/>
        <rFont val="Montserrat SemiBold"/>
      </rPr>
      <t>Central bloklagring</t>
    </r>
    <r>
      <rPr>
        <sz val="9"/>
        <color theme="1"/>
        <rFont val="Montserrat Light"/>
      </rPr>
      <t>" i prislisten.</t>
    </r>
  </si>
  <si>
    <t>Per 30 dage</t>
  </si>
  <si>
    <t>Flavors uden lokal disk</t>
  </si>
  <si>
    <t xml:space="preserve">Flavors med GPU </t>
  </si>
  <si>
    <t>Central bloklagring</t>
  </si>
  <si>
    <t>Central bloklagring giver tre kopier af data fordelt i en robust CEPH-klynge.</t>
  </si>
  <si>
    <t>Antal (GB)</t>
  </si>
  <si>
    <t>Kontakt os for rabatter på større lagermængder. Prismodellen er baseret på antallet af lagrede TB pr. måned.</t>
  </si>
  <si>
    <t>Per TB i 30 dage</t>
  </si>
  <si>
    <t>Antal (TB)</t>
  </si>
  <si>
    <t>Cloud backup-løsning for lokale servere eller cloud-servere baseret på Spectrum Protect (TSM).</t>
  </si>
  <si>
    <t>Per GB i 30 dage</t>
  </si>
  <si>
    <r>
      <rPr>
        <sz val="12"/>
        <color theme="4"/>
        <rFont val="Hind Light"/>
      </rPr>
      <t>Deduplicering</t>
    </r>
    <r>
      <rPr>
        <sz val="14"/>
        <color theme="4"/>
        <rFont val="Hind Light"/>
      </rPr>
      <t xml:space="preserve"> 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</si>
  <si>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Netværk og software</t>
  </si>
  <si>
    <t>Safespring tilbyder flere netværkstjenester.</t>
  </si>
  <si>
    <t>Fakturering pr.</t>
  </si>
  <si>
    <t>Pr. måned</t>
  </si>
  <si>
    <t>IP-adresse</t>
  </si>
  <si>
    <t>Dataoverførsel</t>
  </si>
  <si>
    <t>Load balancer, der kræver deres egne instanser</t>
  </si>
  <si>
    <t>Instans</t>
  </si>
  <si>
    <t xml:space="preserve"> Bed om tilbud</t>
  </si>
  <si>
    <t>Software og licenser</t>
  </si>
  <si>
    <t>Safespring tilbyder flere software og licenser.</t>
  </si>
  <si>
    <t>Safespring tilbyder flere platformstjenester.</t>
  </si>
  <si>
    <t>Support gælder for Safespring Compute, Safespring Storage og Safespring Backup.</t>
  </si>
  <si>
    <t>Safespring tilbyder flere support-aftaler.</t>
  </si>
  <si>
    <t>Dedikeret servicechef med kvartalsvise driftsmøder</t>
  </si>
  <si>
    <t>Safespring tilbyder flere konsulenttjenester.</t>
  </si>
  <si>
    <t>Uddannelser</t>
  </si>
  <si>
    <t>Safespring tilbyder flere uddannelser i IaaS og cloud.</t>
  </si>
  <si>
    <t>Varighed</t>
  </si>
  <si>
    <t>Introduktion til "infrastruktur som en tjeneste"</t>
  </si>
  <si>
    <t>Lejlighed</t>
  </si>
  <si>
    <t>Cloud-strategi for ledelsesgrupper</t>
  </si>
  <si>
    <t>Introduktion til cloud-infrastrukturteknologi</t>
  </si>
  <si>
    <t>Fire dage</t>
  </si>
  <si>
    <t>Månedlig omkostning</t>
  </si>
  <si>
    <t>Kontakt Safespring for et komplet tilbud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</si>
  <si>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Deduplicering er en datareduktion, der udføres i tjenesten. Afhængigt af data varierer det normalt mellem 45 % - 90 %.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</si>
  <si>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>Prisen er pr. beskyttet GB på klienten.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</si>
  <si>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pr. GB, der er gemt i tjenesten efter deduplicering og komprimering.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</si>
  <si>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pr. GB, der er gemt i tjenesten efter deduplicering og komprimering. Tjenesten inkluderer 1000 GB i den faste månedlige pris.</t>
    </r>
  </si>
  <si>
    <t>Prissättning</t>
  </si>
  <si>
    <t>SEK/NOK</t>
  </si>
  <si>
    <t>EUR</t>
  </si>
  <si>
    <t>SUNET med påslag</t>
  </si>
  <si>
    <t>Currency Factor</t>
  </si>
  <si>
    <t>IAAS-ram</t>
  </si>
  <si>
    <t>IAAS-ssd</t>
  </si>
  <si>
    <t>uppdaterat 2026-02-27</t>
  </si>
  <si>
    <t>IAAS-vcpu</t>
  </si>
  <si>
    <t>NOK</t>
  </si>
  <si>
    <t>IAAS-nvme</t>
  </si>
  <si>
    <t>IAAS-gpu</t>
  </si>
  <si>
    <r>
      <rPr>
        <b/>
        <sz val="11"/>
        <color theme="3"/>
        <rFont val="Montserrat Medium"/>
      </rPr>
      <t xml:space="preserve">IAAS-pcpu </t>
    </r>
    <r>
      <rPr>
        <sz val="11"/>
        <color theme="3"/>
        <rFont val="Montserrat Light"/>
      </rPr>
      <t>(beräknad)</t>
    </r>
  </si>
  <si>
    <t xml:space="preserve">  Typ</t>
  </si>
  <si>
    <t>IAAS-GPU-A2</t>
  </si>
  <si>
    <t xml:space="preserve">  vCPU</t>
  </si>
  <si>
    <t xml:space="preserve">  RAM</t>
  </si>
  <si>
    <t>Bare metal compute</t>
  </si>
  <si>
    <t>SUNET</t>
  </si>
  <si>
    <t>BAAS-on.demand</t>
  </si>
  <si>
    <t>BAAS-small.fee</t>
  </si>
  <si>
    <t>BAAS-large.fee</t>
  </si>
  <si>
    <t>BAAS-small</t>
  </si>
  <si>
    <t>BAAS-large</t>
  </si>
  <si>
    <t>S3-storage.50</t>
  </si>
  <si>
    <t>S3-storage.100</t>
  </si>
  <si>
    <t>S3-storage.500</t>
  </si>
  <si>
    <t>S3-storage.1000</t>
  </si>
  <si>
    <t>S3-storage.quote</t>
  </si>
  <si>
    <t>Be om offert</t>
  </si>
  <si>
    <t>S3-archive.50</t>
  </si>
  <si>
    <t>S3-archive.100</t>
  </si>
  <si>
    <t>S3-archive.500</t>
  </si>
  <si>
    <t>S3-archive.1000</t>
  </si>
  <si>
    <t>S3-archive.quote</t>
  </si>
  <si>
    <t>NET-saferoute</t>
  </si>
  <si>
    <t>Mjukvara</t>
  </si>
  <si>
    <t>SW-win.ser.2016 &amp; 2019</t>
  </si>
  <si>
    <t>SW-ms.sql.ser.ent</t>
  </si>
  <si>
    <t>SW-suse</t>
  </si>
  <si>
    <t>3x instanspris</t>
  </si>
  <si>
    <t>3x instance price</t>
  </si>
  <si>
    <t xml:space="preserve"> Begär offert </t>
  </si>
  <si>
    <t>PAAS-openshift</t>
  </si>
  <si>
    <r>
      <t>FLAVOR-</t>
    </r>
    <r>
      <rPr>
        <sz val="11"/>
        <color theme="3"/>
        <rFont val="Montserrat Medium"/>
      </rPr>
      <t>b2.c32.r192.gH100</t>
    </r>
  </si>
  <si>
    <t>IAAS-GPU-H100</t>
  </si>
  <si>
    <t>Nvidia</t>
  </si>
  <si>
    <t>A2</t>
  </si>
  <si>
    <t>H100</t>
  </si>
  <si>
    <r>
      <t>FLAVOR-</t>
    </r>
    <r>
      <rPr>
        <sz val="11"/>
        <color theme="1"/>
        <rFont val="Montserrat Medium"/>
      </rPr>
      <t>l2. c16 r64. 500</t>
    </r>
  </si>
  <si>
    <t>Managed Opensearch (Included in Elastisys Welkin)</t>
  </si>
  <si>
    <t>Managed Opensearch (Welkin)</t>
  </si>
  <si>
    <r>
      <t>FLAVOR-</t>
    </r>
    <r>
      <rPr>
        <sz val="11"/>
        <color theme="3"/>
        <rFont val="Montserrat Medium"/>
      </rPr>
      <t>l2.c4r16.125.gA2</t>
    </r>
  </si>
  <si>
    <t>Managed Control plane</t>
  </si>
  <si>
    <t>Unmanaged Control plane</t>
  </si>
  <si>
    <t>Safespring Kubernetes Engine</t>
  </si>
  <si>
    <t>Kontrollplan</t>
  </si>
  <si>
    <t>Första kontrollplanet är managerat men sedan går det att addera omanagerade kontrollplan.</t>
  </si>
  <si>
    <t>Control plane</t>
  </si>
  <si>
    <t>The first control plane is managed, but unmanaged control planes can be added afterwards.</t>
  </si>
  <si>
    <t>Det første kontrollplanet er administrert, men deretter er det mulig å legge til uadministrerte kontrollplan.</t>
  </si>
  <si>
    <t>Kontrolplan</t>
  </si>
  <si>
    <t>Det første kontrolplan er administreret, men derefter er det muligt at tilføje ikke-administrerede kontrolplaner.</t>
  </si>
  <si>
    <t>Price calculator 2026-05-25</t>
  </si>
  <si>
    <t>Prisberegner 2026-05-25</t>
  </si>
  <si>
    <t>Priskalkulator 2026-05-25</t>
  </si>
  <si>
    <t>Priskalkylator 2026-05-25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</si>
</sst>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#,##0.00\ [$€-1];\-#,##0.00\ [$€-1]"/>
    <numFmt numFmtId="165" formatCode="#,##0&quot; kr&quot;;[Red]\-#,##0&quot; kr&quot;"/>
    <numFmt numFmtId="166" formatCode="_-* #,##0.00_-;\-* #,##0.00_-;_-* \-??_-;_-@_-"/>
    <numFmt numFmtId="167" formatCode="_-* #,##0_-;\-* #,##0_-;_-* \-??_-;_-@_-"/>
    <numFmt numFmtId="168" formatCode="_-* #,##0.00&quot; kr&quot;_-;\-* #,##0.00&quot; kr&quot;_-;_-* \-??&quot; kr&quot;_-;_-@_-"/>
    <numFmt numFmtId="169" formatCode="_-* #,##0.00\ [$€-1]_-;\-* #,##0.00\ [$€-1]_-;_-* \-??\ [$€-1]_-;_-@_-"/>
    <numFmt numFmtId="170" formatCode="_-* #,##0&quot; kr&quot;_-;\-* #,##0&quot; kr&quot;_-;_-* \-??&quot; kr&quot;_-;_-@_-"/>
    <numFmt numFmtId="171" formatCode="0.0000%"/>
    <numFmt numFmtId="172" formatCode="#,##0.00&quot; kr&quot;;[Red]\-#,##0.00&quot; kr&quot;"/>
    <numFmt numFmtId="173" formatCode="#,##0&quot; kr&quot;"/>
    <numFmt numFmtId="174" formatCode="_-* #,##0.0000\ [$€-1]_-;\-* #,##0.0000\ [$€-1]_-;_-* \-??\ [$€-1]_-;_-@_-"/>
    <numFmt numFmtId="175" formatCode="_-* #,##0.00000&quot; kr&quot;_-;\-* #,##0.00000&quot; kr&quot;_-;_-* \-??&quot; kr&quot;_-;_-@_-"/>
    <numFmt numFmtId="176" formatCode="#,##0.0000&quot; kr&quot;;[Red]\-#,##0.0000&quot; kr&quot;"/>
    <numFmt numFmtId="177" formatCode="_-* #,##0\ [$€-1]_-;\-* #,##0\ [$€-1]_-;_-* \-??\ [$€-1]_-;_-@_-"/>
    <numFmt numFmtId="178" formatCode="d\-mmm"/>
    <numFmt numFmtId="179" formatCode="_-* #,##0\ [$kr-41D]_-;\-* #,##0\ [$kr-41D]_-;_-* \-??\ [$kr-41D]_-;_-@_-"/>
    <numFmt numFmtId="180" formatCode="_-* #,##0.000000\ [$€-1]_-;\-* #,##0.000000\ [$€-1]_-;_-* \-??\ [$€-1]_-;_-@_-"/>
    <numFmt numFmtId="181" formatCode="_-* #,##0.000\ [$€-1]_-;\-* #,##0.000\ [$€-1]_-;_-* \-??\ [$€-1]_-;_-@_-"/>
    <numFmt numFmtId="182" formatCode="#,##0_ ;\-#,##0\ "/>
    <numFmt numFmtId="183" formatCode="0.000%"/>
    <numFmt numFmtId="184" formatCode="#,##0.00&quot; kr&quot;"/>
    <numFmt numFmtId="185" formatCode="#,##0.00\ [$SEK]"/>
    <numFmt numFmtId="186" formatCode="_-* #,##0.00\ [$SEK]_-;\-* #,##0.00\ [$SEK]_-;_-* \-??\ [$SEK]_-;_-@_-"/>
    <numFmt numFmtId="187" formatCode="_-* #,##0.00\ [$EUR]_-;\-* #,##0.00\ [$EUR]_-;_-* \-??\ [$EUR]_-;_-@_-"/>
    <numFmt numFmtId="188" formatCode="0.0000"/>
    <numFmt numFmtId="189" formatCode="_-* #,##0\ [$SEK]_-;\-* #,##0\ [$SEK]_-;_-* \-??\ [$SEK]_-;_-@_-"/>
    <numFmt numFmtId="190" formatCode="_-* #,##0.00\ _k_r_-;\-* #,##0.00\ _k_r_-;_-* &quot;-&quot;??\ _k_r_-;_-@_-"/>
    <numFmt numFmtId="191" formatCode="_-* #,##0.00\ [$€-1]_-;\-* #,##0.00\ [$€-1]_-;_-* &quot;-&quot;??\ [$€-1]_-;_-@_-"/>
    <numFmt numFmtId="192" formatCode="#,##0.00\ [$€-1]"/>
    <numFmt numFmtId="195" formatCode="_-* #,##0\ [$€-1]_-;\-* #,##0\ [$€-1]_-;_-* &quot;-&quot;??\ [$€-1]_-;_-@_-"/>
  </numFmts>
  <fonts count="86">
    <font>
      <sz val="11"/>
      <color theme="1"/>
      <name val="Calibri"/>
      <charset val="1"/>
    </font>
    <font>
      <b/>
      <sz val="9"/>
      <color theme="5"/>
      <name val="Montserrat Light"/>
    </font>
    <font>
      <sz val="9"/>
      <color theme="1"/>
      <name val="Montserrat Light"/>
    </font>
    <font>
      <sz val="11"/>
      <color theme="1"/>
      <name val="Montserrat Light"/>
    </font>
    <font>
      <sz val="16"/>
      <color theme="4"/>
      <name val="Hind Light"/>
    </font>
    <font>
      <u/>
      <sz val="11"/>
      <color theme="10"/>
      <name val="Montserrat Medium"/>
    </font>
    <font>
      <u/>
      <sz val="11"/>
      <color theme="10"/>
      <name val="Calibri"/>
      <family val="2"/>
    </font>
    <font>
      <b/>
      <sz val="11"/>
      <color theme="5"/>
      <name val="Montserrat Light"/>
    </font>
    <font>
      <sz val="11"/>
      <color theme="3"/>
      <name val="Montserrat Light"/>
    </font>
    <font>
      <sz val="11"/>
      <color theme="8"/>
      <name val="Montserrat Light"/>
    </font>
    <font>
      <sz val="48"/>
      <color theme="8"/>
      <name val="Hind Light"/>
    </font>
    <font>
      <sz val="48"/>
      <color theme="4"/>
      <name val="Hind Light"/>
    </font>
    <font>
      <sz val="16"/>
      <color theme="3"/>
      <name val="Montserrat Light"/>
    </font>
    <font>
      <sz val="16"/>
      <color theme="8"/>
      <name val="Montserrat Light"/>
    </font>
    <font>
      <sz val="11"/>
      <color theme="1"/>
      <name val="Montserrat Medium"/>
    </font>
    <font>
      <sz val="18"/>
      <color theme="8"/>
      <name val="Hind Light"/>
    </font>
    <font>
      <sz val="9"/>
      <color theme="1" tint="0.39988402966399123"/>
      <name val="Montserrat Regular"/>
      <charset val="1"/>
    </font>
    <font>
      <sz val="9"/>
      <color theme="5"/>
      <name val="Montserrat SemiBold"/>
    </font>
    <font>
      <sz val="14"/>
      <color theme="4"/>
      <name val="Hind Light"/>
    </font>
    <font>
      <sz val="14"/>
      <color theme="6"/>
      <name val="Hind Light"/>
    </font>
    <font>
      <sz val="11"/>
      <color theme="3"/>
      <name val="Montserrat Medium"/>
    </font>
    <font>
      <sz val="11"/>
      <color theme="6" tint="0.39988402966399123"/>
      <name val="Montserrat Regular"/>
      <charset val="1"/>
    </font>
    <font>
      <sz val="11"/>
      <color theme="1" tint="0.39988402966399123"/>
      <name val="Montserrat Regular"/>
      <charset val="1"/>
    </font>
    <font>
      <b/>
      <sz val="11"/>
      <color theme="5"/>
      <name val="Montserrat SemiBold"/>
    </font>
    <font>
      <sz val="11"/>
      <color theme="9"/>
      <name val="Montserrat SemiBold"/>
    </font>
    <font>
      <sz val="11"/>
      <color theme="1"/>
      <name val="Montserrat SemiBold"/>
    </font>
    <font>
      <sz val="14"/>
      <color theme="9"/>
      <name val="Montserrat Medium"/>
    </font>
    <font>
      <sz val="14"/>
      <color theme="8"/>
      <name val="Montserrat Medium"/>
    </font>
    <font>
      <sz val="14"/>
      <color theme="1"/>
      <name val="Montserrat Medium"/>
    </font>
    <font>
      <sz val="9"/>
      <color theme="3"/>
      <name val="Montserrat Light"/>
    </font>
    <font>
      <b/>
      <sz val="9"/>
      <color theme="5"/>
      <name val="Hind Light"/>
    </font>
    <font>
      <sz val="11"/>
      <color rgb="FF000000"/>
      <name val="Calibri"/>
      <family val="2"/>
    </font>
    <font>
      <sz val="11"/>
      <color theme="1" tint="0.39988402966399123"/>
      <name val="Montserrat Light"/>
    </font>
    <font>
      <sz val="14"/>
      <color rgb="FF3B9BCC"/>
      <name val="Hind Light"/>
    </font>
    <font>
      <sz val="9"/>
      <color theme="1"/>
      <name val="Hind Light"/>
    </font>
    <font>
      <sz val="11"/>
      <color theme="1"/>
      <name val="Hind Light"/>
    </font>
    <font>
      <sz val="10"/>
      <color theme="1" tint="0.39988402966399123"/>
      <name val="Montserrat Medium"/>
    </font>
    <font>
      <sz val="14"/>
      <color theme="1"/>
      <name val="Hind Light"/>
    </font>
    <font>
      <b/>
      <sz val="14"/>
      <color theme="5"/>
      <name val="Hind Light"/>
    </font>
    <font>
      <i/>
      <sz val="9"/>
      <name val="Montserrat Light"/>
    </font>
    <font>
      <sz val="18"/>
      <color theme="8"/>
      <name val="Montserrat Light"/>
    </font>
    <font>
      <sz val="12"/>
      <color theme="8"/>
      <name val="Montserrat Light"/>
    </font>
    <font>
      <sz val="11"/>
      <color theme="1" tint="0.39988402966399123"/>
      <name val="Montserrat Medium"/>
    </font>
    <font>
      <sz val="11"/>
      <color rgb="FF003959"/>
      <name val="Montserrat Light"/>
    </font>
    <font>
      <sz val="9"/>
      <color theme="1"/>
      <name val="Montserrat Medium"/>
    </font>
    <font>
      <b/>
      <sz val="9"/>
      <color theme="5"/>
      <name val="Montserrat Medium"/>
    </font>
    <font>
      <i/>
      <sz val="11"/>
      <color theme="1" tint="0.39988402966399123"/>
      <name val="Montserrat Medium"/>
    </font>
    <font>
      <i/>
      <sz val="11"/>
      <color theme="1" tint="0.39988402966399123"/>
      <name val="Montserrat Light"/>
    </font>
    <font>
      <sz val="12"/>
      <color theme="4"/>
      <name val="Hind Light"/>
    </font>
    <font>
      <vertAlign val="superscript"/>
      <sz val="14"/>
      <color theme="6"/>
      <name val="Montserrat SemiBold"/>
    </font>
    <font>
      <vertAlign val="superscript"/>
      <sz val="11"/>
      <color theme="6"/>
      <name val="Montserrat SemiBold"/>
    </font>
    <font>
      <sz val="11"/>
      <color theme="1" tint="0.59987182226020086"/>
      <name val="Montserrat Light"/>
    </font>
    <font>
      <sz val="12"/>
      <color theme="1"/>
      <name val="Montserrat Medium"/>
    </font>
    <font>
      <b/>
      <sz val="12"/>
      <color theme="5"/>
      <name val="Montserrat Medium"/>
    </font>
    <font>
      <i/>
      <sz val="11"/>
      <color theme="1"/>
      <name val="Montserrat Light"/>
    </font>
    <font>
      <sz val="10"/>
      <color theme="1"/>
      <name val="Montserrat Medium"/>
    </font>
    <font>
      <sz val="11"/>
      <color rgb="FFEBF1F5"/>
      <name val="Montserrat Light"/>
    </font>
    <font>
      <sz val="8"/>
      <color theme="1"/>
      <name val="Montserrat Light"/>
    </font>
    <font>
      <sz val="48"/>
      <color theme="9"/>
      <name val="Hind Light"/>
    </font>
    <font>
      <i/>
      <sz val="11"/>
      <color theme="1"/>
      <name val="Hind Light"/>
    </font>
    <font>
      <sz val="9"/>
      <color rgb="FF003959"/>
      <name val="Montserrat Light"/>
    </font>
    <font>
      <b/>
      <sz val="14"/>
      <color theme="5"/>
      <name val="Montserrat Light"/>
    </font>
    <font>
      <sz val="14"/>
      <color theme="1"/>
      <name val="Montserrat Light"/>
    </font>
    <font>
      <b/>
      <sz val="10"/>
      <color theme="5"/>
      <name val="Montserrat Light"/>
    </font>
    <font>
      <sz val="10"/>
      <color theme="1"/>
      <name val="Montserrat Light"/>
    </font>
    <font>
      <sz val="10"/>
      <color theme="6"/>
      <name val="Montserrat SemiBold"/>
    </font>
    <font>
      <i/>
      <sz val="10"/>
      <color theme="6"/>
      <name val="Montserrat Light"/>
    </font>
    <font>
      <i/>
      <sz val="10"/>
      <color theme="1"/>
      <name val="Montserrat Light"/>
    </font>
    <font>
      <sz val="48"/>
      <color theme="8" tint="0.59987182226020086"/>
      <name val="Hind Light"/>
    </font>
    <font>
      <sz val="8"/>
      <color theme="3" tint="0.39988402966399123"/>
      <name val="Montserrat"/>
    </font>
    <font>
      <sz val="11"/>
      <color theme="4"/>
      <name val="Hind Light"/>
    </font>
    <font>
      <i/>
      <sz val="9"/>
      <color theme="1" tint="0.39988402966399123"/>
      <name val="Montserrat Light"/>
    </font>
    <font>
      <i/>
      <sz val="10"/>
      <color theme="1" tint="0.39988402966399123"/>
      <name val="Montserrat Light"/>
    </font>
    <font>
      <sz val="11"/>
      <color theme="6"/>
      <name val="Montserrat Medium"/>
    </font>
    <font>
      <i/>
      <sz val="11"/>
      <color theme="6"/>
      <name val="Montserrat Light"/>
    </font>
    <font>
      <u/>
      <sz val="14"/>
      <color theme="10"/>
      <name val="Calibri"/>
      <family val="2"/>
    </font>
    <font>
      <b/>
      <sz val="9"/>
      <color theme="1"/>
      <name val="Montserrat Light"/>
    </font>
    <font>
      <u/>
      <sz val="11"/>
      <color theme="10"/>
      <name val="Montserrat Regular"/>
      <charset val="1"/>
    </font>
    <font>
      <sz val="11"/>
      <color rgb="FF414141"/>
      <name val="Montserrat Medium"/>
    </font>
    <font>
      <sz val="11"/>
      <color rgb="FF414141"/>
      <name val="Montserrat Light"/>
    </font>
    <font>
      <sz val="12"/>
      <color theme="6"/>
      <name val="Hind Light"/>
    </font>
    <font>
      <b/>
      <sz val="11"/>
      <color theme="3"/>
      <name val="Montserrat Medium"/>
    </font>
    <font>
      <b/>
      <sz val="11"/>
      <color theme="1"/>
      <name val="Montserrat Medium"/>
    </font>
    <font>
      <b/>
      <sz val="11"/>
      <color theme="3"/>
      <name val="Montserrat Light"/>
    </font>
    <font>
      <sz val="14"/>
      <color theme="1"/>
      <name val="Calibri"/>
      <family val="2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BF1F5"/>
        <bgColor rgb="FFF7F7F7"/>
      </patternFill>
    </fill>
    <fill>
      <patternFill patternType="solid">
        <fgColor theme="6" tint="0.79989013336588644"/>
        <bgColor rgb="FFFFE6CE"/>
      </patternFill>
    </fill>
    <fill>
      <patternFill patternType="solid">
        <fgColor rgb="FFFFFFFF"/>
        <bgColor rgb="FFFAFEFE"/>
      </patternFill>
    </fill>
    <fill>
      <patternFill patternType="solid">
        <fgColor rgb="FFF7F7F7"/>
        <bgColor rgb="FFFAFEFE"/>
      </patternFill>
    </fill>
    <fill>
      <patternFill patternType="solid">
        <fgColor theme="0"/>
        <bgColor rgb="FFFFFFFF"/>
      </patternFill>
    </fill>
    <fill>
      <patternFill patternType="solid">
        <fgColor rgb="FFFFE6CE"/>
        <bgColor rgb="FFFFE5CF"/>
      </patternFill>
    </fill>
  </fills>
  <borders count="23">
    <border>
      <left/>
      <right/>
      <top/>
      <bottom/>
      <diagonal/>
    </border>
    <border>
      <left style="hair">
        <color theme="4"/>
      </left>
      <right/>
      <top/>
      <bottom/>
      <diagonal/>
    </border>
    <border>
      <left/>
      <right/>
      <top/>
      <bottom style="hair">
        <color theme="4"/>
      </bottom>
      <diagonal/>
    </border>
    <border>
      <left style="hair">
        <color theme="6" tint="0.39988402966399123"/>
      </left>
      <right style="hair">
        <color theme="6" tint="0.39988402966399123"/>
      </right>
      <top/>
      <bottom style="hair">
        <color theme="6" tint="0.39988402966399123"/>
      </bottom>
      <diagonal/>
    </border>
    <border>
      <left/>
      <right/>
      <top style="hair">
        <color theme="4"/>
      </top>
      <bottom/>
      <diagonal/>
    </border>
    <border>
      <left/>
      <right style="hair">
        <color theme="6" tint="0.39988402966399123"/>
      </right>
      <top/>
      <bottom/>
      <diagonal/>
    </border>
    <border>
      <left style="hair">
        <color theme="6" tint="0.39988402966399123"/>
      </left>
      <right style="hair">
        <color theme="6" tint="0.39988402966399123"/>
      </right>
      <top style="hair">
        <color theme="6" tint="0.39988402966399123"/>
      </top>
      <bottom/>
      <diagonal/>
    </border>
    <border>
      <left/>
      <right/>
      <top style="hair">
        <color theme="4"/>
      </top>
      <bottom style="hair">
        <color theme="4"/>
      </bottom>
      <diagonal/>
    </border>
    <border>
      <left style="hair">
        <color theme="6" tint="0.39988402966399123"/>
      </left>
      <right style="hair">
        <color theme="6" tint="0.39988402966399123"/>
      </right>
      <top style="hair">
        <color theme="6" tint="0.39988402966399123"/>
      </top>
      <bottom style="hair">
        <color theme="4"/>
      </bottom>
      <diagonal/>
    </border>
    <border>
      <left/>
      <right/>
      <top/>
      <bottom style="hair">
        <color theme="6" tint="0.39988402966399123"/>
      </bottom>
      <diagonal/>
    </border>
    <border>
      <left style="hair">
        <color theme="6" tint="0.39988402966399123"/>
      </left>
      <right style="hair">
        <color theme="6" tint="0.39988402966399123"/>
      </right>
      <top style="hair">
        <color theme="6" tint="0.39988402966399123"/>
      </top>
      <bottom style="hair">
        <color theme="6" tint="0.39988402966399123"/>
      </bottom>
      <diagonal/>
    </border>
    <border>
      <left style="hair">
        <color theme="6" tint="0.39988402966399123"/>
      </left>
      <right/>
      <top style="hair">
        <color theme="6" tint="0.39988402966399123"/>
      </top>
      <bottom style="hair">
        <color theme="6" tint="0.39988402966399123"/>
      </bottom>
      <diagonal/>
    </border>
    <border>
      <left style="hair">
        <color theme="6" tint="0.39988402966399123"/>
      </left>
      <right/>
      <top style="hair">
        <color theme="6" tint="0.39988402966399123"/>
      </top>
      <bottom style="hair">
        <color theme="4"/>
      </bottom>
      <diagonal/>
    </border>
    <border>
      <left/>
      <right style="hair">
        <color theme="6" tint="0.39988402966399123"/>
      </right>
      <top style="hair">
        <color theme="4"/>
      </top>
      <bottom/>
      <diagonal/>
    </border>
    <border>
      <left/>
      <right style="hair">
        <color theme="6" tint="0.39988402966399123"/>
      </right>
      <top/>
      <bottom style="hair">
        <color theme="4"/>
      </bottom>
      <diagonal/>
    </border>
    <border>
      <left/>
      <right style="hair">
        <color theme="4"/>
      </right>
      <top/>
      <bottom style="hair">
        <color theme="4"/>
      </bottom>
      <diagonal/>
    </border>
    <border>
      <left/>
      <right/>
      <top style="hair">
        <color theme="4"/>
      </top>
      <bottom style="hair">
        <color theme="4" tint="0.59987182226020086"/>
      </bottom>
      <diagonal/>
    </border>
    <border>
      <left/>
      <right/>
      <top style="hair">
        <color theme="4" tint="0.59987182226020086"/>
      </top>
      <bottom style="hair">
        <color theme="4" tint="0.59987182226020086"/>
      </bottom>
      <diagonal/>
    </border>
    <border>
      <left/>
      <right/>
      <top style="hair">
        <color theme="4"/>
      </top>
      <bottom style="hair">
        <color theme="6" tint="0.39988402966399123"/>
      </bottom>
      <diagonal/>
    </border>
    <border>
      <left/>
      <right style="hair">
        <color theme="6" tint="0.39988402966399123"/>
      </right>
      <top style="hair">
        <color theme="4"/>
      </top>
      <bottom style="hair">
        <color theme="4"/>
      </bottom>
      <diagonal/>
    </border>
    <border>
      <left/>
      <right/>
      <top style="hair">
        <color theme="4" tint="0.59987182226020086"/>
      </top>
      <bottom style="hair">
        <color theme="4"/>
      </bottom>
      <diagonal/>
    </border>
    <border>
      <left style="hair">
        <color theme="6" tint="0.39988402966399123"/>
      </left>
      <right style="hair">
        <color theme="6" tint="0.39988402966399123"/>
      </right>
      <top/>
      <bottom/>
      <diagonal/>
    </border>
    <border>
      <left/>
      <right style="hair">
        <color theme="4"/>
      </right>
      <top/>
      <bottom/>
      <diagonal/>
    </border>
  </borders>
  <cellStyleXfs count="5">
    <xf numFmtId="0" fontId="0" fillId="0" borderId="0"/>
    <xf numFmtId="166" fontId="85" fillId="0" borderId="0" applyBorder="0"/>
    <xf numFmtId="168" fontId="85" fillId="0" borderId="0" applyBorder="0"/>
    <xf numFmtId="9" fontId="85" fillId="0" borderId="0" applyBorder="0"/>
    <xf numFmtId="0" fontId="6" fillId="0" borderId="0" applyBorder="0"/>
  </cellStyleXfs>
  <cellXfs count="1095">
    <xf numFmtId="0" fontId="0" fillId="0" borderId="0" xfId="0"/>
    <xf numFmtId="0" fontId="18" fillId="0" borderId="2" xfId="0" applyFont="1" applyBorder="1" applyAlignment="1">
      <alignment horizontal="center" vertical="center"/>
    </xf>
    <xf numFmtId="0" fontId="47" fillId="4" borderId="2" xfId="0" applyFont="1" applyFill="1" applyBorder="1" applyAlignment="1">
      <alignment horizontal="right" vertical="center"/>
    </xf>
    <xf numFmtId="170" fontId="47" fillId="4" borderId="0" xfId="2" applyNumberFormat="1" applyFont="1" applyFill="1" applyBorder="1" applyAlignment="1">
      <alignment horizontal="right" vertical="center"/>
    </xf>
    <xf numFmtId="170" fontId="47" fillId="5" borderId="0" xfId="2" applyNumberFormat="1" applyFont="1" applyFill="1" applyBorder="1" applyAlignment="1">
      <alignment horizontal="right" vertical="center"/>
    </xf>
    <xf numFmtId="170" fontId="47" fillId="4" borderId="4" xfId="2" applyNumberFormat="1" applyFont="1" applyFill="1" applyBorder="1" applyAlignment="1">
      <alignment horizontal="right" vertical="center"/>
    </xf>
    <xf numFmtId="0" fontId="18" fillId="0" borderId="2" xfId="0" applyFont="1" applyBorder="1" applyAlignment="1">
      <alignment horizontal="right" vertical="center"/>
    </xf>
    <xf numFmtId="0" fontId="69" fillId="0" borderId="0" xfId="4" applyFont="1" applyBorder="1" applyAlignment="1">
      <alignment horizontal="left" vertical="top" indent="1"/>
    </xf>
    <xf numFmtId="0" fontId="8" fillId="0" borderId="0" xfId="0" applyFont="1" applyAlignment="1">
      <alignment horizontal="left" vertical="top" indent="1"/>
    </xf>
    <xf numFmtId="0" fontId="2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horizontal="right" vertical="center" indent="1"/>
    </xf>
    <xf numFmtId="0" fontId="2" fillId="0" borderId="0" xfId="0" applyFont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164" fontId="2" fillId="2" borderId="0" xfId="0" applyNumberFormat="1" applyFont="1" applyFill="1" applyAlignment="1">
      <alignment horizontal="right" vertical="center" indent="1"/>
    </xf>
    <xf numFmtId="0" fontId="2" fillId="2" borderId="0" xfId="0" applyFont="1" applyFill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2" borderId="0" xfId="0" applyFont="1" applyFill="1" applyAlignment="1">
      <alignment horizontal="left" indent="1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top" indent="1"/>
    </xf>
    <xf numFmtId="0" fontId="3" fillId="2" borderId="0" xfId="0" applyFont="1" applyFill="1" applyAlignment="1">
      <alignment horizontal="left" vertical="center" indent="1"/>
    </xf>
    <xf numFmtId="0" fontId="4" fillId="2" borderId="0" xfId="0" applyFont="1" applyFill="1" applyAlignment="1">
      <alignment horizontal="left" indent="1"/>
    </xf>
    <xf numFmtId="0" fontId="4" fillId="2" borderId="0" xfId="0" applyFont="1" applyFill="1" applyAlignment="1">
      <alignment horizontal="left"/>
    </xf>
    <xf numFmtId="0" fontId="3" fillId="2" borderId="0" xfId="0" applyFont="1" applyFill="1" applyAlignment="1">
      <alignment horizontal="left" indent="1"/>
    </xf>
    <xf numFmtId="0" fontId="5" fillId="2" borderId="0" xfId="4" applyFont="1" applyFill="1" applyBorder="1" applyAlignment="1">
      <alignment horizontal="left" vertical="top" indent="1"/>
    </xf>
    <xf numFmtId="0" fontId="6" fillId="2" borderId="0" xfId="4" applyFill="1" applyBorder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9" fontId="8" fillId="2" borderId="0" xfId="3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/>
    </xf>
    <xf numFmtId="164" fontId="8" fillId="2" borderId="0" xfId="0" applyNumberFormat="1" applyFont="1" applyFill="1" applyAlignment="1">
      <alignment horizontal="right" vertical="center" indent="1"/>
    </xf>
    <xf numFmtId="0" fontId="8" fillId="2" borderId="0" xfId="0" applyFont="1" applyFill="1" applyAlignment="1">
      <alignment horizontal="right" vertical="center"/>
    </xf>
    <xf numFmtId="0" fontId="8" fillId="0" borderId="0" xfId="0" applyFont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/>
    </xf>
    <xf numFmtId="0" fontId="8" fillId="2" borderId="2" xfId="0" applyFont="1" applyFill="1" applyBorder="1" applyAlignment="1">
      <alignment vertical="center"/>
    </xf>
    <xf numFmtId="9" fontId="8" fillId="2" borderId="2" xfId="3" applyFont="1" applyFill="1" applyBorder="1" applyAlignment="1">
      <alignment horizontal="center" vertical="center"/>
    </xf>
    <xf numFmtId="0" fontId="9" fillId="2" borderId="2" xfId="0" applyFont="1" applyFill="1" applyBorder="1" applyAlignment="1">
      <alignment vertical="center"/>
    </xf>
    <xf numFmtId="164" fontId="8" fillId="2" borderId="2" xfId="0" applyNumberFormat="1" applyFont="1" applyFill="1" applyBorder="1" applyAlignment="1">
      <alignment horizontal="right" vertical="center" indent="1"/>
    </xf>
    <xf numFmtId="0" fontId="8" fillId="2" borderId="2" xfId="0" applyFont="1" applyFill="1" applyBorder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9" fontId="8" fillId="0" borderId="0" xfId="3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164" fontId="8" fillId="0" borderId="0" xfId="0" applyNumberFormat="1" applyFont="1" applyAlignment="1">
      <alignment horizontal="right" vertical="center" indent="1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164" fontId="12" fillId="0" borderId="0" xfId="0" applyNumberFormat="1" applyFont="1" applyAlignment="1">
      <alignment horizontal="right" indent="1"/>
    </xf>
    <xf numFmtId="0" fontId="12" fillId="0" borderId="0" xfId="0" applyFont="1" applyAlignment="1">
      <alignment horizontal="right"/>
    </xf>
    <xf numFmtId="0" fontId="14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center"/>
    </xf>
    <xf numFmtId="165" fontId="3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5" fillId="0" borderId="0" xfId="0" applyFont="1" applyAlignment="1">
      <alignment horizontal="left" vertical="top" indent="1"/>
    </xf>
    <xf numFmtId="0" fontId="15" fillId="0" borderId="0" xfId="0" applyFont="1"/>
    <xf numFmtId="0" fontId="15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4" fontId="16" fillId="0" borderId="0" xfId="0" applyNumberFormat="1" applyFont="1" applyAlignment="1">
      <alignment horizontal="right" indent="1"/>
    </xf>
    <xf numFmtId="0" fontId="2" fillId="0" borderId="0" xfId="0" applyFont="1"/>
    <xf numFmtId="165" fontId="3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left" vertical="top" indent="1"/>
    </xf>
    <xf numFmtId="0" fontId="1" fillId="0" borderId="0" xfId="0" applyFont="1" applyAlignment="1">
      <alignment horizontal="center" vertical="top"/>
    </xf>
    <xf numFmtId="0" fontId="18" fillId="0" borderId="2" xfId="0" applyFont="1" applyBorder="1" applyAlignment="1">
      <alignment horizontal="left" indent="1"/>
    </xf>
    <xf numFmtId="0" fontId="18" fillId="0" borderId="2" xfId="0" applyFont="1" applyBorder="1" applyAlignment="1">
      <alignment horizontal="center"/>
    </xf>
    <xf numFmtId="0" fontId="19" fillId="0" borderId="2" xfId="0" applyFont="1" applyBorder="1" applyAlignment="1">
      <alignment horizontal="center" wrapText="1"/>
    </xf>
    <xf numFmtId="164" fontId="18" fillId="0" borderId="2" xfId="0" applyNumberFormat="1" applyFont="1" applyBorder="1" applyAlignment="1">
      <alignment horizontal="right" indent="1"/>
    </xf>
    <xf numFmtId="0" fontId="2" fillId="0" borderId="0" xfId="0" applyFont="1" applyAlignment="1">
      <alignment vertical="top"/>
    </xf>
    <xf numFmtId="165" fontId="2" fillId="0" borderId="0" xfId="0" applyNumberFormat="1" applyFont="1" applyAlignment="1">
      <alignment vertical="center"/>
    </xf>
    <xf numFmtId="0" fontId="20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center" vertical="center"/>
    </xf>
    <xf numFmtId="167" fontId="3" fillId="2" borderId="0" xfId="1" applyNumberFormat="1" applyFont="1" applyFill="1" applyBorder="1" applyAlignment="1">
      <alignment horizontal="right" vertical="center"/>
    </xf>
    <xf numFmtId="169" fontId="3" fillId="2" borderId="0" xfId="2" applyNumberFormat="1" applyFont="1" applyFill="1" applyBorder="1" applyAlignment="1">
      <alignment horizontal="right" vertical="center"/>
    </xf>
    <xf numFmtId="0" fontId="21" fillId="3" borderId="3" xfId="0" applyFont="1" applyFill="1" applyBorder="1" applyAlignment="1" applyProtection="1">
      <alignment horizontal="center" vertical="center"/>
      <protection locked="0"/>
    </xf>
    <xf numFmtId="164" fontId="22" fillId="2" borderId="0" xfId="2" applyNumberFormat="1" applyFont="1" applyFill="1" applyBorder="1" applyAlignment="1">
      <alignment horizontal="right" vertical="center" indent="1"/>
    </xf>
    <xf numFmtId="0" fontId="20" fillId="0" borderId="0" xfId="0" applyFont="1" applyAlignment="1">
      <alignment horizontal="left" vertical="center" indent="1"/>
    </xf>
    <xf numFmtId="0" fontId="3" fillId="0" borderId="0" xfId="0" applyFont="1" applyAlignment="1">
      <alignment horizontal="center" vertical="center"/>
    </xf>
    <xf numFmtId="167" fontId="3" fillId="0" borderId="0" xfId="1" applyNumberFormat="1" applyFont="1" applyBorder="1" applyAlignment="1">
      <alignment horizontal="right" vertical="center"/>
    </xf>
    <xf numFmtId="169" fontId="3" fillId="0" borderId="0" xfId="2" applyNumberFormat="1" applyFont="1" applyBorder="1" applyAlignment="1">
      <alignment horizontal="right" vertical="center"/>
    </xf>
    <xf numFmtId="0" fontId="8" fillId="0" borderId="0" xfId="0" applyFont="1" applyAlignment="1">
      <alignment horizontal="left" vertical="center"/>
    </xf>
    <xf numFmtId="164" fontId="22" fillId="0" borderId="0" xfId="2" applyNumberFormat="1" applyFont="1" applyBorder="1" applyAlignment="1">
      <alignment horizontal="right" vertical="center" indent="1"/>
    </xf>
    <xf numFmtId="0" fontId="23" fillId="0" borderId="0" xfId="0" applyFont="1" applyAlignment="1">
      <alignment horizontal="center" vertical="center"/>
    </xf>
    <xf numFmtId="0" fontId="24" fillId="0" borderId="4" xfId="0" applyFont="1" applyBorder="1" applyAlignment="1">
      <alignment horizontal="left" vertical="center" indent="1"/>
    </xf>
    <xf numFmtId="0" fontId="24" fillId="0" borderId="4" xfId="0" applyFont="1" applyBorder="1" applyAlignment="1">
      <alignment horizontal="center" vertical="center"/>
    </xf>
    <xf numFmtId="167" fontId="24" fillId="0" borderId="4" xfId="0" applyNumberFormat="1" applyFont="1" applyBorder="1" applyAlignment="1">
      <alignment horizontal="right" vertical="center"/>
    </xf>
    <xf numFmtId="164" fontId="24" fillId="0" borderId="4" xfId="2" applyNumberFormat="1" applyFont="1" applyBorder="1" applyAlignment="1">
      <alignment horizontal="right" vertical="center" indent="1"/>
    </xf>
    <xf numFmtId="0" fontId="25" fillId="0" borderId="0" xfId="0" applyFont="1" applyAlignment="1">
      <alignment vertical="center"/>
    </xf>
    <xf numFmtId="165" fontId="25" fillId="0" borderId="0" xfId="0" applyNumberFormat="1" applyFont="1" applyAlignment="1">
      <alignment vertical="center"/>
    </xf>
    <xf numFmtId="0" fontId="26" fillId="0" borderId="0" xfId="0" applyFont="1" applyAlignment="1">
      <alignment horizontal="left" vertical="center" indent="1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right" vertical="center"/>
    </xf>
    <xf numFmtId="0" fontId="27" fillId="0" borderId="0" xfId="0" applyFont="1" applyAlignment="1">
      <alignment horizontal="center" vertical="center"/>
    </xf>
    <xf numFmtId="168" fontId="27" fillId="0" borderId="0" xfId="2" applyFont="1" applyBorder="1" applyAlignment="1">
      <alignment horizontal="left" vertical="center"/>
    </xf>
    <xf numFmtId="170" fontId="27" fillId="0" borderId="0" xfId="2" applyNumberFormat="1" applyFont="1" applyBorder="1" applyAlignment="1">
      <alignment horizontal="left" vertical="center"/>
    </xf>
    <xf numFmtId="0" fontId="26" fillId="0" borderId="0" xfId="2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right" vertical="center" indent="1"/>
    </xf>
    <xf numFmtId="0" fontId="29" fillId="0" borderId="0" xfId="0" applyFont="1" applyAlignment="1">
      <alignment horizontal="left" vertical="center" indent="1"/>
    </xf>
    <xf numFmtId="0" fontId="29" fillId="0" borderId="0" xfId="0" applyFont="1" applyAlignment="1">
      <alignment horizontal="center" vertical="center"/>
    </xf>
    <xf numFmtId="168" fontId="29" fillId="0" borderId="0" xfId="2" applyFont="1" applyBorder="1" applyAlignment="1">
      <alignment horizontal="left" vertical="center"/>
    </xf>
    <xf numFmtId="170" fontId="29" fillId="0" borderId="0" xfId="2" applyNumberFormat="1" applyFont="1" applyBorder="1" applyAlignment="1">
      <alignment horizontal="left" vertical="center"/>
    </xf>
    <xf numFmtId="164" fontId="16" fillId="0" borderId="0" xfId="2" applyNumberFormat="1" applyFont="1" applyBorder="1" applyAlignment="1">
      <alignment horizontal="right" vertical="center" indent="1"/>
    </xf>
    <xf numFmtId="0" fontId="15" fillId="0" borderId="0" xfId="0" applyFont="1" applyAlignment="1">
      <alignment vertical="top"/>
    </xf>
    <xf numFmtId="164" fontId="2" fillId="0" borderId="0" xfId="0" applyNumberFormat="1" applyFont="1" applyAlignment="1">
      <alignment horizontal="right" vertical="top" indent="1"/>
    </xf>
    <xf numFmtId="0" fontId="30" fillId="0" borderId="0" xfId="0" applyFont="1" applyAlignment="1">
      <alignment horizontal="center"/>
    </xf>
    <xf numFmtId="0" fontId="3" fillId="2" borderId="0" xfId="1" applyNumberFormat="1" applyFont="1" applyFill="1" applyBorder="1" applyAlignment="1">
      <alignment horizontal="center" vertical="center"/>
    </xf>
    <xf numFmtId="171" fontId="3" fillId="0" borderId="0" xfId="3" applyNumberFormat="1" applyFont="1" applyBorder="1" applyAlignment="1">
      <alignment vertical="center"/>
    </xf>
    <xf numFmtId="9" fontId="3" fillId="0" borderId="0" xfId="3" applyFont="1" applyBorder="1" applyAlignment="1">
      <alignment vertical="center"/>
    </xf>
    <xf numFmtId="0" fontId="3" fillId="0" borderId="0" xfId="1" applyNumberFormat="1" applyFont="1" applyBorder="1" applyAlignment="1">
      <alignment horizontal="center" vertical="center"/>
    </xf>
    <xf numFmtId="172" fontId="3" fillId="0" borderId="0" xfId="0" applyNumberFormat="1" applyFont="1" applyAlignment="1">
      <alignment vertical="center"/>
    </xf>
    <xf numFmtId="0" fontId="31" fillId="0" borderId="0" xfId="0" applyFont="1"/>
    <xf numFmtId="0" fontId="32" fillId="0" borderId="4" xfId="0" applyFont="1" applyBorder="1" applyAlignment="1">
      <alignment horizontal="center" vertical="center"/>
    </xf>
    <xf numFmtId="164" fontId="24" fillId="0" borderId="4" xfId="0" applyNumberFormat="1" applyFont="1" applyBorder="1" applyAlignment="1">
      <alignment horizontal="right" vertical="center" indent="1"/>
    </xf>
    <xf numFmtId="165" fontId="26" fillId="0" borderId="0" xfId="0" applyNumberFormat="1" applyFont="1" applyAlignment="1">
      <alignment horizontal="right" vertical="center" indent="1"/>
    </xf>
    <xf numFmtId="173" fontId="16" fillId="0" borderId="0" xfId="2" applyNumberFormat="1" applyFont="1" applyBorder="1" applyAlignment="1">
      <alignment horizontal="right" vertical="center" indent="1"/>
    </xf>
    <xf numFmtId="0" fontId="2" fillId="0" borderId="0" xfId="0" applyFont="1" applyAlignment="1">
      <alignment horizontal="right" vertical="top" indent="1"/>
    </xf>
    <xf numFmtId="0" fontId="2" fillId="0" borderId="0" xfId="0" applyFont="1" applyAlignment="1">
      <alignment horizontal="right" vertical="center" indent="1"/>
    </xf>
    <xf numFmtId="0" fontId="33" fillId="0" borderId="2" xfId="0" applyFont="1" applyBorder="1" applyAlignment="1">
      <alignment horizontal="center"/>
    </xf>
    <xf numFmtId="0" fontId="33" fillId="0" borderId="2" xfId="0" applyFont="1" applyBorder="1" applyAlignment="1">
      <alignment horizontal="right" vertical="center"/>
    </xf>
    <xf numFmtId="0" fontId="34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2" borderId="0" xfId="0" applyFont="1" applyFill="1" applyAlignment="1">
      <alignment horizontal="left" vertical="center" indent="1"/>
    </xf>
    <xf numFmtId="173" fontId="22" fillId="2" borderId="0" xfId="2" applyNumberFormat="1" applyFont="1" applyFill="1" applyBorder="1" applyAlignment="1">
      <alignment horizontal="right" vertical="center" indent="1"/>
    </xf>
    <xf numFmtId="0" fontId="36" fillId="0" borderId="0" xfId="0" applyFont="1" applyAlignment="1">
      <alignment horizontal="left" vertical="center" indent="1"/>
    </xf>
    <xf numFmtId="173" fontId="22" fillId="0" borderId="0" xfId="2" applyNumberFormat="1" applyFont="1" applyBorder="1" applyAlignment="1">
      <alignment horizontal="right" vertical="center" indent="1"/>
    </xf>
    <xf numFmtId="168" fontId="3" fillId="2" borderId="0" xfId="2" applyFont="1" applyFill="1" applyBorder="1" applyAlignment="1">
      <alignment horizontal="right" vertical="center"/>
    </xf>
    <xf numFmtId="165" fontId="24" fillId="0" borderId="4" xfId="0" applyNumberFormat="1" applyFont="1" applyBorder="1" applyAlignment="1">
      <alignment horizontal="right" vertical="center" indent="1"/>
    </xf>
    <xf numFmtId="0" fontId="27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/>
    </xf>
    <xf numFmtId="165" fontId="3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167" fontId="18" fillId="0" borderId="2" xfId="1" applyNumberFormat="1" applyFont="1" applyBorder="1" applyAlignment="1">
      <alignment horizontal="right"/>
    </xf>
    <xf numFmtId="0" fontId="18" fillId="0" borderId="2" xfId="0" applyFont="1" applyBorder="1" applyAlignment="1">
      <alignment horizontal="right"/>
    </xf>
    <xf numFmtId="0" fontId="37" fillId="0" borderId="0" xfId="0" applyFont="1"/>
    <xf numFmtId="0" fontId="38" fillId="0" borderId="0" xfId="0" applyFont="1" applyAlignment="1">
      <alignment horizontal="center"/>
    </xf>
    <xf numFmtId="0" fontId="3" fillId="2" borderId="0" xfId="0" applyFont="1" applyFill="1" applyAlignment="1">
      <alignment horizontal="right" vertical="center"/>
    </xf>
    <xf numFmtId="168" fontId="3" fillId="2" borderId="0" xfId="2" applyFont="1" applyFill="1" applyBorder="1" applyAlignment="1">
      <alignment horizontal="center" vertical="center"/>
    </xf>
    <xf numFmtId="170" fontId="3" fillId="2" borderId="0" xfId="2" applyNumberFormat="1" applyFont="1" applyFill="1" applyBorder="1" applyAlignment="1">
      <alignment horizontal="right" vertical="center"/>
    </xf>
    <xf numFmtId="0" fontId="8" fillId="2" borderId="0" xfId="0" applyFont="1" applyFill="1" applyAlignment="1">
      <alignment horizontal="center" vertical="center"/>
    </xf>
    <xf numFmtId="0" fontId="3" fillId="0" borderId="0" xfId="0" applyFont="1" applyAlignment="1">
      <alignment horizontal="right" vertical="center"/>
    </xf>
    <xf numFmtId="168" fontId="3" fillId="0" borderId="0" xfId="2" applyFont="1" applyBorder="1" applyAlignment="1">
      <alignment horizontal="center" vertical="center"/>
    </xf>
    <xf numFmtId="170" fontId="3" fillId="0" borderId="0" xfId="2" applyNumberFormat="1" applyFont="1" applyBorder="1" applyAlignment="1">
      <alignment horizontal="right" vertical="center"/>
    </xf>
    <xf numFmtId="0" fontId="24" fillId="0" borderId="4" xfId="0" applyFont="1" applyBorder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3" fillId="0" borderId="0" xfId="0" applyFont="1"/>
    <xf numFmtId="164" fontId="3" fillId="0" borderId="0" xfId="0" applyNumberFormat="1" applyFont="1" applyAlignment="1">
      <alignment horizontal="right" indent="1"/>
    </xf>
    <xf numFmtId="0" fontId="40" fillId="0" borderId="0" xfId="0" applyFont="1"/>
    <xf numFmtId="0" fontId="3" fillId="2" borderId="0" xfId="2" applyNumberFormat="1" applyFont="1" applyFill="1" applyBorder="1" applyAlignment="1">
      <alignment horizontal="center" vertical="center"/>
    </xf>
    <xf numFmtId="167" fontId="3" fillId="2" borderId="4" xfId="1" applyNumberFormat="1" applyFont="1" applyFill="1" applyBorder="1" applyAlignment="1">
      <alignment horizontal="center" vertical="center"/>
    </xf>
    <xf numFmtId="168" fontId="3" fillId="2" borderId="0" xfId="2" applyFont="1" applyFill="1" applyBorder="1" applyAlignment="1">
      <alignment horizontal="left" vertical="center"/>
    </xf>
    <xf numFmtId="0" fontId="3" fillId="0" borderId="0" xfId="2" applyNumberFormat="1" applyFont="1" applyBorder="1" applyAlignment="1">
      <alignment horizontal="center" vertical="center"/>
    </xf>
    <xf numFmtId="167" fontId="3" fillId="0" borderId="0" xfId="1" applyNumberFormat="1" applyFont="1" applyBorder="1" applyAlignment="1">
      <alignment horizontal="center" vertical="center"/>
    </xf>
    <xf numFmtId="168" fontId="3" fillId="0" borderId="0" xfId="2" applyFont="1" applyBorder="1" applyAlignment="1">
      <alignment horizontal="left" vertical="center"/>
    </xf>
    <xf numFmtId="170" fontId="3" fillId="0" borderId="0" xfId="2" applyNumberFormat="1" applyFont="1" applyBorder="1" applyAlignment="1">
      <alignment horizontal="left" vertical="center"/>
    </xf>
    <xf numFmtId="0" fontId="36" fillId="2" borderId="2" xfId="0" applyFont="1" applyFill="1" applyBorder="1" applyAlignment="1">
      <alignment horizontal="left" vertical="center" indent="1"/>
    </xf>
    <xf numFmtId="0" fontId="3" fillId="2" borderId="2" xfId="2" applyNumberFormat="1" applyFont="1" applyFill="1" applyBorder="1" applyAlignment="1">
      <alignment horizontal="center" vertical="center"/>
    </xf>
    <xf numFmtId="167" fontId="3" fillId="2" borderId="2" xfId="1" applyNumberFormat="1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172" fontId="41" fillId="0" borderId="0" xfId="0" applyNumberFormat="1" applyFont="1" applyAlignment="1">
      <alignment horizontal="left" vertical="center" indent="1"/>
    </xf>
    <xf numFmtId="172" fontId="41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left" vertical="center" indent="1"/>
    </xf>
    <xf numFmtId="0" fontId="3" fillId="0" borderId="0" xfId="0" applyFont="1" applyAlignment="1">
      <alignment horizontal="right"/>
    </xf>
    <xf numFmtId="0" fontId="18" fillId="0" borderId="2" xfId="0" applyFont="1" applyBorder="1" applyAlignment="1">
      <alignment vertical="center"/>
    </xf>
    <xf numFmtId="0" fontId="19" fillId="0" borderId="2" xfId="0" applyFont="1" applyBorder="1" applyAlignment="1">
      <alignment horizontal="center" vertical="center"/>
    </xf>
    <xf numFmtId="164" fontId="18" fillId="0" borderId="2" xfId="0" applyNumberFormat="1" applyFont="1" applyBorder="1" applyAlignment="1">
      <alignment horizontal="right" vertical="center" indent="1"/>
    </xf>
    <xf numFmtId="0" fontId="37" fillId="0" borderId="0" xfId="0" applyFont="1" applyAlignment="1">
      <alignment vertical="center"/>
    </xf>
    <xf numFmtId="172" fontId="37" fillId="0" borderId="0" xfId="0" applyNumberFormat="1" applyFont="1" applyAlignment="1">
      <alignment vertical="center"/>
    </xf>
    <xf numFmtId="165" fontId="37" fillId="0" borderId="0" xfId="0" applyNumberFormat="1" applyFont="1" applyAlignment="1">
      <alignment vertical="center"/>
    </xf>
    <xf numFmtId="0" fontId="38" fillId="0" borderId="0" xfId="0" applyFont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174" fontId="3" fillId="2" borderId="0" xfId="2" applyNumberFormat="1" applyFont="1" applyFill="1" applyBorder="1" applyAlignment="1">
      <alignment horizontal="center" vertical="center"/>
    </xf>
    <xf numFmtId="174" fontId="3" fillId="2" borderId="0" xfId="2" applyNumberFormat="1" applyFont="1" applyFill="1" applyBorder="1" applyAlignment="1">
      <alignment horizontal="left" vertical="center"/>
    </xf>
    <xf numFmtId="3" fontId="21" fillId="3" borderId="5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>
      <alignment horizontal="left" vertical="center"/>
    </xf>
    <xf numFmtId="164" fontId="3" fillId="2" borderId="0" xfId="0" applyNumberFormat="1" applyFont="1" applyFill="1" applyAlignment="1">
      <alignment horizontal="right" vertical="center" indent="1"/>
    </xf>
    <xf numFmtId="174" fontId="3" fillId="0" borderId="0" xfId="2" applyNumberFormat="1" applyFont="1" applyBorder="1" applyAlignment="1">
      <alignment horizontal="center" vertical="center"/>
    </xf>
    <xf numFmtId="174" fontId="3" fillId="0" borderId="0" xfId="2" applyNumberFormat="1" applyFont="1" applyBorder="1" applyAlignment="1">
      <alignment horizontal="left" vertical="center"/>
    </xf>
    <xf numFmtId="3" fontId="3" fillId="0" borderId="0" xfId="2" applyNumberFormat="1" applyFont="1" applyBorder="1" applyAlignment="1">
      <alignment vertical="center"/>
    </xf>
    <xf numFmtId="3" fontId="21" fillId="3" borderId="0" xfId="0" applyNumberFormat="1" applyFont="1" applyFill="1" applyAlignment="1" applyProtection="1">
      <alignment horizontal="center" vertical="center"/>
      <protection locked="0"/>
    </xf>
    <xf numFmtId="0" fontId="3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right" vertical="center" indent="1"/>
    </xf>
    <xf numFmtId="0" fontId="41" fillId="0" borderId="0" xfId="0" applyFont="1" applyAlignment="1">
      <alignment horizontal="center" vertical="center"/>
    </xf>
    <xf numFmtId="164" fontId="41" fillId="0" borderId="0" xfId="0" applyNumberFormat="1" applyFont="1" applyAlignment="1">
      <alignment horizontal="right" vertical="center" indent="1"/>
    </xf>
    <xf numFmtId="165" fontId="41" fillId="0" borderId="0" xfId="0" applyNumberFormat="1" applyFont="1" applyAlignment="1">
      <alignment horizontal="right" vertical="center"/>
    </xf>
    <xf numFmtId="165" fontId="41" fillId="0" borderId="0" xfId="0" applyNumberFormat="1" applyFont="1" applyAlignment="1">
      <alignment horizontal="center" vertical="center"/>
    </xf>
    <xf numFmtId="0" fontId="12" fillId="0" borderId="0" xfId="0" applyFont="1" applyAlignment="1">
      <alignment vertical="top"/>
    </xf>
    <xf numFmtId="0" fontId="13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164" fontId="12" fillId="0" borderId="0" xfId="0" applyNumberFormat="1" applyFont="1" applyAlignment="1">
      <alignment horizontal="right" vertical="top" indent="1"/>
    </xf>
    <xf numFmtId="0" fontId="8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0" fontId="18" fillId="0" borderId="2" xfId="0" applyFont="1" applyBorder="1" applyAlignment="1">
      <alignment horizontal="left"/>
    </xf>
    <xf numFmtId="175" fontId="3" fillId="2" borderId="0" xfId="2" applyNumberFormat="1" applyFont="1" applyFill="1" applyBorder="1" applyAlignment="1">
      <alignment horizontal="right" vertical="center"/>
    </xf>
    <xf numFmtId="168" fontId="3" fillId="2" borderId="0" xfId="2" applyFont="1" applyFill="1" applyBorder="1" applyAlignment="1">
      <alignment vertical="center"/>
    </xf>
    <xf numFmtId="169" fontId="3" fillId="2" borderId="0" xfId="2" applyNumberFormat="1" applyFont="1" applyFill="1" applyBorder="1" applyAlignment="1">
      <alignment vertical="center"/>
    </xf>
    <xf numFmtId="3" fontId="21" fillId="3" borderId="3" xfId="0" applyNumberFormat="1" applyFont="1" applyFill="1" applyBorder="1" applyAlignment="1" applyProtection="1">
      <alignment horizontal="center" vertical="center"/>
      <protection locked="0"/>
    </xf>
    <xf numFmtId="0" fontId="43" fillId="2" borderId="0" xfId="0" applyFont="1" applyFill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44" fillId="0" borderId="0" xfId="0" applyFont="1" applyAlignment="1">
      <alignment vertical="center"/>
    </xf>
    <xf numFmtId="0" fontId="45" fillId="0" borderId="0" xfId="0" applyFont="1" applyAlignment="1">
      <alignment horizontal="center" vertical="center"/>
    </xf>
    <xf numFmtId="169" fontId="3" fillId="0" borderId="0" xfId="2" applyNumberFormat="1" applyFont="1" applyBorder="1" applyAlignment="1">
      <alignment horizontal="center" vertical="center"/>
    </xf>
    <xf numFmtId="168" fontId="3" fillId="0" borderId="0" xfId="2" applyFont="1" applyBorder="1" applyAlignment="1">
      <alignment vertical="center"/>
    </xf>
    <xf numFmtId="3" fontId="21" fillId="3" borderId="6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left" indent="1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4" fillId="2" borderId="2" xfId="0" applyFont="1" applyFill="1" applyBorder="1" applyAlignment="1">
      <alignment horizontal="left" vertical="center" indent="1"/>
    </xf>
    <xf numFmtId="0" fontId="14" fillId="2" borderId="2" xfId="0" applyFont="1" applyFill="1" applyBorder="1" applyAlignment="1">
      <alignment vertical="center"/>
    </xf>
    <xf numFmtId="175" fontId="3" fillId="2" borderId="2" xfId="2" applyNumberFormat="1" applyFont="1" applyFill="1" applyBorder="1" applyAlignment="1">
      <alignment horizontal="right" vertical="center"/>
    </xf>
    <xf numFmtId="168" fontId="3" fillId="2" borderId="7" xfId="2" applyFont="1" applyFill="1" applyBorder="1" applyAlignment="1">
      <alignment vertical="center"/>
    </xf>
    <xf numFmtId="3" fontId="21" fillId="3" borderId="8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43" fillId="2" borderId="2" xfId="0" applyFont="1" applyFill="1" applyBorder="1" applyAlignment="1">
      <alignment horizontal="center" vertical="center"/>
    </xf>
    <xf numFmtId="164" fontId="3" fillId="2" borderId="2" xfId="0" applyNumberFormat="1" applyFont="1" applyFill="1" applyBorder="1" applyAlignment="1">
      <alignment horizontal="right" vertical="center" indent="1"/>
    </xf>
    <xf numFmtId="0" fontId="46" fillId="4" borderId="0" xfId="0" applyFont="1" applyFill="1" applyAlignment="1">
      <alignment horizontal="left" vertical="center" indent="1"/>
    </xf>
    <xf numFmtId="0" fontId="47" fillId="4" borderId="0" xfId="0" applyFont="1" applyFill="1" applyAlignment="1">
      <alignment horizontal="left" vertical="center"/>
    </xf>
    <xf numFmtId="0" fontId="46" fillId="5" borderId="0" xfId="0" applyFont="1" applyFill="1" applyAlignment="1">
      <alignment horizontal="left" vertical="center" indent="1"/>
    </xf>
    <xf numFmtId="0" fontId="47" fillId="5" borderId="0" xfId="0" applyFont="1" applyFill="1" applyAlignment="1">
      <alignment horizontal="left" vertical="center"/>
    </xf>
    <xf numFmtId="0" fontId="46" fillId="4" borderId="2" xfId="0" applyFont="1" applyFill="1" applyBorder="1" applyAlignment="1">
      <alignment horizontal="left" vertical="center" indent="1"/>
    </xf>
    <xf numFmtId="0" fontId="47" fillId="4" borderId="2" xfId="0" applyFont="1" applyFill="1" applyBorder="1" applyAlignment="1">
      <alignment horizontal="left" vertical="center"/>
    </xf>
    <xf numFmtId="0" fontId="41" fillId="0" borderId="0" xfId="0" applyFont="1" applyAlignment="1">
      <alignment horizontal="left" vertical="center" indent="1"/>
    </xf>
    <xf numFmtId="0" fontId="41" fillId="0" borderId="0" xfId="0" applyFont="1" applyAlignment="1">
      <alignment horizontal="left" vertical="center"/>
    </xf>
    <xf numFmtId="168" fontId="41" fillId="0" borderId="0" xfId="2" applyFont="1" applyBorder="1" applyAlignment="1">
      <alignment horizontal="left" vertical="center"/>
    </xf>
    <xf numFmtId="170" fontId="41" fillId="0" borderId="0" xfId="2" applyNumberFormat="1" applyFont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left" indent="1"/>
    </xf>
    <xf numFmtId="0" fontId="2" fillId="0" borderId="2" xfId="0" applyFont="1" applyBorder="1" applyAlignment="1">
      <alignment vertical="center"/>
    </xf>
    <xf numFmtId="0" fontId="48" fillId="0" borderId="2" xfId="0" applyFont="1" applyBorder="1" applyAlignment="1">
      <alignment horizontal="center" vertical="center"/>
    </xf>
    <xf numFmtId="176" fontId="51" fillId="2" borderId="0" xfId="0" applyNumberFormat="1" applyFont="1" applyFill="1" applyAlignment="1">
      <alignment horizontal="right" vertical="center"/>
    </xf>
    <xf numFmtId="169" fontId="3" fillId="2" borderId="0" xfId="0" applyNumberFormat="1" applyFont="1" applyFill="1" applyAlignment="1">
      <alignment vertical="center"/>
    </xf>
    <xf numFmtId="176" fontId="51" fillId="2" borderId="9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right" vertical="center"/>
    </xf>
    <xf numFmtId="169" fontId="3" fillId="0" borderId="0" xfId="0" applyNumberFormat="1" applyFont="1" applyAlignment="1">
      <alignment vertical="center"/>
    </xf>
    <xf numFmtId="3" fontId="21" fillId="3" borderId="10" xfId="0" applyNumberFormat="1" applyFont="1" applyFill="1" applyBorder="1" applyAlignment="1" applyProtection="1">
      <alignment horizontal="center" vertical="center"/>
      <protection locked="0"/>
    </xf>
    <xf numFmtId="9" fontId="21" fillId="3" borderId="11" xfId="3" applyFont="1" applyFill="1" applyBorder="1" applyAlignment="1" applyProtection="1">
      <alignment horizontal="center" vertical="center"/>
      <protection locked="0"/>
    </xf>
    <xf numFmtId="177" fontId="3" fillId="2" borderId="2" xfId="0" applyNumberFormat="1" applyFont="1" applyFill="1" applyBorder="1" applyAlignment="1">
      <alignment horizontal="right" vertical="center"/>
    </xf>
    <xf numFmtId="3" fontId="21" fillId="3" borderId="8" xfId="0" applyNumberFormat="1" applyFont="1" applyFill="1" applyBorder="1" applyAlignment="1" applyProtection="1">
      <alignment horizontal="center" vertical="center"/>
      <protection locked="0"/>
    </xf>
    <xf numFmtId="9" fontId="21" fillId="3" borderId="12" xfId="3" applyFont="1" applyFill="1" applyBorder="1" applyAlignment="1" applyProtection="1">
      <alignment horizontal="center" vertical="center"/>
      <protection locked="0"/>
    </xf>
    <xf numFmtId="0" fontId="52" fillId="0" borderId="0" xfId="0" applyFont="1" applyAlignment="1">
      <alignment vertical="center"/>
    </xf>
    <xf numFmtId="0" fontId="5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27" fillId="0" borderId="0" xfId="0" applyNumberFormat="1" applyFont="1" applyAlignment="1">
      <alignment horizontal="right" vertical="center" indent="1"/>
    </xf>
    <xf numFmtId="0" fontId="54" fillId="0" borderId="0" xfId="0" applyFont="1" applyAlignment="1">
      <alignment vertical="center"/>
    </xf>
    <xf numFmtId="0" fontId="8" fillId="0" borderId="0" xfId="0" applyFont="1"/>
    <xf numFmtId="0" fontId="18" fillId="0" borderId="2" xfId="0" applyFont="1" applyBorder="1" applyAlignment="1">
      <alignment horizontal="left" vertical="center"/>
    </xf>
    <xf numFmtId="178" fontId="36" fillId="2" borderId="0" xfId="0" applyNumberFormat="1" applyFont="1" applyFill="1" applyAlignment="1">
      <alignment horizontal="left" vertical="center" indent="1"/>
    </xf>
    <xf numFmtId="177" fontId="3" fillId="2" borderId="4" xfId="0" applyNumberFormat="1" applyFont="1" applyFill="1" applyBorder="1" applyAlignment="1">
      <alignment horizontal="left" vertical="center"/>
    </xf>
    <xf numFmtId="169" fontId="3" fillId="2" borderId="13" xfId="0" applyNumberFormat="1" applyFont="1" applyFill="1" applyBorder="1" applyAlignment="1">
      <alignment horizontal="left" vertical="center"/>
    </xf>
    <xf numFmtId="3" fontId="21" fillId="3" borderId="3" xfId="0" applyNumberFormat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/>
    </xf>
    <xf numFmtId="164" fontId="25" fillId="2" borderId="0" xfId="0" applyNumberFormat="1" applyFont="1" applyFill="1" applyAlignment="1">
      <alignment horizontal="right" vertical="center" indent="1"/>
    </xf>
    <xf numFmtId="177" fontId="3" fillId="0" borderId="2" xfId="0" applyNumberFormat="1" applyFont="1" applyBorder="1" applyAlignment="1">
      <alignment horizontal="left" vertical="center"/>
    </xf>
    <xf numFmtId="169" fontId="3" fillId="0" borderId="14" xfId="0" applyNumberFormat="1" applyFont="1" applyBorder="1" applyAlignment="1">
      <alignment horizontal="left" vertical="center"/>
    </xf>
    <xf numFmtId="3" fontId="21" fillId="3" borderId="6" xfId="0" applyNumberFormat="1" applyFont="1" applyFill="1" applyBorder="1" applyAlignment="1">
      <alignment horizontal="center" vertical="center"/>
    </xf>
    <xf numFmtId="164" fontId="25" fillId="0" borderId="0" xfId="0" applyNumberFormat="1" applyFont="1" applyAlignment="1">
      <alignment horizontal="right" vertical="center" indent="1"/>
    </xf>
    <xf numFmtId="0" fontId="18" fillId="0" borderId="2" xfId="0" applyFont="1" applyBorder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176" fontId="3" fillId="2" borderId="0" xfId="0" applyNumberFormat="1" applyFont="1" applyFill="1" applyAlignment="1">
      <alignment horizontal="left" vertical="center"/>
    </xf>
    <xf numFmtId="164" fontId="3" fillId="2" borderId="0" xfId="2" applyNumberFormat="1" applyFont="1" applyFill="1" applyBorder="1" applyAlignment="1">
      <alignment horizontal="right" vertical="center" indent="1"/>
    </xf>
    <xf numFmtId="0" fontId="14" fillId="0" borderId="0" xfId="0" applyFont="1" applyAlignment="1">
      <alignment horizontal="left" vertical="center"/>
    </xf>
    <xf numFmtId="179" fontId="3" fillId="0" borderId="0" xfId="0" applyNumberFormat="1" applyFont="1" applyAlignment="1">
      <alignment horizontal="left" vertical="center"/>
    </xf>
    <xf numFmtId="176" fontId="32" fillId="0" borderId="0" xfId="0" applyNumberFormat="1" applyFont="1" applyAlignment="1">
      <alignment horizontal="left" vertical="center"/>
    </xf>
    <xf numFmtId="164" fontId="3" fillId="0" borderId="0" xfId="2" applyNumberFormat="1" applyFont="1" applyBorder="1" applyAlignment="1">
      <alignment horizontal="right" vertical="center" indent="1"/>
    </xf>
    <xf numFmtId="0" fontId="57" fillId="2" borderId="0" xfId="0" applyFont="1" applyFill="1" applyAlignment="1">
      <alignment horizontal="left" vertical="center"/>
    </xf>
    <xf numFmtId="179" fontId="3" fillId="2" borderId="0" xfId="0" applyNumberFormat="1" applyFont="1" applyFill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164" fontId="3" fillId="2" borderId="0" xfId="2" applyNumberFormat="1" applyFont="1" applyFill="1" applyBorder="1" applyAlignment="1">
      <alignment horizontal="right" vertical="center"/>
    </xf>
    <xf numFmtId="176" fontId="32" fillId="2" borderId="0" xfId="0" applyNumberFormat="1" applyFont="1" applyFill="1" applyAlignment="1">
      <alignment horizontal="left" vertical="center"/>
    </xf>
    <xf numFmtId="0" fontId="2" fillId="0" borderId="4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164" fontId="2" fillId="0" borderId="4" xfId="0" applyNumberFormat="1" applyFont="1" applyBorder="1" applyAlignment="1">
      <alignment horizontal="right" vertical="center" indent="1"/>
    </xf>
    <xf numFmtId="0" fontId="2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14" fillId="0" borderId="4" xfId="0" applyFont="1" applyBorder="1" applyAlignment="1">
      <alignment horizontal="left" vertical="center" indent="1"/>
    </xf>
    <xf numFmtId="0" fontId="14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179" fontId="3" fillId="0" borderId="4" xfId="0" applyNumberFormat="1" applyFont="1" applyBorder="1" applyAlignment="1">
      <alignment horizontal="center" vertical="center"/>
    </xf>
    <xf numFmtId="179" fontId="3" fillId="0" borderId="4" xfId="0" applyNumberFormat="1" applyFont="1" applyBorder="1" applyAlignment="1">
      <alignment horizontal="left" vertical="center"/>
    </xf>
    <xf numFmtId="176" fontId="3" fillId="0" borderId="4" xfId="0" applyNumberFormat="1" applyFont="1" applyBorder="1" applyAlignment="1">
      <alignment horizontal="right" vertical="center"/>
    </xf>
    <xf numFmtId="164" fontId="3" fillId="0" borderId="4" xfId="0" applyNumberFormat="1" applyFont="1" applyBorder="1" applyAlignment="1">
      <alignment horizontal="right" vertical="center" indent="1"/>
    </xf>
    <xf numFmtId="179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right" vertical="center"/>
    </xf>
    <xf numFmtId="176" fontId="3" fillId="2" borderId="0" xfId="0" applyNumberFormat="1" applyFont="1" applyFill="1" applyAlignment="1">
      <alignment horizontal="right" vertical="center"/>
    </xf>
    <xf numFmtId="0" fontId="42" fillId="2" borderId="0" xfId="0" applyFont="1" applyFill="1" applyAlignment="1">
      <alignment horizontal="left" vertical="center" indent="1"/>
    </xf>
    <xf numFmtId="0" fontId="3" fillId="0" borderId="4" xfId="0" applyFont="1" applyBorder="1" applyAlignment="1">
      <alignment horizontal="left" vertical="center"/>
    </xf>
    <xf numFmtId="172" fontId="3" fillId="0" borderId="0" xfId="0" applyNumberFormat="1" applyFont="1" applyAlignment="1">
      <alignment horizontal="right" vertical="center"/>
    </xf>
    <xf numFmtId="0" fontId="54" fillId="0" borderId="0" xfId="0" applyFont="1" applyAlignment="1">
      <alignment horizontal="left" vertical="center" indent="1"/>
    </xf>
    <xf numFmtId="0" fontId="9" fillId="0" borderId="0" xfId="0" applyFont="1" applyAlignment="1">
      <alignment horizontal="left" vertical="center"/>
    </xf>
    <xf numFmtId="164" fontId="34" fillId="0" borderId="0" xfId="0" applyNumberFormat="1" applyFont="1" applyAlignment="1">
      <alignment horizontal="right" vertical="center" indent="1"/>
    </xf>
    <xf numFmtId="176" fontId="3" fillId="0" borderId="4" xfId="0" applyNumberFormat="1" applyFont="1" applyBorder="1" applyAlignment="1">
      <alignment horizontal="left" vertical="center"/>
    </xf>
    <xf numFmtId="0" fontId="34" fillId="0" borderId="0" xfId="0" applyFont="1" applyAlignment="1">
      <alignment vertical="top"/>
    </xf>
    <xf numFmtId="0" fontId="34" fillId="0" borderId="0" xfId="0" applyFont="1" applyAlignment="1">
      <alignment horizontal="left" vertical="top"/>
    </xf>
    <xf numFmtId="164" fontId="2" fillId="0" borderId="0" xfId="0" applyNumberFormat="1" applyFont="1" applyAlignment="1">
      <alignment horizontal="right" vertical="top"/>
    </xf>
    <xf numFmtId="0" fontId="41" fillId="0" borderId="0" xfId="0" applyFont="1" applyAlignment="1">
      <alignment horizontal="center" vertical="top"/>
    </xf>
    <xf numFmtId="165" fontId="41" fillId="0" borderId="0" xfId="0" applyNumberFormat="1" applyFont="1" applyAlignment="1">
      <alignment horizontal="right" vertical="top"/>
    </xf>
    <xf numFmtId="0" fontId="3" fillId="0" borderId="0" xfId="0" applyFont="1" applyAlignment="1">
      <alignment vertical="top"/>
    </xf>
    <xf numFmtId="176" fontId="3" fillId="2" borderId="0" xfId="0" applyNumberFormat="1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54" fillId="0" borderId="2" xfId="0" applyFont="1" applyBorder="1" applyAlignment="1">
      <alignment horizontal="left" vertical="center" indent="1"/>
    </xf>
    <xf numFmtId="0" fontId="41" fillId="0" borderId="2" xfId="0" applyFont="1" applyBorder="1" applyAlignment="1">
      <alignment horizontal="left" vertical="center"/>
    </xf>
    <xf numFmtId="168" fontId="41" fillId="0" borderId="2" xfId="2" applyFont="1" applyBorder="1" applyAlignment="1">
      <alignment horizontal="left" vertical="center"/>
    </xf>
    <xf numFmtId="170" fontId="41" fillId="0" borderId="2" xfId="2" applyNumberFormat="1" applyFont="1" applyBorder="1" applyAlignment="1">
      <alignment horizontal="left" vertical="center"/>
    </xf>
    <xf numFmtId="0" fontId="41" fillId="0" borderId="2" xfId="0" applyFont="1" applyBorder="1" applyAlignment="1">
      <alignment horizontal="center" vertical="center"/>
    </xf>
    <xf numFmtId="165" fontId="41" fillId="0" borderId="2" xfId="0" applyNumberFormat="1" applyFont="1" applyBorder="1" applyAlignment="1">
      <alignment horizontal="right" vertical="center"/>
    </xf>
    <xf numFmtId="164" fontId="41" fillId="0" borderId="2" xfId="0" applyNumberFormat="1" applyFont="1" applyBorder="1" applyAlignment="1">
      <alignment horizontal="right" vertical="center" indent="1"/>
    </xf>
    <xf numFmtId="0" fontId="3" fillId="0" borderId="15" xfId="0" applyFont="1" applyBorder="1"/>
    <xf numFmtId="0" fontId="41" fillId="2" borderId="0" xfId="0" applyFont="1" applyFill="1" applyAlignment="1">
      <alignment horizontal="left" vertical="center" indent="1"/>
    </xf>
    <xf numFmtId="0" fontId="41" fillId="2" borderId="0" xfId="0" applyFont="1" applyFill="1" applyAlignment="1">
      <alignment horizontal="left" vertical="center"/>
    </xf>
    <xf numFmtId="168" fontId="41" fillId="2" borderId="0" xfId="2" applyFont="1" applyFill="1" applyBorder="1" applyAlignment="1">
      <alignment horizontal="left" vertical="center"/>
    </xf>
    <xf numFmtId="170" fontId="41" fillId="2" borderId="0" xfId="2" applyNumberFormat="1" applyFont="1" applyFill="1" applyBorder="1" applyAlignment="1">
      <alignment horizontal="left" vertical="center"/>
    </xf>
    <xf numFmtId="0" fontId="41" fillId="2" borderId="0" xfId="0" applyFont="1" applyFill="1" applyAlignment="1">
      <alignment horizontal="center" vertical="center"/>
    </xf>
    <xf numFmtId="165" fontId="41" fillId="2" borderId="0" xfId="0" applyNumberFormat="1" applyFont="1" applyFill="1" applyAlignment="1">
      <alignment horizontal="right" vertical="center"/>
    </xf>
    <xf numFmtId="164" fontId="41" fillId="2" borderId="0" xfId="0" applyNumberFormat="1" applyFont="1" applyFill="1" applyAlignment="1">
      <alignment horizontal="right" vertical="center" indent="1"/>
    </xf>
    <xf numFmtId="0" fontId="8" fillId="2" borderId="0" xfId="0" applyFont="1" applyFill="1" applyAlignment="1">
      <alignment horizontal="left" vertical="top" indent="1"/>
    </xf>
    <xf numFmtId="0" fontId="12" fillId="2" borderId="0" xfId="0" applyFont="1" applyFill="1"/>
    <xf numFmtId="0" fontId="8" fillId="2" borderId="0" xfId="0" applyFont="1" applyFill="1" applyAlignment="1">
      <alignment vertical="top"/>
    </xf>
    <xf numFmtId="0" fontId="13" fillId="2" borderId="0" xfId="0" applyFont="1" applyFill="1" applyAlignment="1">
      <alignment horizontal="left"/>
    </xf>
    <xf numFmtId="0" fontId="12" fillId="2" borderId="0" xfId="0" applyFont="1" applyFill="1" applyAlignment="1">
      <alignment horizontal="right"/>
    </xf>
    <xf numFmtId="164" fontId="12" fillId="2" borderId="0" xfId="0" applyNumberFormat="1" applyFont="1" applyFill="1" applyAlignment="1">
      <alignment horizontal="right" indent="1"/>
    </xf>
    <xf numFmtId="0" fontId="3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 vertical="top"/>
    </xf>
    <xf numFmtId="0" fontId="37" fillId="2" borderId="0" xfId="0" applyFont="1" applyFill="1"/>
    <xf numFmtId="0" fontId="59" fillId="0" borderId="0" xfId="0" applyFont="1" applyAlignment="1">
      <alignment vertical="center"/>
    </xf>
    <xf numFmtId="0" fontId="18" fillId="2" borderId="2" xfId="0" applyFont="1" applyFill="1" applyBorder="1" applyAlignment="1">
      <alignment horizontal="left" vertical="center" indent="1"/>
    </xf>
    <xf numFmtId="0" fontId="18" fillId="2" borderId="2" xfId="0" applyFont="1" applyFill="1" applyBorder="1" applyAlignment="1">
      <alignment vertical="center"/>
    </xf>
    <xf numFmtId="0" fontId="18" fillId="2" borderId="2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right" vertical="center"/>
    </xf>
    <xf numFmtId="164" fontId="18" fillId="2" borderId="0" xfId="0" applyNumberFormat="1" applyFont="1" applyFill="1" applyAlignment="1">
      <alignment horizontal="right" vertical="center" indent="1"/>
    </xf>
    <xf numFmtId="0" fontId="60" fillId="2" borderId="0" xfId="0" applyFont="1" applyFill="1" applyAlignment="1">
      <alignment vertical="center"/>
    </xf>
    <xf numFmtId="0" fontId="14" fillId="2" borderId="16" xfId="0" applyFont="1" applyFill="1" applyBorder="1" applyAlignment="1">
      <alignment horizontal="left" vertical="center" indent="1"/>
    </xf>
    <xf numFmtId="0" fontId="3" fillId="2" borderId="16" xfId="0" applyFont="1" applyFill="1" applyBorder="1" applyAlignment="1">
      <alignment vertical="center"/>
    </xf>
    <xf numFmtId="0" fontId="3" fillId="2" borderId="16" xfId="0" applyFont="1" applyFill="1" applyBorder="1" applyAlignment="1">
      <alignment horizontal="left" vertical="center"/>
    </xf>
    <xf numFmtId="3" fontId="3" fillId="2" borderId="16" xfId="0" applyNumberFormat="1" applyFont="1" applyFill="1" applyBorder="1" applyAlignment="1">
      <alignment vertical="center"/>
    </xf>
    <xf numFmtId="172" fontId="3" fillId="2" borderId="16" xfId="0" applyNumberFormat="1" applyFont="1" applyFill="1" applyBorder="1" applyAlignment="1">
      <alignment horizontal="right" vertical="center"/>
    </xf>
    <xf numFmtId="164" fontId="3" fillId="2" borderId="16" xfId="0" applyNumberFormat="1" applyFont="1" applyFill="1" applyBorder="1" applyAlignment="1">
      <alignment horizontal="right" vertical="center"/>
    </xf>
    <xf numFmtId="0" fontId="14" fillId="2" borderId="17" xfId="0" applyFont="1" applyFill="1" applyBorder="1" applyAlignment="1">
      <alignment horizontal="left" vertical="center" indent="1"/>
    </xf>
    <xf numFmtId="0" fontId="3" fillId="2" borderId="17" xfId="0" applyFont="1" applyFill="1" applyBorder="1" applyAlignment="1">
      <alignment vertical="center"/>
    </xf>
    <xf numFmtId="179" fontId="3" fillId="2" borderId="17" xfId="0" applyNumberFormat="1" applyFont="1" applyFill="1" applyBorder="1" applyAlignment="1">
      <alignment vertical="center"/>
    </xf>
    <xf numFmtId="176" fontId="51" fillId="2" borderId="17" xfId="0" applyNumberFormat="1" applyFont="1" applyFill="1" applyBorder="1" applyAlignment="1">
      <alignment horizontal="right" vertical="center"/>
    </xf>
    <xf numFmtId="172" fontId="3" fillId="2" borderId="17" xfId="0" applyNumberFormat="1" applyFont="1" applyFill="1" applyBorder="1" applyAlignment="1">
      <alignment horizontal="right" vertical="center"/>
    </xf>
    <xf numFmtId="0" fontId="3" fillId="2" borderId="17" xfId="0" applyFont="1" applyFill="1" applyBorder="1" applyAlignment="1">
      <alignment horizontal="left" vertical="center"/>
    </xf>
    <xf numFmtId="164" fontId="3" fillId="2" borderId="17" xfId="0" applyNumberFormat="1" applyFont="1" applyFill="1" applyBorder="1" applyAlignment="1">
      <alignment horizontal="right" vertical="center"/>
    </xf>
    <xf numFmtId="0" fontId="14" fillId="2" borderId="17" xfId="0" applyFont="1" applyFill="1" applyBorder="1" applyAlignment="1">
      <alignment horizontal="left" vertical="center"/>
    </xf>
    <xf numFmtId="179" fontId="3" fillId="2" borderId="17" xfId="0" applyNumberFormat="1" applyFont="1" applyFill="1" applyBorder="1" applyAlignment="1">
      <alignment horizontal="center" vertical="center"/>
    </xf>
    <xf numFmtId="179" fontId="3" fillId="2" borderId="17" xfId="0" applyNumberFormat="1" applyFont="1" applyFill="1" applyBorder="1" applyAlignment="1">
      <alignment horizontal="left" vertical="center"/>
    </xf>
    <xf numFmtId="0" fontId="61" fillId="2" borderId="0" xfId="0" applyFont="1" applyFill="1" applyAlignment="1">
      <alignment horizontal="center"/>
    </xf>
    <xf numFmtId="169" fontId="26" fillId="2" borderId="4" xfId="0" applyNumberFormat="1" applyFont="1" applyFill="1" applyBorder="1" applyAlignment="1">
      <alignment horizontal="left"/>
    </xf>
    <xf numFmtId="169" fontId="26" fillId="2" borderId="4" xfId="0" applyNumberFormat="1" applyFont="1" applyFill="1" applyBorder="1" applyAlignment="1">
      <alignment horizontal="right"/>
    </xf>
    <xf numFmtId="164" fontId="26" fillId="2" borderId="4" xfId="0" applyNumberFormat="1" applyFont="1" applyFill="1" applyBorder="1" applyAlignment="1">
      <alignment horizontal="right"/>
    </xf>
    <xf numFmtId="164" fontId="26" fillId="2" borderId="0" xfId="0" applyNumberFormat="1" applyFont="1" applyFill="1" applyAlignment="1">
      <alignment horizontal="right" indent="1"/>
    </xf>
    <xf numFmtId="0" fontId="62" fillId="2" borderId="0" xfId="0" applyFont="1" applyFill="1"/>
    <xf numFmtId="0" fontId="62" fillId="0" borderId="0" xfId="0" applyFont="1"/>
    <xf numFmtId="0" fontId="26" fillId="2" borderId="0" xfId="0" applyFont="1" applyFill="1" applyAlignment="1">
      <alignment horizontal="left" vertical="center" indent="1"/>
    </xf>
    <xf numFmtId="0" fontId="27" fillId="2" borderId="0" xfId="0" applyFont="1" applyFill="1" applyAlignment="1">
      <alignment horizontal="left" vertical="center"/>
    </xf>
    <xf numFmtId="168" fontId="27" fillId="2" borderId="0" xfId="2" applyFont="1" applyFill="1" applyBorder="1" applyAlignment="1">
      <alignment horizontal="left" vertical="center"/>
    </xf>
    <xf numFmtId="170" fontId="27" fillId="2" borderId="0" xfId="2" applyNumberFormat="1" applyFont="1" applyFill="1" applyBorder="1" applyAlignment="1">
      <alignment horizontal="left" vertical="center"/>
    </xf>
    <xf numFmtId="165" fontId="26" fillId="2" borderId="0" xfId="0" applyNumberFormat="1" applyFont="1" applyFill="1" applyAlignment="1">
      <alignment horizontal="right" vertical="center"/>
    </xf>
    <xf numFmtId="164" fontId="26" fillId="2" borderId="0" xfId="0" applyNumberFormat="1" applyFont="1" applyFill="1" applyAlignment="1">
      <alignment horizontal="right" vertical="center" indent="1"/>
    </xf>
    <xf numFmtId="179" fontId="3" fillId="2" borderId="0" xfId="0" applyNumberFormat="1" applyFont="1" applyFill="1" applyAlignment="1">
      <alignment horizontal="center" vertical="center"/>
    </xf>
    <xf numFmtId="172" fontId="3" fillId="2" borderId="0" xfId="0" applyNumberFormat="1" applyFont="1" applyFill="1" applyAlignment="1">
      <alignment horizontal="right" vertical="center"/>
    </xf>
    <xf numFmtId="172" fontId="3" fillId="2" borderId="0" xfId="0" applyNumberFormat="1" applyFont="1" applyFill="1" applyAlignment="1">
      <alignment horizontal="left" vertical="center"/>
    </xf>
    <xf numFmtId="165" fontId="3" fillId="2" borderId="0" xfId="0" applyNumberFormat="1" applyFont="1" applyFill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 indent="1"/>
    </xf>
    <xf numFmtId="179" fontId="3" fillId="2" borderId="2" xfId="0" applyNumberFormat="1" applyFont="1" applyFill="1" applyBorder="1" applyAlignment="1">
      <alignment horizontal="center" vertical="center"/>
    </xf>
    <xf numFmtId="179" fontId="3" fillId="2" borderId="2" xfId="0" applyNumberFormat="1" applyFont="1" applyFill="1" applyBorder="1" applyAlignment="1">
      <alignment horizontal="left" vertical="center"/>
    </xf>
    <xf numFmtId="176" fontId="3" fillId="2" borderId="2" xfId="0" applyNumberFormat="1" applyFont="1" applyFill="1" applyBorder="1" applyAlignment="1">
      <alignment horizontal="right" vertical="center"/>
    </xf>
    <xf numFmtId="172" fontId="3" fillId="2" borderId="2" xfId="0" applyNumberFormat="1" applyFont="1" applyFill="1" applyBorder="1" applyAlignment="1">
      <alignment horizontal="right" vertical="center"/>
    </xf>
    <xf numFmtId="172" fontId="3" fillId="2" borderId="2" xfId="0" applyNumberFormat="1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right" vertical="center"/>
    </xf>
    <xf numFmtId="0" fontId="2" fillId="2" borderId="15" xfId="0" applyFont="1" applyFill="1" applyBorder="1" applyAlignment="1">
      <alignment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left" vertical="center" indent="1"/>
    </xf>
    <xf numFmtId="0" fontId="64" fillId="0" borderId="0" xfId="0" applyFont="1" applyAlignment="1">
      <alignment horizontal="left" vertical="center"/>
    </xf>
    <xf numFmtId="179" fontId="64" fillId="0" borderId="0" xfId="0" applyNumberFormat="1" applyFont="1" applyAlignment="1">
      <alignment horizontal="center" vertical="center"/>
    </xf>
    <xf numFmtId="179" fontId="64" fillId="0" borderId="0" xfId="0" applyNumberFormat="1" applyFont="1" applyAlignment="1">
      <alignment horizontal="left" vertical="center"/>
    </xf>
    <xf numFmtId="176" fontId="64" fillId="0" borderId="0" xfId="0" applyNumberFormat="1" applyFont="1" applyAlignment="1">
      <alignment horizontal="right" vertical="center"/>
    </xf>
    <xf numFmtId="172" fontId="64" fillId="0" borderId="0" xfId="0" applyNumberFormat="1" applyFont="1" applyAlignment="1">
      <alignment horizontal="right" vertical="center"/>
    </xf>
    <xf numFmtId="172" fontId="64" fillId="0" borderId="0" xfId="0" applyNumberFormat="1" applyFont="1" applyAlignment="1">
      <alignment horizontal="left" vertical="center"/>
    </xf>
    <xf numFmtId="165" fontId="64" fillId="0" borderId="0" xfId="0" applyNumberFormat="1" applyFont="1" applyAlignment="1">
      <alignment horizontal="right" vertical="center"/>
    </xf>
    <xf numFmtId="164" fontId="64" fillId="0" borderId="0" xfId="0" applyNumberFormat="1" applyFont="1" applyAlignment="1">
      <alignment horizontal="right" vertical="center" indent="1"/>
    </xf>
    <xf numFmtId="0" fontId="64" fillId="0" borderId="0" xfId="0" applyFont="1" applyAlignment="1">
      <alignment vertical="center"/>
    </xf>
    <xf numFmtId="0" fontId="65" fillId="0" borderId="0" xfId="0" applyFont="1" applyAlignment="1">
      <alignment horizontal="left" vertical="center" indent="2"/>
    </xf>
    <xf numFmtId="168" fontId="64" fillId="0" borderId="0" xfId="2" applyFont="1" applyBorder="1" applyAlignment="1">
      <alignment horizontal="left" vertical="center"/>
    </xf>
    <xf numFmtId="170" fontId="64" fillId="0" borderId="0" xfId="2" applyNumberFormat="1" applyFont="1" applyBorder="1" applyAlignment="1">
      <alignment horizontal="left" vertical="center"/>
    </xf>
    <xf numFmtId="0" fontId="64" fillId="0" borderId="0" xfId="0" applyFont="1" applyAlignment="1">
      <alignment horizontal="center" vertical="center"/>
    </xf>
    <xf numFmtId="0" fontId="64" fillId="0" borderId="0" xfId="0" applyFont="1"/>
    <xf numFmtId="0" fontId="64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 indent="1"/>
    </xf>
    <xf numFmtId="0" fontId="2" fillId="2" borderId="0" xfId="0" applyFont="1" applyFill="1" applyAlignment="1">
      <alignment horizontal="right" vertical="center" indent="1"/>
    </xf>
    <xf numFmtId="0" fontId="8" fillId="2" borderId="0" xfId="0" applyFont="1" applyFill="1" applyAlignment="1">
      <alignment horizontal="right" vertical="center" indent="1"/>
    </xf>
    <xf numFmtId="0" fontId="8" fillId="2" borderId="2" xfId="0" applyFont="1" applyFill="1" applyBorder="1" applyAlignment="1">
      <alignment horizontal="right" vertical="center" indent="1"/>
    </xf>
    <xf numFmtId="0" fontId="8" fillId="0" borderId="0" xfId="0" applyFont="1" applyAlignment="1">
      <alignment horizontal="right" vertical="center" indent="1"/>
    </xf>
    <xf numFmtId="0" fontId="12" fillId="0" borderId="0" xfId="0" applyFont="1" applyAlignment="1">
      <alignment horizontal="right" indent="1"/>
    </xf>
    <xf numFmtId="173" fontId="16" fillId="0" borderId="0" xfId="0" applyNumberFormat="1" applyFont="1" applyAlignment="1">
      <alignment horizontal="right" indent="1"/>
    </xf>
    <xf numFmtId="0" fontId="18" fillId="0" borderId="2" xfId="0" applyFont="1" applyBorder="1" applyAlignment="1">
      <alignment horizontal="right" indent="1"/>
    </xf>
    <xf numFmtId="168" fontId="3" fillId="0" borderId="0" xfId="2" applyFont="1" applyBorder="1" applyAlignment="1">
      <alignment horizontal="right" vertical="center"/>
    </xf>
    <xf numFmtId="0" fontId="69" fillId="0" borderId="0" xfId="4" applyFont="1" applyBorder="1" applyAlignment="1">
      <alignment vertical="top"/>
    </xf>
    <xf numFmtId="0" fontId="42" fillId="0" borderId="0" xfId="0" applyFont="1" applyAlignment="1">
      <alignment horizontal="left" vertical="center" indent="1"/>
    </xf>
    <xf numFmtId="0" fontId="3" fillId="0" borderId="0" xfId="0" applyFont="1" applyAlignment="1">
      <alignment horizontal="right" indent="1"/>
    </xf>
    <xf numFmtId="0" fontId="28" fillId="0" borderId="0" xfId="0" applyFont="1" applyAlignment="1">
      <alignment horizontal="right" vertical="center" indent="1"/>
    </xf>
    <xf numFmtId="0" fontId="18" fillId="0" borderId="2" xfId="0" applyFont="1" applyBorder="1" applyAlignment="1">
      <alignment horizontal="right" vertical="center" indent="1"/>
    </xf>
    <xf numFmtId="175" fontId="3" fillId="2" borderId="0" xfId="2" applyNumberFormat="1" applyFont="1" applyFill="1" applyBorder="1" applyAlignment="1">
      <alignment horizontal="center" vertical="center"/>
    </xf>
    <xf numFmtId="165" fontId="3" fillId="2" borderId="0" xfId="0" applyNumberFormat="1" applyFont="1" applyFill="1" applyAlignment="1">
      <alignment horizontal="right" vertical="center" indent="1"/>
    </xf>
    <xf numFmtId="175" fontId="3" fillId="0" borderId="0" xfId="2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right" vertical="center" indent="1"/>
    </xf>
    <xf numFmtId="165" fontId="41" fillId="0" borderId="0" xfId="0" applyNumberFormat="1" applyFont="1" applyAlignment="1">
      <alignment horizontal="right" vertical="center" indent="1"/>
    </xf>
    <xf numFmtId="0" fontId="41" fillId="0" borderId="0" xfId="0" applyFont="1" applyAlignment="1">
      <alignment horizontal="right" vertical="center" indent="1"/>
    </xf>
    <xf numFmtId="0" fontId="12" fillId="0" borderId="0" xfId="0" applyFont="1" applyAlignment="1">
      <alignment horizontal="right" vertical="top" indent="1"/>
    </xf>
    <xf numFmtId="172" fontId="3" fillId="2" borderId="4" xfId="0" applyNumberFormat="1" applyFont="1" applyFill="1" applyBorder="1" applyAlignment="1">
      <alignment vertical="center"/>
    </xf>
    <xf numFmtId="170" fontId="3" fillId="2" borderId="0" xfId="2" applyNumberFormat="1" applyFont="1" applyFill="1" applyBorder="1" applyAlignment="1">
      <alignment vertical="center"/>
    </xf>
    <xf numFmtId="173" fontId="3" fillId="2" borderId="0" xfId="0" applyNumberFormat="1" applyFont="1" applyFill="1" applyAlignment="1">
      <alignment horizontal="right" vertical="center" indent="1"/>
    </xf>
    <xf numFmtId="170" fontId="3" fillId="0" borderId="0" xfId="2" applyNumberFormat="1" applyFont="1" applyBorder="1" applyAlignment="1">
      <alignment horizontal="center" vertical="center"/>
    </xf>
    <xf numFmtId="165" fontId="3" fillId="2" borderId="2" xfId="0" applyNumberFormat="1" applyFont="1" applyFill="1" applyBorder="1" applyAlignment="1">
      <alignment horizontal="right" vertical="center" indent="1"/>
    </xf>
    <xf numFmtId="170" fontId="47" fillId="4" borderId="4" xfId="2" applyNumberFormat="1" applyFont="1" applyFill="1" applyBorder="1" applyAlignment="1">
      <alignment horizontal="right" vertical="center" indent="1"/>
    </xf>
    <xf numFmtId="170" fontId="47" fillId="5" borderId="0" xfId="2" applyNumberFormat="1" applyFont="1" applyFill="1" applyBorder="1" applyAlignment="1">
      <alignment horizontal="right" vertical="center" indent="1"/>
    </xf>
    <xf numFmtId="170" fontId="47" fillId="4" borderId="0" xfId="2" applyNumberFormat="1" applyFont="1" applyFill="1" applyBorder="1" applyAlignment="1">
      <alignment horizontal="right" vertical="center" indent="1"/>
    </xf>
    <xf numFmtId="0" fontId="47" fillId="4" borderId="2" xfId="0" applyFont="1" applyFill="1" applyBorder="1" applyAlignment="1">
      <alignment horizontal="right" vertical="center" indent="1"/>
    </xf>
    <xf numFmtId="172" fontId="3" fillId="2" borderId="0" xfId="0" applyNumberFormat="1" applyFont="1" applyFill="1" applyAlignment="1">
      <alignment vertical="center"/>
    </xf>
    <xf numFmtId="0" fontId="27" fillId="0" borderId="0" xfId="0" applyFont="1" applyAlignment="1">
      <alignment horizontal="right" vertical="center" indent="1"/>
    </xf>
    <xf numFmtId="165" fontId="25" fillId="2" borderId="0" xfId="0" applyNumberFormat="1" applyFont="1" applyFill="1" applyAlignment="1">
      <alignment horizontal="right" vertical="center" indent="1"/>
    </xf>
    <xf numFmtId="165" fontId="25" fillId="0" borderId="0" xfId="0" applyNumberFormat="1" applyFont="1" applyAlignment="1">
      <alignment horizontal="right" vertical="center" indent="1"/>
    </xf>
    <xf numFmtId="0" fontId="2" fillId="0" borderId="4" xfId="0" applyFont="1" applyBorder="1" applyAlignment="1">
      <alignment horizontal="right" vertical="center" indent="1"/>
    </xf>
    <xf numFmtId="172" fontId="3" fillId="0" borderId="4" xfId="0" applyNumberFormat="1" applyFont="1" applyBorder="1" applyAlignment="1">
      <alignment horizontal="right" vertical="center" indent="1"/>
    </xf>
    <xf numFmtId="172" fontId="3" fillId="0" borderId="0" xfId="0" applyNumberFormat="1" applyFont="1" applyAlignment="1">
      <alignment horizontal="right" vertical="center" indent="1"/>
    </xf>
    <xf numFmtId="173" fontId="3" fillId="0" borderId="0" xfId="0" applyNumberFormat="1" applyFont="1" applyAlignment="1">
      <alignment horizontal="right" vertical="center" indent="1"/>
    </xf>
    <xf numFmtId="0" fontId="34" fillId="0" borderId="0" xfId="0" applyFont="1" applyAlignment="1">
      <alignment horizontal="right" vertical="center" indent="1"/>
    </xf>
    <xf numFmtId="172" fontId="3" fillId="2" borderId="0" xfId="0" applyNumberFormat="1" applyFont="1" applyFill="1" applyAlignment="1">
      <alignment horizontal="right" vertical="center" indent="1"/>
    </xf>
    <xf numFmtId="0" fontId="2" fillId="0" borderId="0" xfId="0" applyFont="1" applyAlignment="1">
      <alignment horizontal="right" vertical="top"/>
    </xf>
    <xf numFmtId="165" fontId="41" fillId="0" borderId="2" xfId="0" applyNumberFormat="1" applyFont="1" applyBorder="1" applyAlignment="1">
      <alignment horizontal="right" vertical="center" indent="1"/>
    </xf>
    <xf numFmtId="165" fontId="41" fillId="2" borderId="0" xfId="0" applyNumberFormat="1" applyFont="1" applyFill="1" applyAlignment="1">
      <alignment horizontal="right" vertical="center" indent="1"/>
    </xf>
    <xf numFmtId="0" fontId="12" fillId="2" borderId="0" xfId="0" applyFont="1" applyFill="1" applyAlignment="1">
      <alignment horizontal="right" indent="1"/>
    </xf>
    <xf numFmtId="0" fontId="18" fillId="2" borderId="0" xfId="0" applyFont="1" applyFill="1" applyAlignment="1">
      <alignment horizontal="right" vertical="center" indent="1"/>
    </xf>
    <xf numFmtId="165" fontId="3" fillId="2" borderId="16" xfId="0" applyNumberFormat="1" applyFont="1" applyFill="1" applyBorder="1" applyAlignment="1">
      <alignment horizontal="right" vertical="center"/>
    </xf>
    <xf numFmtId="165" fontId="3" fillId="2" borderId="17" xfId="0" applyNumberFormat="1" applyFont="1" applyFill="1" applyBorder="1" applyAlignment="1">
      <alignment horizontal="right" vertical="center"/>
    </xf>
    <xf numFmtId="165" fontId="26" fillId="2" borderId="4" xfId="0" applyNumberFormat="1" applyFont="1" applyFill="1" applyBorder="1" applyAlignment="1">
      <alignment horizontal="left" indent="1"/>
    </xf>
    <xf numFmtId="165" fontId="26" fillId="2" borderId="4" xfId="0" applyNumberFormat="1" applyFont="1" applyFill="1" applyBorder="1"/>
    <xf numFmtId="165" fontId="26" fillId="2" borderId="4" xfId="0" applyNumberFormat="1" applyFont="1" applyFill="1" applyBorder="1" applyAlignment="1">
      <alignment horizontal="right"/>
    </xf>
    <xf numFmtId="165" fontId="26" fillId="2" borderId="0" xfId="0" applyNumberFormat="1" applyFont="1" applyFill="1" applyAlignment="1">
      <alignment horizontal="right" indent="1"/>
    </xf>
    <xf numFmtId="165" fontId="26" fillId="2" borderId="0" xfId="0" applyNumberFormat="1" applyFont="1" applyFill="1" applyAlignment="1">
      <alignment horizontal="right" vertical="center" indent="1"/>
    </xf>
    <xf numFmtId="165" fontId="64" fillId="0" borderId="0" xfId="0" applyNumberFormat="1" applyFont="1" applyAlignment="1">
      <alignment horizontal="right" vertical="center" indent="1"/>
    </xf>
    <xf numFmtId="0" fontId="64" fillId="0" borderId="0" xfId="0" applyFont="1" applyAlignment="1">
      <alignment horizontal="right" vertical="center" indent="1"/>
    </xf>
    <xf numFmtId="0" fontId="71" fillId="0" borderId="0" xfId="0" applyFont="1" applyAlignment="1">
      <alignment horizontal="left" vertical="center" indent="1"/>
    </xf>
    <xf numFmtId="0" fontId="71" fillId="0" borderId="1" xfId="0" applyFont="1" applyBorder="1" applyAlignment="1">
      <alignment horizontal="left" vertical="center" indent="1"/>
    </xf>
    <xf numFmtId="0" fontId="3" fillId="3" borderId="0" xfId="0" applyFont="1" applyFill="1" applyAlignment="1">
      <alignment horizontal="left" vertical="top" indent="1"/>
    </xf>
    <xf numFmtId="0" fontId="15" fillId="6" borderId="0" xfId="0" applyFont="1" applyFill="1" applyAlignment="1">
      <alignment horizontal="left" vertical="top" indent="1"/>
    </xf>
    <xf numFmtId="0" fontId="15" fillId="6" borderId="0" xfId="0" applyFont="1" applyFill="1" applyAlignment="1">
      <alignment vertical="top"/>
    </xf>
    <xf numFmtId="173" fontId="22" fillId="2" borderId="0" xfId="2" applyNumberFormat="1" applyFont="1" applyFill="1" applyBorder="1" applyAlignment="1">
      <alignment horizontal="right" vertical="center" wrapText="1" indent="1"/>
    </xf>
    <xf numFmtId="0" fontId="30" fillId="0" borderId="0" xfId="0" applyFont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61" fillId="2" borderId="0" xfId="0" applyFont="1" applyFill="1" applyAlignment="1">
      <alignment horizontal="center" vertical="center"/>
    </xf>
    <xf numFmtId="165" fontId="26" fillId="2" borderId="4" xfId="0" applyNumberFormat="1" applyFont="1" applyFill="1" applyBorder="1" applyAlignment="1">
      <alignment horizontal="left"/>
    </xf>
    <xf numFmtId="0" fontId="72" fillId="0" borderId="0" xfId="0" applyFont="1" applyAlignment="1">
      <alignment horizontal="left" vertical="center" indent="1"/>
    </xf>
    <xf numFmtId="165" fontId="72" fillId="0" borderId="0" xfId="0" applyNumberFormat="1" applyFont="1" applyAlignment="1">
      <alignment horizontal="left" vertical="center" indent="1"/>
    </xf>
    <xf numFmtId="0" fontId="2" fillId="0" borderId="0" xfId="0" applyFont="1" applyAlignment="1">
      <alignment vertical="center" shrinkToFit="1"/>
    </xf>
    <xf numFmtId="0" fontId="2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right" vertical="center" indent="1" shrinkToFit="1"/>
    </xf>
    <xf numFmtId="0" fontId="2" fillId="2" borderId="0" xfId="0" applyFont="1" applyFill="1" applyAlignment="1">
      <alignment vertical="center" shrinkToFit="1"/>
    </xf>
    <xf numFmtId="0" fontId="2" fillId="2" borderId="0" xfId="0" applyFont="1" applyFill="1" applyAlignment="1">
      <alignment horizontal="right" vertical="center" shrinkToFit="1"/>
    </xf>
    <xf numFmtId="0" fontId="2" fillId="2" borderId="0" xfId="0" applyFont="1" applyFill="1" applyAlignment="1">
      <alignment horizontal="right" vertical="center" indent="1" shrinkToFit="1"/>
    </xf>
    <xf numFmtId="0" fontId="2" fillId="0" borderId="1" xfId="0" applyFont="1" applyBorder="1" applyAlignment="1">
      <alignment vertical="center" shrinkToFit="1"/>
    </xf>
    <xf numFmtId="0" fontId="2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/>
    </xf>
    <xf numFmtId="0" fontId="6" fillId="2" borderId="0" xfId="4" applyFill="1" applyBorder="1" applyAlignment="1">
      <alignment horizontal="left" vertical="top"/>
    </xf>
    <xf numFmtId="0" fontId="8" fillId="2" borderId="0" xfId="0" applyFont="1" applyFill="1" applyAlignment="1">
      <alignment vertical="center" shrinkToFit="1"/>
    </xf>
    <xf numFmtId="9" fontId="8" fillId="2" borderId="0" xfId="3" applyFont="1" applyFill="1" applyBorder="1" applyAlignment="1">
      <alignment horizontal="center" vertical="center" shrinkToFit="1"/>
    </xf>
    <xf numFmtId="0" fontId="9" fillId="2" borderId="0" xfId="0" applyFont="1" applyFill="1" applyAlignment="1">
      <alignment vertical="center" shrinkToFit="1"/>
    </xf>
    <xf numFmtId="0" fontId="8" fillId="2" borderId="0" xfId="0" applyFont="1" applyFill="1" applyAlignment="1">
      <alignment horizontal="right" vertical="center" shrinkToFit="1"/>
    </xf>
    <xf numFmtId="0" fontId="8" fillId="2" borderId="0" xfId="0" applyFont="1" applyFill="1" applyAlignment="1">
      <alignment horizontal="right" vertical="center" indent="1" shrinkToFit="1"/>
    </xf>
    <xf numFmtId="0" fontId="8" fillId="0" borderId="1" xfId="0" applyFont="1" applyBorder="1" applyAlignment="1">
      <alignment vertical="center" shrinkToFit="1"/>
    </xf>
    <xf numFmtId="0" fontId="8" fillId="0" borderId="0" xfId="0" applyFont="1" applyAlignment="1">
      <alignment vertical="center" shrinkToFit="1"/>
    </xf>
    <xf numFmtId="0" fontId="8" fillId="2" borderId="2" xfId="0" applyFont="1" applyFill="1" applyBorder="1" applyAlignment="1">
      <alignment vertical="center" shrinkToFit="1"/>
    </xf>
    <xf numFmtId="9" fontId="8" fillId="2" borderId="2" xfId="3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vertical="center" shrinkToFit="1"/>
    </xf>
    <xf numFmtId="0" fontId="8" fillId="2" borderId="2" xfId="0" applyFont="1" applyFill="1" applyBorder="1" applyAlignment="1">
      <alignment horizontal="right" vertical="center" shrinkToFit="1"/>
    </xf>
    <xf numFmtId="0" fontId="8" fillId="2" borderId="2" xfId="0" applyFont="1" applyFill="1" applyBorder="1" applyAlignment="1">
      <alignment horizontal="right" vertical="center" indent="1" shrinkToFit="1"/>
    </xf>
    <xf numFmtId="0" fontId="8" fillId="2" borderId="15" xfId="0" applyFont="1" applyFill="1" applyBorder="1" applyAlignment="1">
      <alignment vertical="center" shrinkToFit="1"/>
    </xf>
    <xf numFmtId="9" fontId="8" fillId="0" borderId="0" xfId="3" applyFont="1" applyBorder="1" applyAlignment="1">
      <alignment horizontal="center" vertical="center" shrinkToFit="1"/>
    </xf>
    <xf numFmtId="0" fontId="9" fillId="0" borderId="0" xfId="0" applyFont="1" applyAlignment="1">
      <alignment vertical="center" shrinkToFit="1"/>
    </xf>
    <xf numFmtId="0" fontId="8" fillId="0" borderId="0" xfId="0" applyFont="1" applyAlignment="1">
      <alignment horizontal="right" vertical="center" shrinkToFit="1"/>
    </xf>
    <xf numFmtId="0" fontId="8" fillId="0" borderId="0" xfId="0" applyFont="1" applyAlignment="1">
      <alignment horizontal="right" vertical="center" indent="1" shrinkToFit="1"/>
    </xf>
    <xf numFmtId="0" fontId="8" fillId="0" borderId="0" xfId="0" applyFont="1" applyAlignment="1">
      <alignment horizontal="center" vertical="center" shrinkToFit="1"/>
    </xf>
    <xf numFmtId="0" fontId="3" fillId="0" borderId="0" xfId="0" applyFont="1" applyAlignment="1">
      <alignment vertical="center" shrinkToFit="1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left" indent="2" shrinkToFit="1"/>
    </xf>
    <xf numFmtId="0" fontId="8" fillId="0" borderId="0" xfId="0" applyFont="1" applyAlignment="1">
      <alignment horizontal="left" vertical="top" indent="1" shrinkToFit="1"/>
    </xf>
    <xf numFmtId="0" fontId="12" fillId="0" borderId="0" xfId="0" applyFont="1" applyAlignment="1">
      <alignment shrinkToFit="1"/>
    </xf>
    <xf numFmtId="0" fontId="13" fillId="0" borderId="0" xfId="0" applyFont="1" applyAlignment="1">
      <alignment horizontal="left" shrinkToFit="1"/>
    </xf>
    <xf numFmtId="0" fontId="12" fillId="0" borderId="0" xfId="0" applyFont="1" applyAlignment="1">
      <alignment horizontal="left" shrinkToFit="1"/>
    </xf>
    <xf numFmtId="0" fontId="12" fillId="0" borderId="0" xfId="0" applyFont="1" applyAlignment="1">
      <alignment horizontal="right" shrinkToFit="1"/>
    </xf>
    <xf numFmtId="0" fontId="12" fillId="0" borderId="0" xfId="0" applyFont="1" applyAlignment="1">
      <alignment horizontal="right" indent="1" shrinkToFit="1"/>
    </xf>
    <xf numFmtId="0" fontId="12" fillId="0" borderId="1" xfId="0" applyFont="1" applyBorder="1" applyAlignment="1">
      <alignment vertical="center" shrinkToFit="1"/>
    </xf>
    <xf numFmtId="0" fontId="8" fillId="0" borderId="0" xfId="0" applyFont="1" applyAlignment="1">
      <alignment horizontal="left" vertical="top" shrinkToFit="1"/>
    </xf>
    <xf numFmtId="165" fontId="3" fillId="0" borderId="0" xfId="0" applyNumberFormat="1" applyFont="1" applyAlignment="1">
      <alignment vertical="center" shrinkToFit="1"/>
    </xf>
    <xf numFmtId="0" fontId="3" fillId="0" borderId="0" xfId="0" applyFont="1" applyAlignment="1">
      <alignment shrinkToFit="1"/>
    </xf>
    <xf numFmtId="0" fontId="15" fillId="6" borderId="0" xfId="0" applyFont="1" applyFill="1" applyAlignment="1">
      <alignment horizontal="left" vertical="center" indent="1"/>
    </xf>
    <xf numFmtId="0" fontId="15" fillId="6" borderId="0" xfId="0" applyFont="1" applyFill="1" applyAlignment="1">
      <alignment vertical="center"/>
    </xf>
    <xf numFmtId="0" fontId="2" fillId="0" borderId="0" xfId="0" applyFont="1" applyAlignment="1">
      <alignment horizontal="right" vertical="center" shrinkToFit="1"/>
    </xf>
    <xf numFmtId="0" fontId="34" fillId="0" borderId="0" xfId="0" applyFont="1" applyAlignment="1">
      <alignment shrinkToFit="1"/>
    </xf>
    <xf numFmtId="0" fontId="18" fillId="0" borderId="2" xfId="0" applyFont="1" applyBorder="1" applyAlignment="1">
      <alignment horizontal="center" shrinkToFit="1"/>
    </xf>
    <xf numFmtId="0" fontId="18" fillId="0" borderId="2" xfId="0" applyFont="1" applyBorder="1" applyAlignment="1">
      <alignment horizontal="right" shrinkToFit="1"/>
    </xf>
    <xf numFmtId="0" fontId="18" fillId="0" borderId="2" xfId="0" applyFont="1" applyBorder="1" applyAlignment="1">
      <alignment horizontal="right" wrapText="1" shrinkToFit="1"/>
    </xf>
    <xf numFmtId="0" fontId="19" fillId="0" borderId="2" xfId="0" applyFont="1" applyBorder="1" applyAlignment="1">
      <alignment horizontal="center" wrapText="1" shrinkToFit="1"/>
    </xf>
    <xf numFmtId="0" fontId="34" fillId="0" borderId="1" xfId="0" applyFont="1" applyBorder="1" applyAlignment="1">
      <alignment vertical="center" shrinkToFit="1"/>
    </xf>
    <xf numFmtId="0" fontId="34" fillId="0" borderId="0" xfId="0" applyFont="1" applyAlignment="1">
      <alignment vertical="center" shrinkToFit="1"/>
    </xf>
    <xf numFmtId="0" fontId="35" fillId="0" borderId="0" xfId="0" applyFont="1" applyAlignment="1">
      <alignment vertical="center" shrinkToFit="1"/>
    </xf>
    <xf numFmtId="0" fontId="8" fillId="2" borderId="0" xfId="0" applyFont="1" applyFill="1" applyAlignment="1">
      <alignment horizontal="center" vertical="center" shrinkToFit="1"/>
    </xf>
    <xf numFmtId="169" fontId="8" fillId="2" borderId="0" xfId="2" applyNumberFormat="1" applyFont="1" applyFill="1" applyBorder="1" applyAlignment="1">
      <alignment horizontal="left" vertical="center" shrinkToFit="1"/>
    </xf>
    <xf numFmtId="0" fontId="21" fillId="3" borderId="3" xfId="0" applyFont="1" applyFill="1" applyBorder="1" applyAlignment="1">
      <alignment horizontal="center" vertical="center" shrinkToFit="1"/>
    </xf>
    <xf numFmtId="169" fontId="22" fillId="2" borderId="0" xfId="2" applyNumberFormat="1" applyFont="1" applyFill="1" applyBorder="1" applyAlignment="1">
      <alignment horizontal="right" vertical="center" shrinkToFit="1"/>
    </xf>
    <xf numFmtId="0" fontId="3" fillId="0" borderId="1" xfId="0" applyFont="1" applyBorder="1" applyAlignment="1">
      <alignment vertical="center" shrinkToFit="1"/>
    </xf>
    <xf numFmtId="169" fontId="8" fillId="0" borderId="0" xfId="2" applyNumberFormat="1" applyFont="1" applyBorder="1" applyAlignment="1">
      <alignment horizontal="left" vertical="center" shrinkToFit="1"/>
    </xf>
    <xf numFmtId="169" fontId="22" fillId="0" borderId="0" xfId="2" applyNumberFormat="1" applyFont="1" applyBorder="1" applyAlignment="1">
      <alignment horizontal="right" vertical="center" shrinkToFit="1"/>
    </xf>
    <xf numFmtId="172" fontId="3" fillId="0" borderId="0" xfId="0" applyNumberFormat="1" applyFont="1" applyAlignment="1">
      <alignment vertical="center" shrinkToFit="1"/>
    </xf>
    <xf numFmtId="0" fontId="26" fillId="0" borderId="4" xfId="0" applyFont="1" applyBorder="1" applyAlignment="1">
      <alignment horizontal="left" vertical="center" indent="1"/>
    </xf>
    <xf numFmtId="0" fontId="26" fillId="0" borderId="4" xfId="0" applyFont="1" applyBorder="1" applyAlignment="1">
      <alignment horizontal="center" vertical="center"/>
    </xf>
    <xf numFmtId="0" fontId="26" fillId="0" borderId="4" xfId="0" applyFont="1" applyBorder="1" applyAlignment="1">
      <alignment horizontal="right" vertical="center" indent="1"/>
    </xf>
    <xf numFmtId="165" fontId="2" fillId="0" borderId="0" xfId="0" applyNumberFormat="1" applyFont="1" applyAlignment="1">
      <alignment vertical="center" shrinkToFit="1"/>
    </xf>
    <xf numFmtId="0" fontId="27" fillId="0" borderId="0" xfId="0" applyFont="1" applyAlignment="1">
      <alignment horizontal="left" vertical="center" shrinkToFit="1"/>
    </xf>
    <xf numFmtId="168" fontId="27" fillId="0" borderId="0" xfId="2" applyFont="1" applyBorder="1" applyAlignment="1">
      <alignment horizontal="left" vertical="center" shrinkToFit="1"/>
    </xf>
    <xf numFmtId="170" fontId="27" fillId="0" borderId="0" xfId="2" applyNumberFormat="1" applyFont="1" applyBorder="1" applyAlignment="1">
      <alignment horizontal="left" vertical="center" shrinkToFit="1"/>
    </xf>
    <xf numFmtId="165" fontId="26" fillId="0" borderId="0" xfId="0" applyNumberFormat="1" applyFont="1" applyAlignment="1">
      <alignment horizontal="right" vertical="center" shrinkToFit="1"/>
    </xf>
    <xf numFmtId="0" fontId="28" fillId="0" borderId="0" xfId="0" applyFont="1" applyAlignment="1">
      <alignment horizontal="center" vertical="center" shrinkToFit="1"/>
    </xf>
    <xf numFmtId="0" fontId="2" fillId="0" borderId="0" xfId="0" applyFont="1" applyAlignment="1">
      <alignment shrinkToFit="1"/>
    </xf>
    <xf numFmtId="0" fontId="15" fillId="0" borderId="0" xfId="0" applyFont="1" applyAlignment="1">
      <alignment shrinkToFit="1"/>
    </xf>
    <xf numFmtId="0" fontId="15" fillId="0" borderId="0" xfId="0" applyFont="1" applyAlignment="1">
      <alignment horizontal="left" shrinkToFit="1"/>
    </xf>
    <xf numFmtId="0" fontId="2" fillId="0" borderId="0" xfId="0" applyFont="1" applyAlignment="1">
      <alignment horizontal="center" shrinkToFit="1"/>
    </xf>
    <xf numFmtId="173" fontId="16" fillId="0" borderId="0" xfId="0" applyNumberFormat="1" applyFont="1" applyAlignment="1">
      <alignment horizontal="right" shrinkToFit="1"/>
    </xf>
    <xf numFmtId="0" fontId="2" fillId="0" borderId="1" xfId="0" applyFont="1" applyBorder="1" applyAlignment="1">
      <alignment shrinkToFit="1"/>
    </xf>
    <xf numFmtId="165" fontId="3" fillId="0" borderId="0" xfId="0" applyNumberFormat="1" applyFont="1" applyAlignment="1">
      <alignment shrinkToFit="1"/>
    </xf>
    <xf numFmtId="165" fontId="2" fillId="0" borderId="0" xfId="0" applyNumberFormat="1" applyFont="1" applyAlignment="1">
      <alignment shrinkToFit="1"/>
    </xf>
    <xf numFmtId="0" fontId="2" fillId="0" borderId="0" xfId="0" applyFont="1" applyAlignment="1">
      <alignment vertical="top" shrinkToFit="1"/>
    </xf>
    <xf numFmtId="167" fontId="3" fillId="2" borderId="0" xfId="1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shrinkToFit="1"/>
    </xf>
    <xf numFmtId="169" fontId="3" fillId="2" borderId="0" xfId="2" applyNumberFormat="1" applyFont="1" applyFill="1" applyBorder="1" applyAlignment="1">
      <alignment horizontal="left" vertical="center" shrinkToFit="1"/>
    </xf>
    <xf numFmtId="0" fontId="3" fillId="0" borderId="0" xfId="0" applyFont="1" applyAlignment="1">
      <alignment horizontal="center" vertical="center" shrinkToFit="1"/>
    </xf>
    <xf numFmtId="169" fontId="3" fillId="0" borderId="0" xfId="2" applyNumberFormat="1" applyFont="1" applyBorder="1" applyAlignment="1">
      <alignment horizontal="left" vertical="center" shrinkToFit="1"/>
    </xf>
    <xf numFmtId="0" fontId="26" fillId="0" borderId="4" xfId="2" applyNumberFormat="1" applyFont="1" applyBorder="1" applyAlignment="1">
      <alignment horizontal="center" vertical="center" shrinkToFit="1"/>
    </xf>
    <xf numFmtId="0" fontId="26" fillId="0" borderId="4" xfId="2" applyNumberFormat="1" applyFont="1" applyBorder="1" applyAlignment="1">
      <alignment horizontal="right" vertical="center" shrinkToFit="1"/>
    </xf>
    <xf numFmtId="0" fontId="28" fillId="0" borderId="4" xfId="0" applyFont="1" applyBorder="1" applyAlignment="1">
      <alignment horizontal="center" vertical="center" shrinkToFit="1"/>
    </xf>
    <xf numFmtId="169" fontId="26" fillId="0" borderId="4" xfId="0" applyNumberFormat="1" applyFont="1" applyBorder="1" applyAlignment="1">
      <alignment horizontal="right" vertical="center" shrinkToFit="1"/>
    </xf>
    <xf numFmtId="0" fontId="29" fillId="0" borderId="0" xfId="0" applyFont="1" applyAlignment="1">
      <alignment horizontal="center" vertical="center" shrinkToFit="1"/>
    </xf>
    <xf numFmtId="168" fontId="29" fillId="0" borderId="0" xfId="2" applyFont="1" applyBorder="1" applyAlignment="1">
      <alignment horizontal="left" vertical="center" shrinkToFit="1"/>
    </xf>
    <xf numFmtId="170" fontId="29" fillId="0" borderId="0" xfId="2" applyNumberFormat="1" applyFont="1" applyBorder="1" applyAlignment="1">
      <alignment horizontal="left" vertical="center" shrinkToFit="1"/>
    </xf>
    <xf numFmtId="173" fontId="16" fillId="0" borderId="0" xfId="2" applyNumberFormat="1" applyFont="1" applyBorder="1" applyAlignment="1">
      <alignment horizontal="right" vertical="center" shrinkToFit="1"/>
    </xf>
    <xf numFmtId="173" fontId="16" fillId="0" borderId="0" xfId="2" applyNumberFormat="1" applyFont="1" applyBorder="1" applyAlignment="1">
      <alignment horizontal="right" vertical="center" indent="1" shrinkToFit="1"/>
    </xf>
    <xf numFmtId="0" fontId="15" fillId="0" borderId="0" xfId="0" applyFont="1" applyAlignment="1">
      <alignment horizontal="left" vertical="center" indent="1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 vertical="center" shrinkToFit="1"/>
    </xf>
    <xf numFmtId="173" fontId="16" fillId="0" borderId="0" xfId="0" applyNumberFormat="1" applyFont="1" applyAlignment="1">
      <alignment horizontal="right" vertical="center" shrinkToFit="1"/>
    </xf>
    <xf numFmtId="173" fontId="16" fillId="0" borderId="0" xfId="0" applyNumberFormat="1" applyFont="1" applyAlignment="1">
      <alignment horizontal="right" vertical="center" indent="1" shrinkToFit="1"/>
    </xf>
    <xf numFmtId="0" fontId="37" fillId="0" borderId="0" xfId="0" applyFont="1" applyAlignment="1">
      <alignment shrinkToFit="1"/>
    </xf>
    <xf numFmtId="0" fontId="18" fillId="0" borderId="2" xfId="0" applyFont="1" applyBorder="1" applyAlignment="1">
      <alignment horizontal="right" indent="1" shrinkToFit="1"/>
    </xf>
    <xf numFmtId="0" fontId="35" fillId="0" borderId="0" xfId="0" applyFont="1" applyAlignment="1">
      <alignment shrinkToFit="1"/>
    </xf>
    <xf numFmtId="0" fontId="35" fillId="0" borderId="1" xfId="0" applyFont="1" applyBorder="1" applyAlignment="1">
      <alignment shrinkToFit="1"/>
    </xf>
    <xf numFmtId="172" fontId="37" fillId="0" borderId="0" xfId="0" applyNumberFormat="1" applyFont="1" applyAlignment="1">
      <alignment shrinkToFit="1"/>
    </xf>
    <xf numFmtId="165" fontId="37" fillId="0" borderId="0" xfId="0" applyNumberFormat="1" applyFont="1" applyAlignment="1">
      <alignment shrinkToFit="1"/>
    </xf>
    <xf numFmtId="169" fontId="22" fillId="2" borderId="0" xfId="2" applyNumberFormat="1" applyFont="1" applyFill="1" applyBorder="1" applyAlignment="1">
      <alignment horizontal="right" vertical="center" indent="1" shrinkToFit="1"/>
    </xf>
    <xf numFmtId="169" fontId="22" fillId="0" borderId="0" xfId="2" applyNumberFormat="1" applyFont="1" applyBorder="1" applyAlignment="1">
      <alignment horizontal="right" vertical="center" indent="1" shrinkToFit="1"/>
    </xf>
    <xf numFmtId="0" fontId="44" fillId="0" borderId="0" xfId="0" applyFont="1" applyAlignment="1">
      <alignment vertical="center" shrinkToFit="1"/>
    </xf>
    <xf numFmtId="0" fontId="27" fillId="0" borderId="4" xfId="0" applyFont="1" applyBorder="1" applyAlignment="1">
      <alignment horizontal="left" vertical="center"/>
    </xf>
    <xf numFmtId="0" fontId="27" fillId="0" borderId="4" xfId="0" applyFont="1" applyBorder="1" applyAlignment="1">
      <alignment horizontal="left" vertical="center" shrinkToFit="1"/>
    </xf>
    <xf numFmtId="168" fontId="27" fillId="0" borderId="4" xfId="2" applyFont="1" applyBorder="1" applyAlignment="1">
      <alignment horizontal="left" vertical="center" shrinkToFit="1"/>
    </xf>
    <xf numFmtId="170" fontId="27" fillId="0" borderId="4" xfId="2" applyNumberFormat="1" applyFont="1" applyBorder="1" applyAlignment="1">
      <alignment horizontal="left" vertical="center" shrinkToFit="1"/>
    </xf>
    <xf numFmtId="169" fontId="26" fillId="0" borderId="4" xfId="0" applyNumberFormat="1" applyFont="1" applyBorder="1" applyAlignment="1">
      <alignment horizontal="right" vertical="center" indent="1" shrinkToFit="1"/>
    </xf>
    <xf numFmtId="165" fontId="26" fillId="0" borderId="0" xfId="0" applyNumberFormat="1" applyFont="1" applyAlignment="1">
      <alignment vertical="center" shrinkToFit="1"/>
    </xf>
    <xf numFmtId="0" fontId="44" fillId="0" borderId="1" xfId="0" applyFont="1" applyBorder="1" applyAlignment="1">
      <alignment vertical="center" shrinkToFit="1"/>
    </xf>
    <xf numFmtId="0" fontId="14" fillId="0" borderId="0" xfId="0" applyFont="1" applyAlignment="1">
      <alignment vertical="center" shrinkToFit="1"/>
    </xf>
    <xf numFmtId="165" fontId="14" fillId="0" borderId="0" xfId="0" applyNumberFormat="1" applyFont="1" applyAlignment="1">
      <alignment vertical="center" shrinkToFit="1"/>
    </xf>
    <xf numFmtId="165" fontId="44" fillId="0" borderId="0" xfId="0" applyNumberFormat="1" applyFont="1" applyAlignment="1">
      <alignment vertical="center" shrinkToFit="1"/>
    </xf>
    <xf numFmtId="0" fontId="39" fillId="0" borderId="0" xfId="0" applyFont="1" applyAlignment="1">
      <alignment horizontal="left" vertical="center" shrinkToFit="1"/>
    </xf>
    <xf numFmtId="0" fontId="3" fillId="0" borderId="0" xfId="0" applyFont="1" applyAlignment="1">
      <alignment horizontal="right" shrinkToFit="1"/>
    </xf>
    <xf numFmtId="0" fontId="3" fillId="0" borderId="0" xfId="0" applyFont="1" applyAlignment="1">
      <alignment horizontal="right" indent="1" shrinkToFit="1"/>
    </xf>
    <xf numFmtId="0" fontId="40" fillId="0" borderId="0" xfId="0" applyFont="1" applyAlignment="1">
      <alignment shrinkToFit="1"/>
    </xf>
    <xf numFmtId="0" fontId="14" fillId="2" borderId="0" xfId="0" applyFont="1" applyFill="1" applyAlignment="1">
      <alignment horizontal="left" vertical="center" indent="1"/>
    </xf>
    <xf numFmtId="0" fontId="3" fillId="2" borderId="4" xfId="0" applyFont="1" applyFill="1" applyBorder="1" applyAlignment="1">
      <alignment vertical="center" shrinkToFit="1"/>
    </xf>
    <xf numFmtId="0" fontId="14" fillId="0" borderId="0" xfId="0" applyFont="1" applyAlignment="1">
      <alignment horizontal="left" vertical="center" indent="1"/>
    </xf>
    <xf numFmtId="0" fontId="3" fillId="0" borderId="0" xfId="2" applyNumberFormat="1" applyFont="1" applyBorder="1" applyAlignment="1">
      <alignment vertical="center" shrinkToFit="1"/>
    </xf>
    <xf numFmtId="0" fontId="3" fillId="2" borderId="2" xfId="2" applyNumberFormat="1" applyFont="1" applyFill="1" applyBorder="1" applyAlignment="1">
      <alignment vertical="center" shrinkToFit="1"/>
    </xf>
    <xf numFmtId="169" fontId="3" fillId="2" borderId="2" xfId="2" applyNumberFormat="1" applyFont="1" applyFill="1" applyBorder="1" applyAlignment="1">
      <alignment horizontal="left" vertical="center" shrinkToFit="1"/>
    </xf>
    <xf numFmtId="169" fontId="3" fillId="2" borderId="14" xfId="2" applyNumberFormat="1" applyFont="1" applyFill="1" applyBorder="1" applyAlignment="1">
      <alignment horizontal="left" vertical="center" shrinkToFit="1"/>
    </xf>
    <xf numFmtId="0" fontId="14" fillId="0" borderId="0" xfId="0" applyFont="1" applyAlignment="1">
      <alignment shrinkToFit="1"/>
    </xf>
    <xf numFmtId="0" fontId="14" fillId="0" borderId="1" xfId="0" applyFont="1" applyBorder="1" applyAlignment="1">
      <alignment vertical="center" shrinkToFit="1"/>
    </xf>
    <xf numFmtId="172" fontId="41" fillId="0" borderId="0" xfId="0" applyNumberFormat="1" applyFont="1" applyAlignment="1">
      <alignment horizontal="center" vertical="center" shrinkToFit="1"/>
    </xf>
    <xf numFmtId="0" fontId="26" fillId="0" borderId="0" xfId="2" applyNumberFormat="1" applyFont="1" applyBorder="1" applyAlignment="1">
      <alignment horizontal="center" vertical="center" shrinkToFit="1"/>
    </xf>
    <xf numFmtId="165" fontId="26" fillId="0" borderId="0" xfId="0" applyNumberFormat="1" applyFont="1" applyAlignment="1">
      <alignment horizontal="right" vertical="center" indent="1" shrinkToFit="1"/>
    </xf>
    <xf numFmtId="0" fontId="37" fillId="0" borderId="0" xfId="0" applyFont="1" applyAlignment="1">
      <alignment vertical="center" shrinkToFit="1"/>
    </xf>
    <xf numFmtId="0" fontId="18" fillId="0" borderId="2" xfId="0" applyFont="1" applyBorder="1" applyAlignment="1">
      <alignment horizontal="right" vertical="center" shrinkToFit="1"/>
    </xf>
    <xf numFmtId="0" fontId="18" fillId="0" borderId="2" xfId="0" applyFont="1" applyBorder="1" applyAlignment="1">
      <alignment vertical="center" shrinkToFit="1"/>
    </xf>
    <xf numFmtId="0" fontId="19" fillId="0" borderId="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right" vertical="center" indent="1" shrinkToFit="1"/>
    </xf>
    <xf numFmtId="0" fontId="35" fillId="0" borderId="1" xfId="0" applyFont="1" applyBorder="1" applyAlignment="1">
      <alignment vertical="center" shrinkToFit="1"/>
    </xf>
    <xf numFmtId="172" fontId="37" fillId="0" borderId="0" xfId="0" applyNumberFormat="1" applyFont="1" applyAlignment="1">
      <alignment vertical="center" shrinkToFit="1"/>
    </xf>
    <xf numFmtId="165" fontId="37" fillId="0" borderId="0" xfId="0" applyNumberFormat="1" applyFont="1" applyAlignment="1">
      <alignment vertical="center" shrinkToFit="1"/>
    </xf>
    <xf numFmtId="180" fontId="3" fillId="2" borderId="0" xfId="2" applyNumberFormat="1" applyFont="1" applyFill="1" applyBorder="1" applyAlignment="1">
      <alignment horizontal="center" vertical="center"/>
    </xf>
    <xf numFmtId="3" fontId="32" fillId="2" borderId="4" xfId="0" applyNumberFormat="1" applyFont="1" applyFill="1" applyBorder="1" applyAlignment="1">
      <alignment vertical="center" shrinkToFit="1"/>
    </xf>
    <xf numFmtId="3" fontId="21" fillId="3" borderId="5" xfId="0" applyNumberFormat="1" applyFont="1" applyFill="1" applyBorder="1" applyAlignment="1">
      <alignment horizontal="center" vertical="center" shrinkToFit="1"/>
    </xf>
    <xf numFmtId="0" fontId="3" fillId="2" borderId="0" xfId="0" applyFont="1" applyFill="1" applyAlignment="1">
      <alignment horizontal="left" vertical="center" shrinkToFit="1"/>
    </xf>
    <xf numFmtId="169" fontId="3" fillId="2" borderId="0" xfId="0" applyNumberFormat="1" applyFont="1" applyFill="1" applyAlignment="1">
      <alignment horizontal="right" vertical="center" indent="1" shrinkToFit="1"/>
    </xf>
    <xf numFmtId="180" fontId="3" fillId="0" borderId="0" xfId="2" applyNumberFormat="1" applyFont="1" applyBorder="1" applyAlignment="1">
      <alignment horizontal="center" vertical="center"/>
    </xf>
    <xf numFmtId="3" fontId="3" fillId="0" borderId="0" xfId="2" applyNumberFormat="1" applyFont="1" applyBorder="1" applyAlignment="1">
      <alignment vertical="center" shrinkToFit="1"/>
    </xf>
    <xf numFmtId="3" fontId="21" fillId="3" borderId="0" xfId="0" applyNumberFormat="1" applyFont="1" applyFill="1" applyAlignment="1">
      <alignment horizontal="center" vertical="center" shrinkToFit="1"/>
    </xf>
    <xf numFmtId="0" fontId="3" fillId="0" borderId="0" xfId="0" applyFont="1" applyAlignment="1">
      <alignment horizontal="left" vertical="center" shrinkToFit="1"/>
    </xf>
    <xf numFmtId="169" fontId="3" fillId="0" borderId="0" xfId="0" applyNumberFormat="1" applyFont="1" applyAlignment="1">
      <alignment horizontal="right" vertical="center" indent="1" shrinkToFit="1"/>
    </xf>
    <xf numFmtId="182" fontId="26" fillId="0" borderId="4" xfId="1" applyNumberFormat="1" applyFont="1" applyBorder="1" applyAlignment="1">
      <alignment horizontal="center" vertical="center" shrinkToFit="1"/>
    </xf>
    <xf numFmtId="165" fontId="26" fillId="0" borderId="4" xfId="0" applyNumberFormat="1" applyFont="1" applyBorder="1" applyAlignment="1">
      <alignment horizontal="center" vertical="center" shrinkToFit="1"/>
    </xf>
    <xf numFmtId="0" fontId="41" fillId="0" borderId="0" xfId="0" applyFont="1" applyAlignment="1">
      <alignment horizontal="center" vertical="center" shrinkToFit="1"/>
    </xf>
    <xf numFmtId="0" fontId="41" fillId="0" borderId="0" xfId="0" applyFont="1" applyAlignment="1">
      <alignment vertical="center" shrinkToFit="1"/>
    </xf>
    <xf numFmtId="165" fontId="41" fillId="0" borderId="0" xfId="0" applyNumberFormat="1" applyFont="1" applyAlignment="1">
      <alignment horizontal="center" vertical="center" shrinkToFit="1"/>
    </xf>
    <xf numFmtId="165" fontId="41" fillId="0" borderId="0" xfId="0" applyNumberFormat="1" applyFont="1" applyAlignment="1">
      <alignment horizontal="right" vertical="center" indent="1" shrinkToFit="1"/>
    </xf>
    <xf numFmtId="172" fontId="41" fillId="0" borderId="0" xfId="0" applyNumberFormat="1" applyFont="1" applyAlignment="1">
      <alignment horizontal="left" vertical="center"/>
    </xf>
    <xf numFmtId="0" fontId="8" fillId="0" borderId="0" xfId="0" applyFont="1" applyAlignment="1">
      <alignment vertical="top" shrinkToFit="1"/>
    </xf>
    <xf numFmtId="0" fontId="12" fillId="0" borderId="0" xfId="0" applyFont="1" applyAlignment="1">
      <alignment vertical="top" shrinkToFit="1"/>
    </xf>
    <xf numFmtId="0" fontId="13" fillId="0" borderId="0" xfId="0" applyFont="1" applyAlignment="1">
      <alignment horizontal="left" vertical="top" shrinkToFit="1"/>
    </xf>
    <xf numFmtId="0" fontId="12" fillId="0" borderId="0" xfId="0" applyFont="1" applyAlignment="1">
      <alignment horizontal="left" vertical="top" shrinkToFit="1"/>
    </xf>
    <xf numFmtId="0" fontId="12" fillId="0" borderId="0" xfId="0" applyFont="1" applyAlignment="1">
      <alignment horizontal="center" vertical="top" shrinkToFit="1"/>
    </xf>
    <xf numFmtId="0" fontId="12" fillId="0" borderId="0" xfId="0" applyFont="1" applyAlignment="1">
      <alignment horizontal="right" vertical="top" indent="1" shrinkToFit="1"/>
    </xf>
    <xf numFmtId="0" fontId="12" fillId="0" borderId="1" xfId="0" applyFont="1" applyBorder="1" applyAlignment="1">
      <alignment vertical="top" shrinkToFit="1"/>
    </xf>
    <xf numFmtId="0" fontId="14" fillId="3" borderId="0" xfId="0" applyFont="1" applyFill="1" applyAlignment="1">
      <alignment horizontal="left" vertical="center"/>
    </xf>
    <xf numFmtId="0" fontId="12" fillId="0" borderId="0" xfId="0" applyFont="1" applyAlignment="1">
      <alignment horizontal="center" shrinkToFit="1"/>
    </xf>
    <xf numFmtId="169" fontId="18" fillId="0" borderId="2" xfId="0" applyNumberFormat="1" applyFont="1" applyBorder="1" applyAlignment="1">
      <alignment horizontal="right" vertical="center" indent="1" shrinkToFit="1"/>
    </xf>
    <xf numFmtId="169" fontId="3" fillId="2" borderId="2" xfId="2" applyNumberFormat="1" applyFont="1" applyFill="1" applyBorder="1" applyAlignment="1">
      <alignment horizontal="right" vertical="center"/>
    </xf>
    <xf numFmtId="169" fontId="3" fillId="2" borderId="7" xfId="2" applyNumberFormat="1" applyFont="1" applyFill="1" applyBorder="1" applyAlignment="1">
      <alignment vertical="center" shrinkToFit="1"/>
    </xf>
    <xf numFmtId="168" fontId="3" fillId="2" borderId="7" xfId="2" applyFont="1" applyFill="1" applyBorder="1" applyAlignment="1">
      <alignment vertical="center" shrinkToFit="1"/>
    </xf>
    <xf numFmtId="3" fontId="21" fillId="3" borderId="8" xfId="0" applyNumberFormat="1" applyFont="1" applyFill="1" applyBorder="1" applyAlignment="1">
      <alignment horizontal="center" vertical="center" shrinkToFit="1"/>
    </xf>
    <xf numFmtId="0" fontId="3" fillId="2" borderId="2" xfId="0" applyFont="1" applyFill="1" applyBorder="1" applyAlignment="1">
      <alignment horizontal="left" vertical="center" indent="2" shrinkToFit="1"/>
    </xf>
    <xf numFmtId="0" fontId="43" fillId="2" borderId="2" xfId="0" applyFont="1" applyFill="1" applyBorder="1" applyAlignment="1">
      <alignment horizontal="center" vertical="center" shrinkToFit="1"/>
    </xf>
    <xf numFmtId="169" fontId="3" fillId="2" borderId="2" xfId="0" applyNumberFormat="1" applyFont="1" applyFill="1" applyBorder="1" applyAlignment="1">
      <alignment horizontal="right" vertical="center" indent="1"/>
    </xf>
    <xf numFmtId="0" fontId="18" fillId="0" borderId="0" xfId="0" applyFont="1" applyAlignment="1">
      <alignment horizontal="right" vertical="center" shrinkToFit="1"/>
    </xf>
    <xf numFmtId="170" fontId="47" fillId="4" borderId="4" xfId="2" applyNumberFormat="1" applyFont="1" applyFill="1" applyBorder="1" applyAlignment="1">
      <alignment horizontal="right" vertical="center" shrinkToFit="1"/>
    </xf>
    <xf numFmtId="169" fontId="47" fillId="4" borderId="4" xfId="2" applyNumberFormat="1" applyFont="1" applyFill="1" applyBorder="1" applyAlignment="1">
      <alignment horizontal="right" vertical="center" indent="1" shrinkToFit="1"/>
    </xf>
    <xf numFmtId="170" fontId="47" fillId="5" borderId="0" xfId="2" applyNumberFormat="1" applyFont="1" applyFill="1" applyBorder="1" applyAlignment="1">
      <alignment horizontal="right" vertical="center" shrinkToFit="1"/>
    </xf>
    <xf numFmtId="169" fontId="47" fillId="5" borderId="0" xfId="2" applyNumberFormat="1" applyFont="1" applyFill="1" applyBorder="1" applyAlignment="1">
      <alignment horizontal="right" vertical="center" indent="1" shrinkToFit="1"/>
    </xf>
    <xf numFmtId="170" fontId="47" fillId="4" borderId="0" xfId="2" applyNumberFormat="1" applyFont="1" applyFill="1" applyBorder="1" applyAlignment="1">
      <alignment horizontal="right" vertical="center" shrinkToFit="1"/>
    </xf>
    <xf numFmtId="169" fontId="47" fillId="4" borderId="0" xfId="2" applyNumberFormat="1" applyFont="1" applyFill="1" applyBorder="1" applyAlignment="1">
      <alignment horizontal="right" vertical="center" indent="1" shrinkToFit="1"/>
    </xf>
    <xf numFmtId="0" fontId="47" fillId="4" borderId="2" xfId="0" applyFont="1" applyFill="1" applyBorder="1" applyAlignment="1">
      <alignment horizontal="right" vertical="center" shrinkToFit="1"/>
    </xf>
    <xf numFmtId="169" fontId="47" fillId="4" borderId="2" xfId="0" applyNumberFormat="1" applyFont="1" applyFill="1" applyBorder="1" applyAlignment="1">
      <alignment horizontal="right" vertical="center" indent="1" shrinkToFit="1"/>
    </xf>
    <xf numFmtId="0" fontId="26" fillId="0" borderId="0" xfId="0" applyFont="1" applyAlignment="1">
      <alignment horizontal="left" vertical="center"/>
    </xf>
    <xf numFmtId="169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center" vertical="center" shrinkToFit="1"/>
    </xf>
    <xf numFmtId="169" fontId="29" fillId="0" borderId="0" xfId="0" applyNumberFormat="1" applyFont="1" applyAlignment="1">
      <alignment horizontal="center" vertical="center"/>
    </xf>
    <xf numFmtId="169" fontId="2" fillId="0" borderId="0" xfId="0" applyNumberFormat="1" applyFont="1" applyAlignment="1">
      <alignment vertical="center" shrinkToFit="1"/>
    </xf>
    <xf numFmtId="169" fontId="26" fillId="0" borderId="0" xfId="0" applyNumberFormat="1" applyFont="1" applyAlignment="1">
      <alignment horizontal="right" vertical="center" indent="1" shrinkToFit="1"/>
    </xf>
    <xf numFmtId="0" fontId="37" fillId="0" borderId="1" xfId="0" applyFont="1" applyBorder="1" applyAlignment="1">
      <alignment vertical="center" shrinkToFit="1"/>
    </xf>
    <xf numFmtId="168" fontId="41" fillId="0" borderId="0" xfId="2" applyFont="1" applyBorder="1" applyAlignment="1">
      <alignment horizontal="left" vertical="center" shrinkToFit="1"/>
    </xf>
    <xf numFmtId="170" fontId="41" fillId="0" borderId="0" xfId="2" applyNumberFormat="1" applyFont="1" applyBorder="1" applyAlignment="1">
      <alignment horizontal="left" vertical="center" shrinkToFit="1"/>
    </xf>
    <xf numFmtId="165" fontId="41" fillId="0" borderId="0" xfId="0" applyNumberFormat="1" applyFont="1" applyAlignment="1">
      <alignment horizontal="right" vertical="center" shrinkToFit="1"/>
    </xf>
    <xf numFmtId="0" fontId="18" fillId="0" borderId="2" xfId="0" applyFont="1" applyBorder="1" applyAlignment="1">
      <alignment horizontal="center" vertical="center" shrinkToFit="1"/>
    </xf>
    <xf numFmtId="0" fontId="14" fillId="2" borderId="0" xfId="0" applyFont="1" applyFill="1" applyAlignment="1">
      <alignment horizontal="left" vertical="center" indent="1" shrinkToFit="1"/>
    </xf>
    <xf numFmtId="176" fontId="51" fillId="2" borderId="0" xfId="0" applyNumberFormat="1" applyFont="1" applyFill="1" applyAlignment="1">
      <alignment horizontal="left" vertical="center" indent="1"/>
    </xf>
    <xf numFmtId="3" fontId="21" fillId="3" borderId="3" xfId="0" applyNumberFormat="1" applyFont="1" applyFill="1" applyBorder="1" applyAlignment="1">
      <alignment horizontal="center" vertical="center" shrinkToFit="1"/>
    </xf>
    <xf numFmtId="176" fontId="51" fillId="2" borderId="0" xfId="0" applyNumberFormat="1" applyFont="1" applyFill="1" applyAlignment="1">
      <alignment horizontal="center" vertical="center" shrinkToFit="1"/>
    </xf>
    <xf numFmtId="0" fontId="14" fillId="0" borderId="0" xfId="0" applyFont="1" applyAlignment="1">
      <alignment horizontal="left" vertical="center" indent="1" shrinkToFit="1"/>
    </xf>
    <xf numFmtId="169" fontId="3" fillId="0" borderId="0" xfId="0" applyNumberFormat="1" applyFont="1" applyAlignment="1">
      <alignment horizontal="left" vertical="center" indent="1"/>
    </xf>
    <xf numFmtId="176" fontId="51" fillId="0" borderId="0" xfId="0" applyNumberFormat="1" applyFont="1" applyAlignment="1">
      <alignment horizontal="right" vertical="center"/>
    </xf>
    <xf numFmtId="3" fontId="21" fillId="3" borderId="10" xfId="0" applyNumberFormat="1" applyFont="1" applyFill="1" applyBorder="1" applyAlignment="1">
      <alignment horizontal="center" vertical="center" shrinkToFit="1"/>
    </xf>
    <xf numFmtId="0" fontId="52" fillId="0" borderId="0" xfId="0" applyFont="1" applyAlignment="1">
      <alignment vertical="center" shrinkToFit="1"/>
    </xf>
    <xf numFmtId="0" fontId="14" fillId="2" borderId="2" xfId="0" applyFont="1" applyFill="1" applyBorder="1" applyAlignment="1">
      <alignment horizontal="left" vertical="center" indent="1" shrinkToFit="1"/>
    </xf>
    <xf numFmtId="169" fontId="3" fillId="2" borderId="2" xfId="0" applyNumberFormat="1" applyFont="1" applyFill="1" applyBorder="1" applyAlignment="1">
      <alignment horizontal="left" vertical="center" indent="1"/>
    </xf>
    <xf numFmtId="176" fontId="51" fillId="2" borderId="2" xfId="0" applyNumberFormat="1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left" vertical="center" shrinkToFit="1"/>
    </xf>
    <xf numFmtId="169" fontId="3" fillId="2" borderId="2" xfId="0" applyNumberFormat="1" applyFont="1" applyFill="1" applyBorder="1" applyAlignment="1">
      <alignment horizontal="right" vertical="center" indent="1" shrinkToFit="1"/>
    </xf>
    <xf numFmtId="0" fontId="52" fillId="0" borderId="1" xfId="0" applyFont="1" applyBorder="1" applyAlignment="1">
      <alignment vertical="center" shrinkToFit="1"/>
    </xf>
    <xf numFmtId="0" fontId="54" fillId="0" borderId="0" xfId="0" applyFont="1" applyAlignment="1">
      <alignment vertical="center" shrinkToFit="1"/>
    </xf>
    <xf numFmtId="0" fontId="74" fillId="0" borderId="0" xfId="0" applyFont="1" applyAlignment="1">
      <alignment vertical="center"/>
    </xf>
    <xf numFmtId="0" fontId="18" fillId="0" borderId="2" xfId="0" applyFont="1" applyBorder="1" applyAlignment="1">
      <alignment horizontal="left" vertical="center" shrinkToFit="1"/>
    </xf>
    <xf numFmtId="0" fontId="34" fillId="0" borderId="0" xfId="0" applyFont="1" applyAlignment="1">
      <alignment horizontal="center" vertical="center" shrinkToFit="1"/>
    </xf>
    <xf numFmtId="176" fontId="3" fillId="2" borderId="0" xfId="0" applyNumberFormat="1" applyFont="1" applyFill="1" applyAlignment="1">
      <alignment horizontal="right" vertical="center" shrinkToFit="1"/>
    </xf>
    <xf numFmtId="176" fontId="3" fillId="2" borderId="0" xfId="0" applyNumberFormat="1" applyFont="1" applyFill="1" applyAlignment="1">
      <alignment horizontal="left" vertical="center" shrinkToFit="1"/>
    </xf>
    <xf numFmtId="179" fontId="3" fillId="0" borderId="0" xfId="0" applyNumberFormat="1" applyFont="1" applyAlignment="1">
      <alignment horizontal="left" vertical="center" shrinkToFit="1"/>
    </xf>
    <xf numFmtId="176" fontId="3" fillId="0" borderId="0" xfId="0" applyNumberFormat="1" applyFont="1" applyAlignment="1">
      <alignment horizontal="right" vertical="center" shrinkToFit="1"/>
    </xf>
    <xf numFmtId="176" fontId="32" fillId="0" borderId="0" xfId="0" applyNumberFormat="1" applyFont="1" applyAlignment="1">
      <alignment horizontal="left" vertical="center" shrinkToFit="1"/>
    </xf>
    <xf numFmtId="179" fontId="3" fillId="2" borderId="0" xfId="0" applyNumberFormat="1" applyFont="1" applyFill="1" applyAlignment="1">
      <alignment horizontal="left" vertical="center" shrinkToFit="1"/>
    </xf>
    <xf numFmtId="176" fontId="32" fillId="0" borderId="0" xfId="0" applyNumberFormat="1" applyFont="1" applyAlignment="1">
      <alignment horizontal="right" vertical="center" shrinkToFit="1"/>
    </xf>
    <xf numFmtId="176" fontId="3" fillId="0" borderId="0" xfId="0" applyNumberFormat="1" applyFont="1" applyAlignment="1">
      <alignment horizontal="left" vertical="center" shrinkToFit="1"/>
    </xf>
    <xf numFmtId="0" fontId="2" fillId="0" borderId="4" xfId="0" applyFont="1" applyBorder="1" applyAlignment="1">
      <alignment vertical="center" shrinkToFit="1"/>
    </xf>
    <xf numFmtId="0" fontId="2" fillId="0" borderId="4" xfId="0" applyFont="1" applyBorder="1" applyAlignment="1">
      <alignment horizontal="left" vertical="center" shrinkToFit="1"/>
    </xf>
    <xf numFmtId="0" fontId="34" fillId="0" borderId="0" xfId="0" applyFont="1" applyAlignment="1">
      <alignment horizontal="left" vertical="center" shrinkToFit="1"/>
    </xf>
    <xf numFmtId="176" fontId="32" fillId="2" borderId="0" xfId="0" applyNumberFormat="1" applyFont="1" applyFill="1" applyAlignment="1">
      <alignment horizontal="left" vertical="center" shrinkToFit="1"/>
    </xf>
    <xf numFmtId="179" fontId="3" fillId="0" borderId="4" xfId="0" applyNumberFormat="1" applyFont="1" applyBorder="1" applyAlignment="1">
      <alignment horizontal="left" vertical="center" shrinkToFit="1"/>
    </xf>
    <xf numFmtId="176" fontId="3" fillId="0" borderId="4" xfId="0" applyNumberFormat="1" applyFont="1" applyBorder="1" applyAlignment="1">
      <alignment horizontal="right" vertical="center" shrinkToFit="1"/>
    </xf>
    <xf numFmtId="176" fontId="3" fillId="0" borderId="4" xfId="0" applyNumberFormat="1" applyFont="1" applyBorder="1" applyAlignment="1">
      <alignment horizontal="left" vertical="center" shrinkToFit="1"/>
    </xf>
    <xf numFmtId="0" fontId="2" fillId="0" borderId="0" xfId="0" applyFont="1" applyAlignment="1">
      <alignment horizontal="left" vertical="center" shrinkToFit="1"/>
    </xf>
    <xf numFmtId="172" fontId="3" fillId="0" borderId="0" xfId="0" applyNumberFormat="1" applyFont="1" applyAlignment="1">
      <alignment horizontal="right" vertical="center" shrinkToFit="1"/>
    </xf>
    <xf numFmtId="0" fontId="41" fillId="0" borderId="0" xfId="0" applyFont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2" fontId="3" fillId="0" borderId="4" xfId="0" applyNumberFormat="1" applyFont="1" applyBorder="1" applyAlignment="1">
      <alignment horizontal="right" vertical="center" shrinkToFit="1"/>
    </xf>
    <xf numFmtId="172" fontId="3" fillId="0" borderId="4" xfId="0" applyNumberFormat="1" applyFont="1" applyBorder="1" applyAlignment="1">
      <alignment horizontal="right" vertical="center" indent="1" shrinkToFit="1"/>
    </xf>
    <xf numFmtId="0" fontId="2" fillId="0" borderId="2" xfId="0" applyFont="1" applyBorder="1" applyAlignment="1">
      <alignment vertical="center" shrinkToFit="1"/>
    </xf>
    <xf numFmtId="0" fontId="54" fillId="0" borderId="2" xfId="0" applyFont="1" applyBorder="1" applyAlignment="1">
      <alignment vertical="center"/>
    </xf>
    <xf numFmtId="168" fontId="41" fillId="0" borderId="2" xfId="2" applyFont="1" applyBorder="1" applyAlignment="1">
      <alignment horizontal="left" vertical="center" shrinkToFit="1"/>
    </xf>
    <xf numFmtId="170" fontId="41" fillId="0" borderId="2" xfId="2" applyNumberFormat="1" applyFont="1" applyBorder="1" applyAlignment="1">
      <alignment horizontal="left" vertical="center" shrinkToFit="1"/>
    </xf>
    <xf numFmtId="0" fontId="41" fillId="0" borderId="2" xfId="0" applyFont="1" applyBorder="1" applyAlignment="1">
      <alignment horizontal="center" vertical="center" shrinkToFit="1"/>
    </xf>
    <xf numFmtId="165" fontId="41" fillId="0" borderId="2" xfId="0" applyNumberFormat="1" applyFont="1" applyBorder="1" applyAlignment="1">
      <alignment horizontal="right" vertical="center" shrinkToFit="1"/>
    </xf>
    <xf numFmtId="165" fontId="41" fillId="0" borderId="2" xfId="0" applyNumberFormat="1" applyFont="1" applyBorder="1" applyAlignment="1">
      <alignment horizontal="right" vertical="center" indent="1" shrinkToFit="1"/>
    </xf>
    <xf numFmtId="0" fontId="3" fillId="0" borderId="15" xfId="0" applyFont="1" applyBorder="1" applyAlignment="1">
      <alignment shrinkToFit="1"/>
    </xf>
    <xf numFmtId="168" fontId="41" fillId="2" borderId="0" xfId="2" applyFont="1" applyFill="1" applyBorder="1" applyAlignment="1">
      <alignment horizontal="left" vertical="center" shrinkToFit="1"/>
    </xf>
    <xf numFmtId="170" fontId="41" fillId="2" borderId="0" xfId="2" applyNumberFormat="1" applyFont="1" applyFill="1" applyBorder="1" applyAlignment="1">
      <alignment horizontal="left" vertical="center" shrinkToFit="1"/>
    </xf>
    <xf numFmtId="0" fontId="41" fillId="2" borderId="0" xfId="0" applyFont="1" applyFill="1" applyAlignment="1">
      <alignment horizontal="center" vertical="center" shrinkToFit="1"/>
    </xf>
    <xf numFmtId="165" fontId="41" fillId="2" borderId="0" xfId="0" applyNumberFormat="1" applyFont="1" applyFill="1" applyAlignment="1">
      <alignment horizontal="right" vertical="center" shrinkToFit="1"/>
    </xf>
    <xf numFmtId="165" fontId="41" fillId="2" borderId="0" xfId="0" applyNumberFormat="1" applyFont="1" applyFill="1" applyAlignment="1">
      <alignment horizontal="right" vertical="center" indent="1" shrinkToFit="1"/>
    </xf>
    <xf numFmtId="0" fontId="12" fillId="2" borderId="0" xfId="0" applyFont="1" applyFill="1" applyAlignment="1">
      <alignment shrinkToFit="1"/>
    </xf>
    <xf numFmtId="0" fontId="8" fillId="2" borderId="0" xfId="0" applyFont="1" applyFill="1" applyAlignment="1">
      <alignment horizontal="left" vertical="center" shrinkToFit="1"/>
    </xf>
    <xf numFmtId="0" fontId="75" fillId="2" borderId="0" xfId="4" applyFont="1" applyFill="1" applyBorder="1" applyAlignment="1">
      <alignment horizontal="left" vertical="top" indent="1"/>
    </xf>
    <xf numFmtId="0" fontId="8" fillId="2" borderId="0" xfId="0" applyFont="1" applyFill="1" applyAlignment="1">
      <alignment vertical="top" shrinkToFit="1"/>
    </xf>
    <xf numFmtId="0" fontId="13" fillId="2" borderId="0" xfId="0" applyFont="1" applyFill="1" applyAlignment="1">
      <alignment horizontal="left" shrinkToFit="1"/>
    </xf>
    <xf numFmtId="0" fontId="12" fillId="2" borderId="0" xfId="0" applyFont="1" applyFill="1" applyAlignment="1">
      <alignment horizontal="center" shrinkToFit="1"/>
    </xf>
    <xf numFmtId="0" fontId="12" fillId="2" borderId="0" xfId="0" applyFont="1" applyFill="1" applyAlignment="1">
      <alignment horizontal="right" shrinkToFit="1"/>
    </xf>
    <xf numFmtId="0" fontId="12" fillId="2" borderId="0" xfId="0" applyFont="1" applyFill="1" applyAlignment="1">
      <alignment horizontal="right" indent="1" shrinkToFit="1"/>
    </xf>
    <xf numFmtId="0" fontId="37" fillId="2" borderId="0" xfId="0" applyFont="1" applyFill="1" applyAlignment="1">
      <alignment shrinkToFit="1"/>
    </xf>
    <xf numFmtId="0" fontId="8" fillId="2" borderId="0" xfId="0" applyFont="1" applyFill="1" applyAlignment="1">
      <alignment horizontal="left" vertical="top" shrinkToFit="1"/>
    </xf>
    <xf numFmtId="0" fontId="59" fillId="0" borderId="0" xfId="0" applyFont="1" applyAlignment="1">
      <alignment vertical="center" shrinkToFit="1"/>
    </xf>
    <xf numFmtId="0" fontId="18" fillId="2" borderId="2" xfId="0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right" vertical="center" shrinkToFit="1"/>
    </xf>
    <xf numFmtId="0" fontId="18" fillId="2" borderId="2" xfId="0" applyFont="1" applyFill="1" applyBorder="1" applyAlignment="1">
      <alignment vertical="center" shrinkToFit="1"/>
    </xf>
    <xf numFmtId="0" fontId="18" fillId="2" borderId="0" xfId="0" applyFont="1" applyFill="1" applyAlignment="1">
      <alignment horizontal="right" vertical="center" indent="1" shrinkToFit="1"/>
    </xf>
    <xf numFmtId="0" fontId="60" fillId="2" borderId="0" xfId="0" applyFont="1" applyFill="1" applyAlignment="1">
      <alignment vertical="center" shrinkToFit="1"/>
    </xf>
    <xf numFmtId="0" fontId="14" fillId="2" borderId="16" xfId="0" applyFont="1" applyFill="1" applyBorder="1" applyAlignment="1">
      <alignment vertical="center" shrinkToFit="1"/>
    </xf>
    <xf numFmtId="0" fontId="3" fillId="2" borderId="16" xfId="0" applyFont="1" applyFill="1" applyBorder="1" applyAlignment="1">
      <alignment horizontal="center" vertical="center" shrinkToFit="1"/>
    </xf>
    <xf numFmtId="172" fontId="3" fillId="2" borderId="16" xfId="0" applyNumberFormat="1" applyFont="1" applyFill="1" applyBorder="1" applyAlignment="1">
      <alignment horizontal="right" vertical="center" shrinkToFit="1"/>
    </xf>
    <xf numFmtId="0" fontId="3" fillId="2" borderId="16" xfId="0" applyFont="1" applyFill="1" applyBorder="1" applyAlignment="1">
      <alignment horizontal="left" vertical="center" shrinkToFit="1"/>
    </xf>
    <xf numFmtId="169" fontId="3" fillId="2" borderId="16" xfId="0" applyNumberFormat="1" applyFont="1" applyFill="1" applyBorder="1" applyAlignment="1">
      <alignment horizontal="right" vertical="center" shrinkToFit="1"/>
    </xf>
    <xf numFmtId="165" fontId="3" fillId="2" borderId="0" xfId="0" applyNumberFormat="1" applyFont="1" applyFill="1" applyAlignment="1">
      <alignment horizontal="right" vertical="center" indent="1" shrinkToFit="1"/>
    </xf>
    <xf numFmtId="0" fontId="14" fillId="2" borderId="17" xfId="0" applyFont="1" applyFill="1" applyBorder="1" applyAlignment="1">
      <alignment vertical="center" shrinkToFit="1"/>
    </xf>
    <xf numFmtId="176" fontId="51" fillId="2" borderId="17" xfId="0" applyNumberFormat="1" applyFont="1" applyFill="1" applyBorder="1" applyAlignment="1">
      <alignment horizontal="right" vertical="center" shrinkToFit="1"/>
    </xf>
    <xf numFmtId="172" fontId="3" fillId="2" borderId="17" xfId="0" applyNumberFormat="1" applyFont="1" applyFill="1" applyBorder="1" applyAlignment="1">
      <alignment horizontal="right" vertical="center" shrinkToFit="1"/>
    </xf>
    <xf numFmtId="0" fontId="3" fillId="2" borderId="17" xfId="0" applyFont="1" applyFill="1" applyBorder="1" applyAlignment="1">
      <alignment horizontal="left" vertical="center" shrinkToFit="1"/>
    </xf>
    <xf numFmtId="169" fontId="3" fillId="2" borderId="17" xfId="0" applyNumberFormat="1" applyFont="1" applyFill="1" applyBorder="1" applyAlignment="1">
      <alignment horizontal="right" vertical="center" shrinkToFit="1"/>
    </xf>
    <xf numFmtId="0" fontId="28" fillId="2" borderId="0" xfId="0" applyFont="1" applyFill="1" applyAlignment="1">
      <alignment vertical="center" shrinkToFit="1"/>
    </xf>
    <xf numFmtId="0" fontId="14" fillId="2" borderId="2" xfId="0" applyFont="1" applyFill="1" applyBorder="1" applyAlignment="1">
      <alignment vertical="center" shrinkToFit="1"/>
    </xf>
    <xf numFmtId="176" fontId="51" fillId="2" borderId="2" xfId="0" applyNumberFormat="1" applyFont="1" applyFill="1" applyBorder="1" applyAlignment="1">
      <alignment horizontal="right" vertical="center" shrinkToFit="1"/>
    </xf>
    <xf numFmtId="172" fontId="3" fillId="2" borderId="2" xfId="0" applyNumberFormat="1" applyFont="1" applyFill="1" applyBorder="1" applyAlignment="1">
      <alignment horizontal="right" vertical="center" shrinkToFit="1"/>
    </xf>
    <xf numFmtId="169" fontId="3" fillId="2" borderId="2" xfId="0" applyNumberFormat="1" applyFont="1" applyFill="1" applyBorder="1" applyAlignment="1">
      <alignment horizontal="right" vertical="center" shrinkToFit="1"/>
    </xf>
    <xf numFmtId="0" fontId="28" fillId="0" borderId="1" xfId="0" applyFont="1" applyBorder="1" applyAlignment="1">
      <alignment vertical="center" shrinkToFit="1"/>
    </xf>
    <xf numFmtId="0" fontId="28" fillId="0" borderId="0" xfId="0" applyFont="1" applyAlignment="1">
      <alignment vertical="center" shrinkToFit="1"/>
    </xf>
    <xf numFmtId="168" fontId="27" fillId="2" borderId="0" xfId="2" applyFont="1" applyFill="1" applyBorder="1" applyAlignment="1">
      <alignment horizontal="left" vertical="center" shrinkToFit="1"/>
    </xf>
    <xf numFmtId="170" fontId="27" fillId="2" borderId="0" xfId="2" applyNumberFormat="1" applyFont="1" applyFill="1" applyBorder="1" applyAlignment="1">
      <alignment horizontal="left" vertical="center" shrinkToFit="1"/>
    </xf>
    <xf numFmtId="169" fontId="26" fillId="2" borderId="4" xfId="0" applyNumberFormat="1" applyFont="1" applyFill="1" applyBorder="1" applyAlignment="1">
      <alignment horizontal="right" vertical="center" indent="1" shrinkToFit="1"/>
    </xf>
    <xf numFmtId="165" fontId="26" fillId="2" borderId="0" xfId="0" applyNumberFormat="1" applyFont="1" applyFill="1" applyAlignment="1">
      <alignment horizontal="right" vertical="center" indent="1" shrinkToFit="1"/>
    </xf>
    <xf numFmtId="0" fontId="26" fillId="2" borderId="0" xfId="0" applyFont="1" applyFill="1" applyAlignment="1">
      <alignment horizontal="left" vertical="center"/>
    </xf>
    <xf numFmtId="165" fontId="26" fillId="2" borderId="0" xfId="0" applyNumberFormat="1" applyFont="1" applyFill="1" applyAlignment="1">
      <alignment horizontal="right" vertical="center" shrinkToFit="1"/>
    </xf>
    <xf numFmtId="172" fontId="3" fillId="2" borderId="0" xfId="0" applyNumberFormat="1" applyFont="1" applyFill="1" applyAlignment="1">
      <alignment horizontal="right" vertical="center" shrinkToFit="1"/>
    </xf>
    <xf numFmtId="172" fontId="3" fillId="2" borderId="0" xfId="0" applyNumberFormat="1" applyFont="1" applyFill="1" applyAlignment="1">
      <alignment horizontal="left" vertical="center" shrinkToFit="1"/>
    </xf>
    <xf numFmtId="165" fontId="3" fillId="2" borderId="0" xfId="0" applyNumberFormat="1" applyFont="1" applyFill="1" applyAlignment="1">
      <alignment horizontal="right" vertical="center" shrinkToFit="1"/>
    </xf>
    <xf numFmtId="0" fontId="2" fillId="2" borderId="2" xfId="0" applyFont="1" applyFill="1" applyBorder="1" applyAlignment="1">
      <alignment vertical="center" shrinkToFit="1"/>
    </xf>
    <xf numFmtId="176" fontId="3" fillId="2" borderId="2" xfId="0" applyNumberFormat="1" applyFont="1" applyFill="1" applyBorder="1" applyAlignment="1">
      <alignment horizontal="right" vertical="center" shrinkToFit="1"/>
    </xf>
    <xf numFmtId="172" fontId="3" fillId="2" borderId="2" xfId="0" applyNumberFormat="1" applyFont="1" applyFill="1" applyBorder="1" applyAlignment="1">
      <alignment horizontal="left" vertical="center" shrinkToFit="1"/>
    </xf>
    <xf numFmtId="165" fontId="3" fillId="2" borderId="2" xfId="0" applyNumberFormat="1" applyFont="1" applyFill="1" applyBorder="1" applyAlignment="1">
      <alignment horizontal="right" vertical="center" shrinkToFit="1"/>
    </xf>
    <xf numFmtId="165" fontId="3" fillId="2" borderId="2" xfId="0" applyNumberFormat="1" applyFont="1" applyFill="1" applyBorder="1" applyAlignment="1">
      <alignment horizontal="right" vertical="center" indent="1" shrinkToFit="1"/>
    </xf>
    <xf numFmtId="0" fontId="2" fillId="2" borderId="15" xfId="0" applyFont="1" applyFill="1" applyBorder="1" applyAlignment="1">
      <alignment vertical="center" shrinkToFit="1"/>
    </xf>
    <xf numFmtId="0" fontId="64" fillId="0" borderId="0" xfId="0" applyFont="1" applyAlignment="1">
      <alignment vertical="center" shrinkToFit="1"/>
    </xf>
    <xf numFmtId="176" fontId="64" fillId="0" borderId="0" xfId="0" applyNumberFormat="1" applyFont="1" applyAlignment="1">
      <alignment horizontal="right" vertical="center" shrinkToFit="1"/>
    </xf>
    <xf numFmtId="172" fontId="64" fillId="0" borderId="0" xfId="0" applyNumberFormat="1" applyFont="1" applyAlignment="1">
      <alignment horizontal="right" vertical="center" shrinkToFit="1"/>
    </xf>
    <xf numFmtId="0" fontId="64" fillId="0" borderId="0" xfId="0" applyFont="1" applyAlignment="1">
      <alignment horizontal="left" vertical="center" shrinkToFit="1"/>
    </xf>
    <xf numFmtId="172" fontId="64" fillId="0" borderId="0" xfId="0" applyNumberFormat="1" applyFont="1" applyAlignment="1">
      <alignment horizontal="left" vertical="center" shrinkToFit="1"/>
    </xf>
    <xf numFmtId="165" fontId="64" fillId="0" borderId="0" xfId="0" applyNumberFormat="1" applyFont="1" applyAlignment="1">
      <alignment horizontal="right" vertical="center" shrinkToFit="1"/>
    </xf>
    <xf numFmtId="165" fontId="64" fillId="0" borderId="0" xfId="0" applyNumberFormat="1" applyFont="1" applyAlignment="1">
      <alignment horizontal="right" vertical="center" indent="1" shrinkToFit="1"/>
    </xf>
    <xf numFmtId="168" fontId="64" fillId="0" borderId="0" xfId="2" applyFont="1" applyBorder="1" applyAlignment="1">
      <alignment horizontal="left" vertical="center" shrinkToFit="1"/>
    </xf>
    <xf numFmtId="170" fontId="64" fillId="0" borderId="0" xfId="2" applyNumberFormat="1" applyFont="1" applyBorder="1" applyAlignment="1">
      <alignment horizontal="left" vertical="center" shrinkToFit="1"/>
    </xf>
    <xf numFmtId="0" fontId="64" fillId="0" borderId="0" xfId="0" applyFont="1" applyAlignment="1">
      <alignment horizontal="center" vertical="center" shrinkToFit="1"/>
    </xf>
    <xf numFmtId="0" fontId="64" fillId="0" borderId="0" xfId="0" applyFont="1" applyAlignment="1">
      <alignment shrinkToFit="1"/>
    </xf>
    <xf numFmtId="0" fontId="64" fillId="0" borderId="0" xfId="0" applyFont="1" applyAlignment="1">
      <alignment horizontal="right" vertical="center" indent="1" shrinkToFit="1"/>
    </xf>
    <xf numFmtId="0" fontId="2" fillId="2" borderId="0" xfId="0" applyFont="1" applyFill="1" applyAlignment="1">
      <alignment horizontal="center" vertical="center" shrinkToFit="1"/>
    </xf>
    <xf numFmtId="0" fontId="76" fillId="2" borderId="0" xfId="0" applyFont="1" applyFill="1" applyAlignment="1">
      <alignment vertical="center" shrinkToFit="1"/>
    </xf>
    <xf numFmtId="0" fontId="77" fillId="2" borderId="0" xfId="4" applyFont="1" applyFill="1" applyBorder="1" applyAlignment="1">
      <alignment horizontal="left" vertical="top"/>
    </xf>
    <xf numFmtId="0" fontId="8" fillId="2" borderId="2" xfId="0" applyFont="1" applyFill="1" applyBorder="1" applyAlignment="1">
      <alignment horizontal="center" vertical="center" shrinkToFit="1"/>
    </xf>
    <xf numFmtId="0" fontId="8" fillId="0" borderId="0" xfId="0" applyFont="1" applyAlignment="1">
      <alignment horizontal="left" indent="1" shrinkToFit="1"/>
    </xf>
    <xf numFmtId="183" fontId="2" fillId="0" borderId="0" xfId="3" applyNumberFormat="1" applyFont="1" applyBorder="1" applyAlignment="1">
      <alignment vertical="center" shrinkToFit="1"/>
    </xf>
    <xf numFmtId="168" fontId="8" fillId="2" borderId="0" xfId="2" applyFont="1" applyFill="1" applyBorder="1" applyAlignment="1">
      <alignment horizontal="left" vertical="center" shrinkToFit="1"/>
    </xf>
    <xf numFmtId="170" fontId="8" fillId="2" borderId="0" xfId="2" applyNumberFormat="1" applyFont="1" applyFill="1" applyBorder="1" applyAlignment="1">
      <alignment horizontal="left" vertical="center" shrinkToFit="1"/>
    </xf>
    <xf numFmtId="173" fontId="22" fillId="2" borderId="0" xfId="2" applyNumberFormat="1" applyFont="1" applyFill="1" applyBorder="1" applyAlignment="1">
      <alignment horizontal="right" vertical="center" shrinkToFit="1"/>
    </xf>
    <xf numFmtId="170" fontId="3" fillId="0" borderId="0" xfId="0" applyNumberFormat="1" applyFont="1" applyAlignment="1">
      <alignment vertical="center" shrinkToFit="1"/>
    </xf>
    <xf numFmtId="171" fontId="3" fillId="0" borderId="0" xfId="3" applyNumberFormat="1" applyFont="1" applyBorder="1" applyAlignment="1">
      <alignment vertical="center" shrinkToFit="1"/>
    </xf>
    <xf numFmtId="9" fontId="3" fillId="0" borderId="0" xfId="3" applyFont="1" applyBorder="1" applyAlignment="1">
      <alignment vertical="center" shrinkToFit="1"/>
    </xf>
    <xf numFmtId="168" fontId="8" fillId="0" borderId="0" xfId="2" applyFont="1" applyBorder="1" applyAlignment="1">
      <alignment horizontal="left" vertical="center" shrinkToFit="1"/>
    </xf>
    <xf numFmtId="170" fontId="8" fillId="0" borderId="0" xfId="2" applyNumberFormat="1" applyFont="1" applyBorder="1" applyAlignment="1">
      <alignment horizontal="left" vertical="center" shrinkToFit="1"/>
    </xf>
    <xf numFmtId="173" fontId="22" fillId="0" borderId="0" xfId="2" applyNumberFormat="1" applyFont="1" applyBorder="1" applyAlignment="1">
      <alignment horizontal="right" vertical="center" shrinkToFit="1"/>
    </xf>
    <xf numFmtId="0" fontId="26" fillId="0" borderId="4" xfId="0" applyFont="1" applyBorder="1" applyAlignment="1">
      <alignment horizontal="center" vertical="center" shrinkToFit="1"/>
    </xf>
    <xf numFmtId="165" fontId="26" fillId="0" borderId="4" xfId="0" applyNumberFormat="1" applyFont="1" applyBorder="1" applyAlignment="1">
      <alignment horizontal="right" vertical="center" shrinkToFit="1"/>
    </xf>
    <xf numFmtId="168" fontId="3" fillId="2" borderId="0" xfId="2" applyFont="1" applyFill="1" applyBorder="1" applyAlignment="1">
      <alignment horizontal="left" vertical="center" shrinkToFit="1"/>
    </xf>
    <xf numFmtId="170" fontId="3" fillId="2" borderId="0" xfId="2" applyNumberFormat="1" applyFont="1" applyFill="1" applyBorder="1" applyAlignment="1">
      <alignment horizontal="left" vertical="center" shrinkToFit="1"/>
    </xf>
    <xf numFmtId="168" fontId="3" fillId="0" borderId="0" xfId="2" applyFont="1" applyBorder="1" applyAlignment="1">
      <alignment horizontal="left" vertical="center" shrinkToFit="1"/>
    </xf>
    <xf numFmtId="170" fontId="3" fillId="0" borderId="0" xfId="2" applyNumberFormat="1" applyFont="1" applyBorder="1" applyAlignment="1">
      <alignment horizontal="left" vertical="center" shrinkToFit="1"/>
    </xf>
    <xf numFmtId="168" fontId="3" fillId="2" borderId="0" xfId="2" applyFont="1" applyFill="1" applyBorder="1" applyAlignment="1">
      <alignment horizontal="center" vertical="center" shrinkToFit="1"/>
    </xf>
    <xf numFmtId="170" fontId="3" fillId="2" borderId="0" xfId="2" applyNumberFormat="1" applyFont="1" applyFill="1" applyBorder="1" applyAlignment="1">
      <alignment horizontal="right" vertical="center" shrinkToFit="1"/>
    </xf>
    <xf numFmtId="168" fontId="3" fillId="0" borderId="0" xfId="2" applyFont="1" applyBorder="1" applyAlignment="1">
      <alignment horizontal="center" vertical="center" shrinkToFit="1"/>
    </xf>
    <xf numFmtId="170" fontId="3" fillId="0" borderId="0" xfId="2" applyNumberFormat="1" applyFont="1" applyBorder="1" applyAlignment="1">
      <alignment horizontal="right" vertical="center" shrinkToFit="1"/>
    </xf>
    <xf numFmtId="165" fontId="26" fillId="0" borderId="4" xfId="0" applyNumberFormat="1" applyFont="1" applyBorder="1" applyAlignment="1">
      <alignment vertical="center" shrinkToFit="1"/>
    </xf>
    <xf numFmtId="0" fontId="18" fillId="0" borderId="2" xfId="0" applyFont="1" applyBorder="1" applyAlignment="1">
      <alignment shrinkToFit="1"/>
    </xf>
    <xf numFmtId="168" fontId="3" fillId="2" borderId="2" xfId="2" applyFont="1" applyFill="1" applyBorder="1" applyAlignment="1">
      <alignment horizontal="left" vertical="center" shrinkToFit="1"/>
    </xf>
    <xf numFmtId="170" fontId="3" fillId="2" borderId="14" xfId="2" applyNumberFormat="1" applyFont="1" applyFill="1" applyBorder="1" applyAlignment="1">
      <alignment horizontal="left" vertical="center" shrinkToFit="1"/>
    </xf>
    <xf numFmtId="0" fontId="3" fillId="0" borderId="0" xfId="0" applyFont="1" applyAlignment="1">
      <alignment horizontal="center" shrinkToFit="1"/>
    </xf>
    <xf numFmtId="0" fontId="3" fillId="2" borderId="0" xfId="0" applyFont="1" applyFill="1" applyAlignment="1">
      <alignment horizontal="left" vertical="center" indent="2" shrinkToFit="1"/>
    </xf>
    <xf numFmtId="0" fontId="3" fillId="0" borderId="0" xfId="0" applyFont="1" applyAlignment="1">
      <alignment horizontal="left" vertical="center" indent="2" shrinkToFit="1"/>
    </xf>
    <xf numFmtId="165" fontId="3" fillId="0" borderId="0" xfId="0" applyNumberFormat="1" applyFont="1" applyAlignment="1">
      <alignment horizontal="right" vertical="center" shrinkToFit="1"/>
    </xf>
    <xf numFmtId="0" fontId="12" fillId="0" borderId="0" xfId="0" applyFont="1" applyAlignment="1">
      <alignment horizontal="right" vertical="top" shrinkToFit="1"/>
    </xf>
    <xf numFmtId="0" fontId="78" fillId="7" borderId="0" xfId="0" applyFont="1" applyFill="1" applyAlignment="1">
      <alignment horizontal="left" vertical="center" indent="1"/>
    </xf>
    <xf numFmtId="170" fontId="8" fillId="2" borderId="4" xfId="2" applyNumberFormat="1" applyFont="1" applyFill="1" applyBorder="1" applyAlignment="1">
      <alignment horizontal="right" vertical="center" shrinkToFit="1"/>
    </xf>
    <xf numFmtId="170" fontId="8" fillId="2" borderId="4" xfId="2" applyNumberFormat="1" applyFont="1" applyFill="1" applyBorder="1" applyAlignment="1">
      <alignment vertical="center" shrinkToFit="1"/>
    </xf>
    <xf numFmtId="170" fontId="8" fillId="0" borderId="0" xfId="2" applyNumberFormat="1" applyFont="1" applyBorder="1" applyAlignment="1">
      <alignment horizontal="right" vertical="center" shrinkToFit="1"/>
    </xf>
    <xf numFmtId="170" fontId="8" fillId="0" borderId="0" xfId="2" applyNumberFormat="1" applyFont="1" applyBorder="1" applyAlignment="1">
      <alignment vertical="center" shrinkToFit="1"/>
    </xf>
    <xf numFmtId="170" fontId="8" fillId="2" borderId="0" xfId="2" applyNumberFormat="1" applyFont="1" applyFill="1" applyBorder="1" applyAlignment="1">
      <alignment horizontal="right" vertical="center" shrinkToFit="1"/>
    </xf>
    <xf numFmtId="170" fontId="8" fillId="2" borderId="0" xfId="2" applyNumberFormat="1" applyFont="1" applyFill="1" applyBorder="1" applyAlignment="1">
      <alignment vertical="center" shrinkToFit="1"/>
    </xf>
    <xf numFmtId="0" fontId="20" fillId="0" borderId="4" xfId="0" applyFont="1" applyBorder="1" applyAlignment="1">
      <alignment horizontal="left" vertical="center" indent="1"/>
    </xf>
    <xf numFmtId="0" fontId="20" fillId="0" borderId="4" xfId="0" applyFont="1" applyBorder="1" applyAlignment="1">
      <alignment horizontal="left" vertical="center"/>
    </xf>
    <xf numFmtId="168" fontId="3" fillId="2" borderId="19" xfId="2" applyFont="1" applyFill="1" applyBorder="1" applyAlignment="1">
      <alignment vertical="center" shrinkToFit="1"/>
    </xf>
    <xf numFmtId="0" fontId="14" fillId="2" borderId="0" xfId="0" applyFont="1" applyFill="1" applyAlignment="1">
      <alignment vertical="center" shrinkToFit="1"/>
    </xf>
    <xf numFmtId="172" fontId="3" fillId="2" borderId="4" xfId="0" applyNumberFormat="1" applyFont="1" applyFill="1" applyBorder="1" applyAlignment="1">
      <alignment horizontal="right" vertical="center" indent="1"/>
    </xf>
    <xf numFmtId="172" fontId="3" fillId="0" borderId="2" xfId="0" applyNumberFormat="1" applyFont="1" applyBorder="1" applyAlignment="1">
      <alignment horizontal="right" vertical="center" indent="1"/>
    </xf>
    <xf numFmtId="184" fontId="3" fillId="2" borderId="0" xfId="0" applyNumberFormat="1" applyFont="1" applyFill="1" applyAlignment="1">
      <alignment horizontal="right" vertical="center" shrinkToFit="1"/>
    </xf>
    <xf numFmtId="184" fontId="3" fillId="0" borderId="0" xfId="0" applyNumberFormat="1" applyFont="1" applyAlignment="1">
      <alignment horizontal="right" vertical="center" shrinkToFit="1"/>
    </xf>
    <xf numFmtId="0" fontId="18" fillId="2" borderId="0" xfId="0" applyFont="1" applyFill="1" applyAlignment="1">
      <alignment horizontal="right" vertical="center" shrinkToFit="1"/>
    </xf>
    <xf numFmtId="165" fontId="3" fillId="2" borderId="16" xfId="0" applyNumberFormat="1" applyFont="1" applyFill="1" applyBorder="1" applyAlignment="1">
      <alignment horizontal="right" vertical="center" shrinkToFit="1"/>
    </xf>
    <xf numFmtId="165" fontId="3" fillId="2" borderId="17" xfId="0" applyNumberFormat="1" applyFont="1" applyFill="1" applyBorder="1" applyAlignment="1">
      <alignment horizontal="right" vertical="center" shrinkToFit="1"/>
    </xf>
    <xf numFmtId="165" fontId="26" fillId="2" borderId="4" xfId="0" applyNumberFormat="1" applyFont="1" applyFill="1" applyBorder="1" applyAlignment="1">
      <alignment vertical="center" shrinkToFit="1"/>
    </xf>
    <xf numFmtId="0" fontId="64" fillId="0" borderId="0" xfId="0" applyFont="1" applyAlignment="1">
      <alignment horizontal="right" vertical="center" shrinkToFit="1"/>
    </xf>
    <xf numFmtId="0" fontId="2" fillId="2" borderId="0" xfId="0" applyFont="1" applyFill="1"/>
    <xf numFmtId="0" fontId="6" fillId="2" borderId="0" xfId="4" applyFill="1" applyBorder="1" applyAlignment="1">
      <alignment vertical="center"/>
    </xf>
    <xf numFmtId="0" fontId="8" fillId="0" borderId="0" xfId="0" applyFont="1" applyAlignment="1">
      <alignment shrinkToFit="1"/>
    </xf>
    <xf numFmtId="0" fontId="3" fillId="3" borderId="0" xfId="0" applyFont="1" applyFill="1" applyAlignment="1">
      <alignment vertical="top"/>
    </xf>
    <xf numFmtId="0" fontId="18" fillId="0" borderId="2" xfId="0" applyFont="1" applyBorder="1"/>
    <xf numFmtId="0" fontId="27" fillId="0" borderId="4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80" fillId="0" borderId="2" xfId="0" applyFont="1" applyBorder="1" applyAlignment="1">
      <alignment horizontal="center" wrapText="1" shrinkToFit="1"/>
    </xf>
    <xf numFmtId="167" fontId="3" fillId="2" borderId="4" xfId="1" applyNumberFormat="1" applyFont="1" applyFill="1" applyBorder="1" applyAlignment="1">
      <alignment horizontal="right" vertical="center"/>
    </xf>
    <xf numFmtId="167" fontId="3" fillId="2" borderId="2" xfId="1" applyNumberFormat="1" applyFont="1" applyFill="1" applyBorder="1" applyAlignment="1">
      <alignment horizontal="right" vertical="center"/>
    </xf>
    <xf numFmtId="172" fontId="41" fillId="0" borderId="0" xfId="0" applyNumberFormat="1" applyFont="1" applyAlignment="1">
      <alignment vertical="center"/>
    </xf>
    <xf numFmtId="0" fontId="3" fillId="2" borderId="0" xfId="0" applyFont="1" applyFill="1" applyAlignment="1">
      <alignment vertical="center" shrinkToFit="1"/>
    </xf>
    <xf numFmtId="175" fontId="3" fillId="0" borderId="0" xfId="2" applyNumberFormat="1" applyFont="1" applyBorder="1" applyAlignment="1">
      <alignment horizontal="right" vertical="center"/>
    </xf>
    <xf numFmtId="0" fontId="14" fillId="0" borderId="4" xfId="0" applyFont="1" applyBorder="1" applyAlignment="1">
      <alignment vertical="center" shrinkToFit="1"/>
    </xf>
    <xf numFmtId="0" fontId="20" fillId="0" borderId="4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41" fillId="0" borderId="2" xfId="0" applyFont="1" applyBorder="1" applyAlignment="1">
      <alignment vertical="center"/>
    </xf>
    <xf numFmtId="0" fontId="41" fillId="2" borderId="0" xfId="0" applyFont="1" applyFill="1" applyAlignment="1">
      <alignment vertical="center"/>
    </xf>
    <xf numFmtId="0" fontId="12" fillId="2" borderId="0" xfId="0" applyFont="1" applyFill="1" applyAlignment="1">
      <alignment horizontal="left" shrinkToFit="1"/>
    </xf>
    <xf numFmtId="176" fontId="51" fillId="2" borderId="16" xfId="0" applyNumberFormat="1" applyFont="1" applyFill="1" applyBorder="1" applyAlignment="1">
      <alignment horizontal="right" vertical="center"/>
    </xf>
    <xf numFmtId="176" fontId="51" fillId="2" borderId="16" xfId="0" applyNumberFormat="1" applyFont="1" applyFill="1" applyBorder="1" applyAlignment="1">
      <alignment horizontal="right" vertical="center" shrinkToFit="1"/>
    </xf>
    <xf numFmtId="172" fontId="3" fillId="2" borderId="16" xfId="0" applyNumberFormat="1" applyFont="1" applyFill="1" applyBorder="1" applyAlignment="1">
      <alignment horizontal="left" vertical="center" shrinkToFit="1"/>
    </xf>
    <xf numFmtId="172" fontId="3" fillId="2" borderId="17" xfId="0" applyNumberFormat="1" applyFont="1" applyFill="1" applyBorder="1" applyAlignment="1">
      <alignment horizontal="left" vertical="center" shrinkToFit="1"/>
    </xf>
    <xf numFmtId="0" fontId="14" fillId="2" borderId="17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9" fontId="3" fillId="2" borderId="0" xfId="3" applyFont="1" applyFill="1" applyBorder="1" applyAlignment="1">
      <alignment horizontal="left" vertical="center" shrinkToFit="1"/>
    </xf>
    <xf numFmtId="0" fontId="3" fillId="2" borderId="2" xfId="0" applyFont="1" applyFill="1" applyBorder="1" applyAlignment="1">
      <alignment vertical="center"/>
    </xf>
    <xf numFmtId="9" fontId="3" fillId="2" borderId="2" xfId="3" applyFont="1" applyFill="1" applyBorder="1" applyAlignment="1">
      <alignment horizontal="left" vertical="center" shrinkToFit="1"/>
    </xf>
    <xf numFmtId="9" fontId="64" fillId="0" borderId="0" xfId="3" applyFont="1" applyBorder="1" applyAlignment="1">
      <alignment horizontal="left" vertical="center" shrinkToFit="1"/>
    </xf>
    <xf numFmtId="0" fontId="29" fillId="2" borderId="0" xfId="0" applyFont="1" applyFill="1" applyAlignment="1">
      <alignment vertical="center"/>
    </xf>
    <xf numFmtId="164" fontId="3" fillId="2" borderId="0" xfId="2" applyNumberFormat="1" applyFont="1" applyFill="1" applyBorder="1" applyAlignment="1">
      <alignment horizontal="center" vertical="center"/>
    </xf>
    <xf numFmtId="164" fontId="3" fillId="2" borderId="4" xfId="0" applyNumberFormat="1" applyFont="1" applyFill="1" applyBorder="1" applyAlignment="1">
      <alignment horizontal="right" vertical="center" indent="1"/>
    </xf>
    <xf numFmtId="0" fontId="0" fillId="6" borderId="0" xfId="0" applyFill="1"/>
    <xf numFmtId="0" fontId="0" fillId="6" borderId="0" xfId="0" applyFill="1" applyAlignment="1">
      <alignment horizontal="right"/>
    </xf>
    <xf numFmtId="185" fontId="0" fillId="6" borderId="0" xfId="0" applyNumberFormat="1" applyFill="1" applyAlignment="1">
      <alignment horizontal="right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right" vertical="center"/>
    </xf>
    <xf numFmtId="185" fontId="2" fillId="6" borderId="0" xfId="0" applyNumberFormat="1" applyFont="1" applyFill="1" applyAlignment="1">
      <alignment horizontal="right" vertical="center"/>
    </xf>
    <xf numFmtId="0" fontId="2" fillId="6" borderId="0" xfId="0" applyFont="1" applyFill="1" applyAlignment="1">
      <alignment horizontal="center" vertical="center"/>
    </xf>
    <xf numFmtId="0" fontId="37" fillId="6" borderId="0" xfId="0" applyFont="1" applyFill="1" applyAlignment="1">
      <alignment vertical="center"/>
    </xf>
    <xf numFmtId="0" fontId="18" fillId="6" borderId="2" xfId="0" applyFont="1" applyFill="1" applyBorder="1" applyAlignment="1">
      <alignment horizontal="left" vertical="center"/>
    </xf>
    <xf numFmtId="0" fontId="18" fillId="6" borderId="2" xfId="0" applyFont="1" applyFill="1" applyBorder="1" applyAlignment="1">
      <alignment vertical="center"/>
    </xf>
    <xf numFmtId="0" fontId="18" fillId="6" borderId="2" xfId="0" applyFont="1" applyFill="1" applyBorder="1" applyAlignment="1">
      <alignment horizontal="right" vertical="center"/>
    </xf>
    <xf numFmtId="185" fontId="18" fillId="6" borderId="2" xfId="0" applyNumberFormat="1" applyFont="1" applyFill="1" applyBorder="1" applyAlignment="1">
      <alignment horizontal="right" vertical="center"/>
    </xf>
    <xf numFmtId="0" fontId="81" fillId="2" borderId="0" xfId="0" applyFont="1" applyFill="1" applyAlignment="1">
      <alignment horizontal="left" vertical="center" indent="1"/>
    </xf>
    <xf numFmtId="172" fontId="21" fillId="3" borderId="3" xfId="2" applyNumberFormat="1" applyFont="1" applyFill="1" applyBorder="1" applyAlignment="1">
      <alignment horizontal="right" vertical="center"/>
    </xf>
    <xf numFmtId="186" fontId="8" fillId="2" borderId="0" xfId="2" applyNumberFormat="1" applyFont="1" applyFill="1" applyBorder="1" applyAlignment="1">
      <alignment horizontal="left" vertical="center"/>
    </xf>
    <xf numFmtId="187" fontId="8" fillId="2" borderId="0" xfId="2" applyNumberFormat="1" applyFont="1" applyFill="1" applyBorder="1" applyAlignment="1">
      <alignment horizontal="left" vertical="center"/>
    </xf>
    <xf numFmtId="0" fontId="82" fillId="2" borderId="0" xfId="0" applyFont="1" applyFill="1" applyAlignment="1">
      <alignment horizontal="left" vertical="center" indent="1"/>
    </xf>
    <xf numFmtId="0" fontId="82" fillId="2" borderId="0" xfId="0" applyFont="1" applyFill="1" applyAlignment="1">
      <alignment vertical="center"/>
    </xf>
    <xf numFmtId="188" fontId="3" fillId="3" borderId="3" xfId="2" applyNumberFormat="1" applyFont="1" applyFill="1" applyBorder="1" applyAlignment="1">
      <alignment horizontal="center" vertical="center"/>
    </xf>
    <xf numFmtId="0" fontId="81" fillId="6" borderId="0" xfId="0" applyFont="1" applyFill="1" applyAlignment="1">
      <alignment horizontal="left" vertical="center" indent="1"/>
    </xf>
    <xf numFmtId="0" fontId="8" fillId="6" borderId="0" xfId="0" applyFont="1" applyFill="1" applyAlignment="1">
      <alignment horizontal="left" vertical="center"/>
    </xf>
    <xf numFmtId="186" fontId="8" fillId="6" borderId="0" xfId="2" applyNumberFormat="1" applyFont="1" applyFill="1" applyBorder="1" applyAlignment="1">
      <alignment horizontal="left" vertical="center"/>
    </xf>
    <xf numFmtId="187" fontId="8" fillId="6" borderId="0" xfId="2" applyNumberFormat="1" applyFont="1" applyFill="1" applyBorder="1" applyAlignment="1">
      <alignment horizontal="left" vertical="center"/>
    </xf>
    <xf numFmtId="185" fontId="8" fillId="6" borderId="0" xfId="2" applyNumberFormat="1" applyFont="1" applyFill="1" applyBorder="1" applyAlignment="1">
      <alignment horizontal="right" vertical="center"/>
    </xf>
    <xf numFmtId="0" fontId="82" fillId="6" borderId="0" xfId="0" applyFont="1" applyFill="1" applyAlignment="1">
      <alignment horizontal="left" vertical="center" indent="1"/>
    </xf>
    <xf numFmtId="188" fontId="3" fillId="3" borderId="10" xfId="2" applyNumberFormat="1" applyFont="1" applyFill="1" applyBorder="1" applyAlignment="1">
      <alignment horizontal="center" vertical="center"/>
    </xf>
    <xf numFmtId="188" fontId="3" fillId="3" borderId="6" xfId="2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vertical="center"/>
    </xf>
    <xf numFmtId="0" fontId="2" fillId="6" borderId="4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186" fontId="32" fillId="2" borderId="0" xfId="2" applyNumberFormat="1" applyFont="1" applyFill="1" applyBorder="1" applyAlignment="1">
      <alignment horizontal="right" vertical="center"/>
    </xf>
    <xf numFmtId="187" fontId="32" fillId="2" borderId="0" xfId="2" applyNumberFormat="1" applyFont="1" applyFill="1" applyBorder="1" applyAlignment="1">
      <alignment horizontal="right" vertical="center"/>
    </xf>
    <xf numFmtId="0" fontId="83" fillId="2" borderId="0" xfId="0" applyFont="1" applyFill="1" applyAlignment="1">
      <alignment horizontal="left" vertical="center"/>
    </xf>
    <xf numFmtId="0" fontId="21" fillId="3" borderId="3" xfId="2" applyNumberFormat="1" applyFont="1" applyFill="1" applyBorder="1" applyAlignment="1">
      <alignment horizontal="center" vertical="center"/>
    </xf>
    <xf numFmtId="168" fontId="8" fillId="2" borderId="0" xfId="2" applyFont="1" applyFill="1" applyBorder="1" applyAlignment="1">
      <alignment horizontal="left" vertical="center"/>
    </xf>
    <xf numFmtId="186" fontId="32" fillId="6" borderId="0" xfId="2" applyNumberFormat="1" applyFont="1" applyFill="1" applyBorder="1" applyAlignment="1">
      <alignment horizontal="right" vertical="center"/>
    </xf>
    <xf numFmtId="187" fontId="32" fillId="6" borderId="0" xfId="2" applyNumberFormat="1" applyFont="1" applyFill="1" applyBorder="1" applyAlignment="1">
      <alignment horizontal="right" vertical="center"/>
    </xf>
    <xf numFmtId="0" fontId="83" fillId="6" borderId="0" xfId="0" applyFont="1" applyFill="1" applyAlignment="1">
      <alignment horizontal="left" vertical="center"/>
    </xf>
    <xf numFmtId="168" fontId="8" fillId="6" borderId="0" xfId="2" applyFont="1" applyFill="1" applyBorder="1" applyAlignment="1">
      <alignment horizontal="left" vertical="center"/>
    </xf>
    <xf numFmtId="0" fontId="62" fillId="6" borderId="0" xfId="0" applyFont="1" applyFill="1" applyAlignment="1">
      <alignment vertical="center"/>
    </xf>
    <xf numFmtId="0" fontId="26" fillId="6" borderId="4" xfId="0" applyFont="1" applyFill="1" applyBorder="1" applyAlignment="1">
      <alignment horizontal="left" vertical="center"/>
    </xf>
    <xf numFmtId="0" fontId="26" fillId="6" borderId="4" xfId="0" applyFont="1" applyFill="1" applyBorder="1" applyAlignment="1">
      <alignment horizontal="center" vertical="center"/>
    </xf>
    <xf numFmtId="165" fontId="26" fillId="6" borderId="4" xfId="0" applyNumberFormat="1" applyFont="1" applyFill="1" applyBorder="1" applyAlignment="1">
      <alignment horizontal="right" vertical="center"/>
    </xf>
    <xf numFmtId="0" fontId="18" fillId="6" borderId="4" xfId="0" applyFont="1" applyFill="1" applyBorder="1" applyAlignment="1">
      <alignment horizontal="left" vertical="center"/>
    </xf>
    <xf numFmtId="0" fontId="18" fillId="6" borderId="4" xfId="0" applyFont="1" applyFill="1" applyBorder="1" applyAlignment="1">
      <alignment vertical="center"/>
    </xf>
    <xf numFmtId="0" fontId="18" fillId="6" borderId="4" xfId="0" applyFont="1" applyFill="1" applyBorder="1" applyAlignment="1">
      <alignment horizontal="right" vertical="center"/>
    </xf>
    <xf numFmtId="185" fontId="18" fillId="6" borderId="4" xfId="0" applyNumberFormat="1" applyFont="1" applyFill="1" applyBorder="1" applyAlignment="1">
      <alignment horizontal="right" vertical="center"/>
    </xf>
    <xf numFmtId="169" fontId="85" fillId="6" borderId="0" xfId="2" applyNumberFormat="1" applyFill="1" applyBorder="1"/>
    <xf numFmtId="189" fontId="8" fillId="2" borderId="0" xfId="2" applyNumberFormat="1" applyFont="1" applyFill="1" applyBorder="1" applyAlignment="1">
      <alignment horizontal="left" vertical="center"/>
    </xf>
    <xf numFmtId="185" fontId="8" fillId="2" borderId="0" xfId="2" applyNumberFormat="1" applyFont="1" applyFill="1" applyBorder="1" applyAlignment="1">
      <alignment horizontal="right" vertical="center"/>
    </xf>
    <xf numFmtId="0" fontId="84" fillId="6" borderId="0" xfId="0" applyFont="1" applyFill="1"/>
    <xf numFmtId="170" fontId="21" fillId="3" borderId="3" xfId="2" applyNumberFormat="1" applyFont="1" applyFill="1" applyBorder="1" applyAlignment="1">
      <alignment horizontal="right" vertical="center"/>
    </xf>
    <xf numFmtId="0" fontId="2" fillId="6" borderId="4" xfId="0" applyFont="1" applyFill="1" applyBorder="1" applyAlignment="1">
      <alignment horizontal="right" vertical="center"/>
    </xf>
    <xf numFmtId="185" fontId="2" fillId="6" borderId="4" xfId="0" applyNumberFormat="1" applyFont="1" applyFill="1" applyBorder="1" applyAlignment="1">
      <alignment horizontal="right" vertical="center"/>
    </xf>
    <xf numFmtId="0" fontId="0" fillId="6" borderId="4" xfId="0" applyFill="1" applyBorder="1"/>
    <xf numFmtId="0" fontId="0" fillId="6" borderId="4" xfId="0" applyFill="1" applyBorder="1" applyAlignment="1">
      <alignment horizontal="right"/>
    </xf>
    <xf numFmtId="185" fontId="0" fillId="6" borderId="4" xfId="0" applyNumberFormat="1" applyFill="1" applyBorder="1" applyAlignment="1">
      <alignment horizontal="right"/>
    </xf>
    <xf numFmtId="172" fontId="21" fillId="3" borderId="21" xfId="2" applyNumberFormat="1" applyFont="1" applyFill="1" applyBorder="1" applyAlignment="1">
      <alignment horizontal="right" vertical="center"/>
    </xf>
    <xf numFmtId="0" fontId="84" fillId="6" borderId="4" xfId="0" applyFont="1" applyFill="1" applyBorder="1"/>
    <xf numFmtId="185" fontId="84" fillId="6" borderId="4" xfId="0" applyNumberFormat="1" applyFont="1" applyFill="1" applyBorder="1" applyAlignment="1">
      <alignment horizontal="right"/>
    </xf>
    <xf numFmtId="165" fontId="21" fillId="3" borderId="3" xfId="2" applyNumberFormat="1" applyFont="1" applyFill="1" applyBorder="1" applyAlignment="1">
      <alignment horizontal="right" vertical="center"/>
    </xf>
    <xf numFmtId="0" fontId="81" fillId="0" borderId="0" xfId="0" applyFont="1" applyAlignment="1">
      <alignment horizontal="left" vertical="center" indent="1"/>
    </xf>
    <xf numFmtId="186" fontId="8" fillId="2" borderId="0" xfId="2" applyNumberFormat="1" applyFont="1" applyFill="1" applyBorder="1" applyAlignment="1">
      <alignment horizontal="right" vertical="center"/>
    </xf>
    <xf numFmtId="187" fontId="8" fillId="2" borderId="0" xfId="2" applyNumberFormat="1" applyFont="1" applyFill="1" applyBorder="1" applyAlignment="1">
      <alignment horizontal="right" vertical="center"/>
    </xf>
    <xf numFmtId="186" fontId="8" fillId="6" borderId="0" xfId="2" applyNumberFormat="1" applyFont="1" applyFill="1" applyBorder="1" applyAlignment="1">
      <alignment horizontal="right" vertical="center"/>
    </xf>
    <xf numFmtId="187" fontId="8" fillId="6" borderId="0" xfId="2" applyNumberFormat="1" applyFont="1" applyFill="1" applyBorder="1" applyAlignment="1">
      <alignment horizontal="right" vertical="center"/>
    </xf>
    <xf numFmtId="187" fontId="8" fillId="2" borderId="0" xfId="2" applyNumberFormat="1" applyFont="1" applyFill="1" applyBorder="1" applyAlignment="1">
      <alignment horizontal="right" vertical="center" wrapText="1"/>
    </xf>
    <xf numFmtId="187" fontId="8" fillId="6" borderId="0" xfId="2" applyNumberFormat="1" applyFont="1" applyFill="1" applyBorder="1" applyAlignment="1">
      <alignment horizontal="right" vertical="center" wrapText="1"/>
    </xf>
    <xf numFmtId="172" fontId="8" fillId="2" borderId="0" xfId="2" applyNumberFormat="1" applyFont="1" applyFill="1" applyBorder="1" applyAlignment="1">
      <alignment horizontal="right" vertical="center"/>
    </xf>
    <xf numFmtId="169" fontId="8" fillId="2" borderId="0" xfId="2" applyNumberFormat="1" applyFont="1" applyFill="1" applyBorder="1" applyAlignment="1">
      <alignment horizontal="right" vertical="center"/>
    </xf>
    <xf numFmtId="169" fontId="8" fillId="6" borderId="0" xfId="2" applyNumberFormat="1" applyFont="1" applyFill="1" applyBorder="1" applyAlignment="1">
      <alignment horizontal="left" vertical="center"/>
    </xf>
    <xf numFmtId="169" fontId="8" fillId="2" borderId="0" xfId="2" applyNumberFormat="1" applyFont="1" applyFill="1" applyBorder="1" applyAlignment="1">
      <alignment horizontal="left" vertical="center"/>
    </xf>
    <xf numFmtId="190" fontId="3" fillId="0" borderId="0" xfId="0" applyNumberFormat="1" applyFont="1"/>
    <xf numFmtId="190" fontId="14" fillId="0" borderId="0" xfId="0" applyNumberFormat="1" applyFont="1" applyAlignment="1">
      <alignment vertical="center"/>
    </xf>
    <xf numFmtId="191" fontId="3" fillId="2" borderId="0" xfId="2" applyNumberFormat="1" applyFont="1" applyFill="1" applyBorder="1" applyAlignment="1">
      <alignment horizontal="right" vertical="center"/>
    </xf>
    <xf numFmtId="191" fontId="3" fillId="0" borderId="0" xfId="2" applyNumberFormat="1" applyFont="1" applyBorder="1" applyAlignment="1">
      <alignment horizontal="right" vertical="center"/>
    </xf>
    <xf numFmtId="192" fontId="22" fillId="2" borderId="0" xfId="2" applyNumberFormat="1" applyFont="1" applyFill="1" applyBorder="1" applyAlignment="1">
      <alignment horizontal="right" vertical="center" indent="1"/>
    </xf>
    <xf numFmtId="192" fontId="22" fillId="0" borderId="0" xfId="2" applyNumberFormat="1" applyFont="1" applyBorder="1" applyAlignment="1">
      <alignment horizontal="right" vertical="center" indent="1"/>
    </xf>
    <xf numFmtId="192" fontId="24" fillId="0" borderId="4" xfId="0" applyNumberFormat="1" applyFont="1" applyBorder="1" applyAlignment="1">
      <alignment horizontal="right" vertical="center" indent="1"/>
    </xf>
    <xf numFmtId="0" fontId="24" fillId="0" borderId="0" xfId="0" applyFont="1" applyAlignment="1">
      <alignment horizontal="left" vertical="center" indent="1"/>
    </xf>
    <xf numFmtId="192" fontId="3" fillId="2" borderId="0" xfId="1" applyNumberFormat="1" applyFont="1" applyFill="1" applyBorder="1" applyAlignment="1">
      <alignment horizontal="right" vertical="center"/>
    </xf>
    <xf numFmtId="192" fontId="3" fillId="0" borderId="0" xfId="1" applyNumberFormat="1" applyFont="1" applyBorder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70" fontId="27" fillId="0" borderId="0" xfId="2" applyNumberFormat="1" applyFont="1" applyBorder="1" applyAlignment="1">
      <alignment horizontal="center" vertical="center"/>
    </xf>
    <xf numFmtId="170" fontId="29" fillId="0" borderId="0" xfId="2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top"/>
    </xf>
    <xf numFmtId="191" fontId="3" fillId="2" borderId="0" xfId="2" applyNumberFormat="1" applyFont="1" applyFill="1" applyBorder="1" applyAlignment="1">
      <alignment horizontal="center" vertical="center"/>
    </xf>
    <xf numFmtId="191" fontId="3" fillId="0" borderId="0" xfId="2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3" fontId="32" fillId="2" borderId="4" xfId="0" applyNumberFormat="1" applyFont="1" applyFill="1" applyBorder="1" applyAlignment="1">
      <alignment horizontal="center" vertical="center"/>
    </xf>
    <xf numFmtId="3" fontId="3" fillId="0" borderId="0" xfId="2" applyNumberFormat="1" applyFont="1" applyBorder="1" applyAlignment="1">
      <alignment horizontal="center" vertical="center"/>
    </xf>
    <xf numFmtId="3" fontId="32" fillId="2" borderId="2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top"/>
    </xf>
    <xf numFmtId="0" fontId="3" fillId="2" borderId="2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76" fontId="3" fillId="0" borderId="4" xfId="0" applyNumberFormat="1" applyFont="1" applyBorder="1" applyAlignment="1">
      <alignment horizontal="center" vertical="center"/>
    </xf>
    <xf numFmtId="0" fontId="34" fillId="0" borderId="0" xfId="0" applyFont="1" applyAlignment="1">
      <alignment horizontal="center" vertical="top"/>
    </xf>
    <xf numFmtId="0" fontId="9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172" fontId="3" fillId="2" borderId="16" xfId="0" applyNumberFormat="1" applyFont="1" applyFill="1" applyBorder="1" applyAlignment="1">
      <alignment horizontal="center" vertical="center"/>
    </xf>
    <xf numFmtId="172" fontId="3" fillId="2" borderId="17" xfId="0" applyNumberFormat="1" applyFont="1" applyFill="1" applyBorder="1" applyAlignment="1">
      <alignment horizontal="center" vertical="center"/>
    </xf>
    <xf numFmtId="169" fontId="26" fillId="2" borderId="4" xfId="0" applyNumberFormat="1" applyFont="1" applyFill="1" applyBorder="1" applyAlignment="1">
      <alignment horizontal="center"/>
    </xf>
    <xf numFmtId="170" fontId="27" fillId="2" borderId="0" xfId="2" applyNumberFormat="1" applyFont="1" applyFill="1" applyBorder="1" applyAlignment="1">
      <alignment horizontal="center" vertical="center"/>
    </xf>
    <xf numFmtId="165" fontId="24" fillId="0" borderId="0" xfId="0" applyNumberFormat="1" applyFont="1" applyAlignment="1">
      <alignment horizontal="right" vertical="center" indent="1"/>
    </xf>
    <xf numFmtId="0" fontId="24" fillId="0" borderId="0" xfId="0" applyFont="1" applyAlignment="1">
      <alignment horizontal="right" vertical="center"/>
    </xf>
    <xf numFmtId="0" fontId="10" fillId="0" borderId="0" xfId="0" applyFont="1" applyAlignment="1">
      <alignment horizontal="left" vertical="top"/>
    </xf>
    <xf numFmtId="0" fontId="2" fillId="2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top" indent="1"/>
    </xf>
    <xf numFmtId="0" fontId="69" fillId="0" borderId="0" xfId="4" applyFont="1" applyBorder="1" applyAlignment="1">
      <alignment horizontal="left" vertical="top" indent="1"/>
    </xf>
    <xf numFmtId="0" fontId="10" fillId="0" borderId="22" xfId="0" applyFont="1" applyBorder="1" applyAlignment="1">
      <alignment horizontal="left" vertical="top"/>
    </xf>
    <xf numFmtId="0" fontId="8" fillId="0" borderId="0" xfId="0" applyFont="1" applyAlignment="1">
      <alignment horizontal="left" indent="1"/>
    </xf>
    <xf numFmtId="0" fontId="58" fillId="2" borderId="0" xfId="0" applyFont="1" applyFill="1" applyAlignment="1">
      <alignment horizontal="left" vertical="top"/>
    </xf>
    <xf numFmtId="0" fontId="8" fillId="2" borderId="0" xfId="0" applyFont="1" applyFill="1" applyAlignment="1">
      <alignment horizontal="left" vertical="top" indent="1"/>
    </xf>
    <xf numFmtId="0" fontId="18" fillId="0" borderId="2" xfId="0" applyFont="1" applyBorder="1" applyAlignment="1">
      <alignment horizontal="right" vertical="center"/>
    </xf>
    <xf numFmtId="0" fontId="2" fillId="0" borderId="0" xfId="0" applyFont="1" applyAlignment="1">
      <alignment horizontal="left" vertical="top" indent="1"/>
    </xf>
    <xf numFmtId="170" fontId="47" fillId="4" borderId="4" xfId="2" applyNumberFormat="1" applyFont="1" applyFill="1" applyBorder="1" applyAlignment="1">
      <alignment horizontal="right" vertical="center"/>
    </xf>
    <xf numFmtId="170" fontId="47" fillId="5" borderId="0" xfId="2" applyNumberFormat="1" applyFont="1" applyFill="1" applyBorder="1" applyAlignment="1">
      <alignment horizontal="right" vertical="center"/>
    </xf>
    <xf numFmtId="170" fontId="47" fillId="4" borderId="0" xfId="2" applyNumberFormat="1" applyFont="1" applyFill="1" applyBorder="1" applyAlignment="1">
      <alignment horizontal="right" vertical="center"/>
    </xf>
    <xf numFmtId="0" fontId="47" fillId="4" borderId="2" xfId="0" applyFont="1" applyFill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172" fontId="3" fillId="2" borderId="4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65" fontId="3" fillId="2" borderId="13" xfId="0" applyNumberFormat="1" applyFont="1" applyFill="1" applyBorder="1" applyAlignment="1">
      <alignment horizontal="center" vertical="center"/>
    </xf>
    <xf numFmtId="172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5" fontId="3" fillId="0" borderId="14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top"/>
    </xf>
    <xf numFmtId="0" fontId="2" fillId="2" borderId="0" xfId="0" applyFont="1" applyFill="1" applyAlignment="1">
      <alignment horizontal="left" vertical="center" shrinkToFit="1"/>
    </xf>
    <xf numFmtId="0" fontId="3" fillId="2" borderId="0" xfId="0" applyFont="1" applyFill="1" applyAlignment="1">
      <alignment horizontal="center" vertical="center"/>
    </xf>
    <xf numFmtId="0" fontId="10" fillId="0" borderId="0" xfId="0" applyFont="1" applyAlignment="1">
      <alignment horizontal="left" shrinkToFit="1"/>
    </xf>
    <xf numFmtId="0" fontId="8" fillId="0" borderId="0" xfId="0" applyFont="1" applyAlignment="1">
      <alignment horizontal="left" vertical="top" indent="1" shrinkToFit="1"/>
    </xf>
    <xf numFmtId="0" fontId="18" fillId="0" borderId="2" xfId="0" applyFont="1" applyBorder="1" applyAlignment="1">
      <alignment horizontal="right" vertical="center" shrinkToFit="1"/>
    </xf>
    <xf numFmtId="181" fontId="3" fillId="2" borderId="0" xfId="2" applyNumberFormat="1" applyFont="1" applyFill="1" applyBorder="1" applyAlignment="1">
      <alignment horizontal="right" vertical="center" shrinkToFit="1"/>
    </xf>
    <xf numFmtId="181" fontId="3" fillId="0" borderId="0" xfId="2" applyNumberFormat="1" applyFont="1" applyBorder="1" applyAlignment="1">
      <alignment horizontal="right" vertical="center" shrinkToFit="1"/>
    </xf>
    <xf numFmtId="0" fontId="8" fillId="0" borderId="0" xfId="0" applyFont="1" applyAlignment="1">
      <alignment horizontal="left" shrinkToFit="1"/>
    </xf>
    <xf numFmtId="169" fontId="47" fillId="4" borderId="4" xfId="2" applyNumberFormat="1" applyFont="1" applyFill="1" applyBorder="1" applyAlignment="1">
      <alignment horizontal="right" vertical="center" shrinkToFit="1"/>
    </xf>
    <xf numFmtId="170" fontId="47" fillId="4" borderId="4" xfId="2" applyNumberFormat="1" applyFont="1" applyFill="1" applyBorder="1" applyAlignment="1">
      <alignment horizontal="right" vertical="center" shrinkToFit="1"/>
    </xf>
    <xf numFmtId="169" fontId="47" fillId="5" borderId="0" xfId="2" applyNumberFormat="1" applyFont="1" applyFill="1" applyBorder="1" applyAlignment="1">
      <alignment horizontal="right" vertical="center" shrinkToFit="1"/>
    </xf>
    <xf numFmtId="170" fontId="47" fillId="5" borderId="0" xfId="2" applyNumberFormat="1" applyFont="1" applyFill="1" applyBorder="1" applyAlignment="1">
      <alignment horizontal="right" vertical="center" shrinkToFit="1"/>
    </xf>
    <xf numFmtId="169" fontId="47" fillId="4" borderId="0" xfId="2" applyNumberFormat="1" applyFont="1" applyFill="1" applyBorder="1" applyAlignment="1">
      <alignment horizontal="right" vertical="center" shrinkToFit="1"/>
    </xf>
    <xf numFmtId="170" fontId="47" fillId="4" borderId="0" xfId="2" applyNumberFormat="1" applyFont="1" applyFill="1" applyBorder="1" applyAlignment="1">
      <alignment horizontal="right" vertical="center" shrinkToFit="1"/>
    </xf>
    <xf numFmtId="169" fontId="47" fillId="4" borderId="2" xfId="0" applyNumberFormat="1" applyFont="1" applyFill="1" applyBorder="1" applyAlignment="1">
      <alignment horizontal="right" vertical="center" shrinkToFit="1"/>
    </xf>
    <xf numFmtId="0" fontId="47" fillId="4" borderId="2" xfId="0" applyFont="1" applyFill="1" applyBorder="1" applyAlignment="1">
      <alignment horizontal="right" vertical="center" shrinkToFit="1"/>
    </xf>
    <xf numFmtId="169" fontId="18" fillId="0" borderId="2" xfId="0" applyNumberFormat="1" applyFont="1" applyBorder="1" applyAlignment="1">
      <alignment horizontal="right" vertical="center" shrinkToFit="1"/>
    </xf>
    <xf numFmtId="0" fontId="8" fillId="0" borderId="0" xfId="0" applyFont="1" applyAlignment="1">
      <alignment horizontal="left" indent="2" shrinkToFit="1"/>
    </xf>
    <xf numFmtId="0" fontId="8" fillId="0" borderId="0" xfId="0" applyFont="1" applyAlignment="1">
      <alignment horizontal="left" vertical="top" indent="2" shrinkToFit="1"/>
    </xf>
    <xf numFmtId="0" fontId="18" fillId="0" borderId="2" xfId="0" applyFont="1" applyBorder="1" applyAlignment="1">
      <alignment horizontal="center" vertical="center" shrinkToFit="1"/>
    </xf>
    <xf numFmtId="0" fontId="14" fillId="2" borderId="0" xfId="0" applyFont="1" applyFill="1" applyAlignment="1">
      <alignment horizontal="left" vertical="center" indent="1" shrinkToFit="1"/>
    </xf>
    <xf numFmtId="181" fontId="3" fillId="2" borderId="5" xfId="0" applyNumberFormat="1" applyFont="1" applyFill="1" applyBorder="1" applyAlignment="1">
      <alignment horizontal="right" vertical="center" shrinkToFit="1"/>
    </xf>
    <xf numFmtId="176" fontId="51" fillId="2" borderId="18" xfId="0" applyNumberFormat="1" applyFont="1" applyFill="1" applyBorder="1" applyAlignment="1">
      <alignment horizontal="center" vertical="center" shrinkToFit="1"/>
    </xf>
    <xf numFmtId="0" fontId="14" fillId="0" borderId="0" xfId="0" applyFont="1" applyAlignment="1">
      <alignment horizontal="left" vertical="center" indent="1" shrinkToFit="1"/>
    </xf>
    <xf numFmtId="181" fontId="3" fillId="0" borderId="5" xfId="0" applyNumberFormat="1" applyFont="1" applyBorder="1" applyAlignment="1">
      <alignment horizontal="right" vertical="center" shrinkToFit="1"/>
    </xf>
    <xf numFmtId="9" fontId="21" fillId="3" borderId="10" xfId="3" applyFont="1" applyFill="1" applyBorder="1" applyAlignment="1">
      <alignment horizontal="center" vertical="center" shrinkToFit="1"/>
    </xf>
    <xf numFmtId="0" fontId="14" fillId="2" borderId="2" xfId="0" applyFont="1" applyFill="1" applyBorder="1" applyAlignment="1">
      <alignment horizontal="left" vertical="center" indent="1" shrinkToFit="1"/>
    </xf>
    <xf numFmtId="181" fontId="3" fillId="2" borderId="14" xfId="0" applyNumberFormat="1" applyFont="1" applyFill="1" applyBorder="1" applyAlignment="1">
      <alignment horizontal="right" vertical="center" shrinkToFit="1"/>
    </xf>
    <xf numFmtId="9" fontId="21" fillId="3" borderId="8" xfId="3" applyFont="1" applyFill="1" applyBorder="1" applyAlignment="1">
      <alignment horizontal="center" vertical="center" shrinkToFit="1"/>
    </xf>
    <xf numFmtId="0" fontId="74" fillId="0" borderId="0" xfId="0" applyFont="1" applyAlignment="1">
      <alignment vertical="center"/>
    </xf>
    <xf numFmtId="0" fontId="8" fillId="0" borderId="0" xfId="0" applyFont="1" applyAlignment="1">
      <alignment horizontal="left" vertical="top" shrinkToFit="1"/>
    </xf>
    <xf numFmtId="0" fontId="18" fillId="0" borderId="2" xfId="0" applyFont="1" applyBorder="1" applyAlignment="1">
      <alignment horizontal="right" vertical="center" indent="1" shrinkToFit="1"/>
    </xf>
    <xf numFmtId="169" fontId="3" fillId="2" borderId="4" xfId="0" applyNumberFormat="1" applyFont="1" applyFill="1" applyBorder="1" applyAlignment="1">
      <alignment horizontal="right" vertical="center" indent="1" shrinkToFit="1"/>
    </xf>
    <xf numFmtId="181" fontId="3" fillId="0" borderId="0" xfId="0" applyNumberFormat="1" applyFont="1" applyAlignment="1">
      <alignment horizontal="right" vertical="center" indent="1" shrinkToFit="1"/>
    </xf>
    <xf numFmtId="181" fontId="3" fillId="2" borderId="0" xfId="0" applyNumberFormat="1" applyFont="1" applyFill="1" applyAlignment="1">
      <alignment horizontal="right" vertical="center" indent="1" shrinkToFit="1"/>
    </xf>
    <xf numFmtId="169" fontId="3" fillId="2" borderId="0" xfId="0" applyNumberFormat="1" applyFont="1" applyFill="1" applyAlignment="1">
      <alignment horizontal="right" vertical="center" indent="1" shrinkToFit="1"/>
    </xf>
    <xf numFmtId="0" fontId="2" fillId="0" borderId="4" xfId="0" applyFont="1" applyBorder="1" applyAlignment="1">
      <alignment horizontal="left" vertical="center" shrinkToFit="1"/>
    </xf>
    <xf numFmtId="0" fontId="34" fillId="0" borderId="0" xfId="0" applyFont="1" applyAlignment="1">
      <alignment horizontal="left" vertical="center" shrinkToFit="1"/>
    </xf>
    <xf numFmtId="169" fontId="3" fillId="0" borderId="0" xfId="0" applyNumberFormat="1" applyFont="1" applyAlignment="1">
      <alignment horizontal="right" vertical="center" indent="1" shrinkToFit="1"/>
    </xf>
    <xf numFmtId="169" fontId="3" fillId="0" borderId="0" xfId="0" applyNumberFormat="1" applyFont="1" applyAlignment="1">
      <alignment horizontal="right" vertical="center"/>
    </xf>
    <xf numFmtId="169" fontId="3" fillId="2" borderId="0" xfId="0" applyNumberFormat="1" applyFont="1" applyFill="1" applyAlignment="1">
      <alignment horizontal="right" vertical="center"/>
    </xf>
    <xf numFmtId="169" fontId="3" fillId="0" borderId="2" xfId="0" applyNumberFormat="1" applyFont="1" applyBorder="1" applyAlignment="1">
      <alignment horizontal="right" vertical="center" indent="1" shrinkToFit="1"/>
    </xf>
    <xf numFmtId="176" fontId="3" fillId="0" borderId="4" xfId="0" applyNumberFormat="1" applyFont="1" applyBorder="1" applyAlignment="1">
      <alignment horizontal="left" vertical="center" shrinkToFit="1"/>
    </xf>
    <xf numFmtId="0" fontId="2" fillId="0" borderId="0" xfId="0" applyFont="1" applyAlignment="1">
      <alignment horizontal="left" vertical="center" shrinkToFit="1"/>
    </xf>
    <xf numFmtId="169" fontId="3" fillId="2" borderId="4" xfId="3" applyNumberFormat="1" applyFont="1" applyFill="1" applyBorder="1" applyAlignment="1">
      <alignment horizontal="right" vertical="center" indent="1" shrinkToFit="1"/>
    </xf>
    <xf numFmtId="169" fontId="3" fillId="0" borderId="0" xfId="3" applyNumberFormat="1" applyFont="1" applyBorder="1" applyAlignment="1">
      <alignment horizontal="right" vertical="center" indent="1" shrinkToFit="1"/>
    </xf>
    <xf numFmtId="169" fontId="3" fillId="2" borderId="0" xfId="3" applyNumberFormat="1" applyFont="1" applyFill="1" applyBorder="1" applyAlignment="1">
      <alignment horizontal="right" vertical="center" indent="1" shrinkToFit="1"/>
    </xf>
    <xf numFmtId="169" fontId="3" fillId="0" borderId="2" xfId="3" applyNumberFormat="1" applyFont="1" applyBorder="1" applyAlignment="1">
      <alignment horizontal="right" vertical="center" indent="1" shrinkToFit="1"/>
    </xf>
    <xf numFmtId="0" fontId="2" fillId="0" borderId="0" xfId="0" applyFont="1" applyAlignment="1">
      <alignment vertical="center" shrinkToFit="1"/>
    </xf>
    <xf numFmtId="165" fontId="41" fillId="0" borderId="0" xfId="0" applyNumberFormat="1" applyFont="1" applyAlignment="1">
      <alignment horizontal="right" vertical="center" shrinkToFit="1"/>
    </xf>
    <xf numFmtId="0" fontId="8" fillId="0" borderId="0" xfId="0" applyFont="1" applyAlignment="1">
      <alignment vertical="center" shrinkToFit="1"/>
    </xf>
    <xf numFmtId="0" fontId="12" fillId="0" borderId="0" xfId="0" applyFont="1" applyAlignment="1">
      <alignment shrinkToFit="1"/>
    </xf>
    <xf numFmtId="0" fontId="34" fillId="0" borderId="0" xfId="0" applyFont="1" applyAlignment="1">
      <alignment vertical="center" shrinkToFit="1"/>
    </xf>
    <xf numFmtId="172" fontId="3" fillId="2" borderId="4" xfId="0" applyNumberFormat="1" applyFont="1" applyFill="1" applyBorder="1" applyAlignment="1">
      <alignment horizontal="right" vertical="center" indent="1" shrinkToFit="1"/>
    </xf>
    <xf numFmtId="172" fontId="3" fillId="0" borderId="0" xfId="0" applyNumberFormat="1" applyFont="1" applyAlignment="1">
      <alignment horizontal="right" vertical="center" indent="1"/>
    </xf>
    <xf numFmtId="172" fontId="3" fillId="2" borderId="2" xfId="0" applyNumberFormat="1" applyFont="1" applyFill="1" applyBorder="1" applyAlignment="1">
      <alignment horizontal="right" vertical="center" indent="1" shrinkToFit="1"/>
    </xf>
    <xf numFmtId="176" fontId="3" fillId="0" borderId="0" xfId="0" applyNumberFormat="1" applyFont="1" applyAlignment="1">
      <alignment horizontal="left" vertical="center" shrinkToFit="1"/>
    </xf>
    <xf numFmtId="172" fontId="3" fillId="0" borderId="2" xfId="0" applyNumberFormat="1" applyFont="1" applyBorder="1" applyAlignment="1">
      <alignment horizontal="right" vertical="center" indent="1" shrinkToFit="1"/>
    </xf>
    <xf numFmtId="0" fontId="58" fillId="2" borderId="0" xfId="0" applyFont="1" applyFill="1" applyAlignment="1">
      <alignment horizontal="left" shrinkToFit="1"/>
    </xf>
    <xf numFmtId="0" fontId="8" fillId="2" borderId="0" xfId="0" applyFont="1" applyFill="1" applyAlignment="1">
      <alignment horizontal="left" vertical="top" indent="2" shrinkToFit="1"/>
    </xf>
    <xf numFmtId="0" fontId="3" fillId="2" borderId="16" xfId="0" applyFont="1" applyFill="1" applyBorder="1" applyAlignment="1">
      <alignment horizontal="left" vertical="center" indent="2"/>
    </xf>
    <xf numFmtId="172" fontId="3" fillId="0" borderId="0" xfId="0" applyNumberFormat="1" applyFont="1" applyAlignment="1">
      <alignment horizontal="right" vertical="center" indent="1" shrinkToFit="1"/>
    </xf>
    <xf numFmtId="172" fontId="3" fillId="2" borderId="0" xfId="0" applyNumberFormat="1" applyFont="1" applyFill="1" applyAlignment="1">
      <alignment horizontal="right" vertical="center" indent="1" shrinkToFit="1"/>
    </xf>
    <xf numFmtId="168" fontId="3" fillId="2" borderId="0" xfId="2" applyFont="1" applyFill="1" applyBorder="1" applyAlignment="1">
      <alignment horizontal="right" vertical="center" shrinkToFit="1"/>
    </xf>
    <xf numFmtId="168" fontId="3" fillId="0" borderId="0" xfId="2" applyFont="1" applyBorder="1" applyAlignment="1">
      <alignment horizontal="right" vertical="center" shrinkToFit="1"/>
    </xf>
    <xf numFmtId="0" fontId="8" fillId="0" borderId="0" xfId="0" applyFont="1" applyAlignment="1">
      <alignment horizontal="left" indent="1" shrinkToFit="1"/>
    </xf>
    <xf numFmtId="170" fontId="8" fillId="2" borderId="4" xfId="2" applyNumberFormat="1" applyFont="1" applyFill="1" applyBorder="1" applyAlignment="1">
      <alignment horizontal="right" vertical="center" shrinkToFit="1"/>
    </xf>
    <xf numFmtId="170" fontId="8" fillId="0" borderId="0" xfId="2" applyNumberFormat="1" applyFont="1" applyBorder="1" applyAlignment="1">
      <alignment horizontal="right" vertical="center" shrinkToFit="1"/>
    </xf>
    <xf numFmtId="170" fontId="8" fillId="2" borderId="0" xfId="2" applyNumberFormat="1" applyFont="1" applyFill="1" applyBorder="1" applyAlignment="1">
      <alignment horizontal="right" vertical="center" shrinkToFit="1"/>
    </xf>
    <xf numFmtId="0" fontId="8" fillId="2" borderId="2" xfId="0" applyFont="1" applyFill="1" applyBorder="1" applyAlignment="1">
      <alignment horizontal="right" vertical="center" shrinkToFit="1"/>
    </xf>
    <xf numFmtId="172" fontId="3" fillId="2" borderId="5" xfId="0" applyNumberFormat="1" applyFont="1" applyFill="1" applyBorder="1" applyAlignment="1">
      <alignment horizontal="right" vertical="center" shrinkToFit="1"/>
    </xf>
    <xf numFmtId="172" fontId="3" fillId="0" borderId="5" xfId="0" applyNumberFormat="1" applyFont="1" applyBorder="1" applyAlignment="1">
      <alignment horizontal="right" vertical="center" shrinkToFit="1"/>
    </xf>
    <xf numFmtId="172" fontId="3" fillId="2" borderId="14" xfId="0" applyNumberFormat="1" applyFont="1" applyFill="1" applyBorder="1" applyAlignment="1">
      <alignment horizontal="right" vertical="center" shrinkToFit="1"/>
    </xf>
    <xf numFmtId="0" fontId="3" fillId="2" borderId="16" xfId="0" applyFont="1" applyFill="1" applyBorder="1" applyAlignment="1">
      <alignment horizontal="left" vertical="center" indent="2" shrinkToFit="1"/>
    </xf>
    <xf numFmtId="0" fontId="8" fillId="2" borderId="0" xfId="0" applyFont="1" applyFill="1" applyAlignment="1">
      <alignment horizontal="left" vertical="top" shrinkToFit="1"/>
    </xf>
    <xf numFmtId="3" fontId="32" fillId="2" borderId="4" xfId="0" applyNumberFormat="1" applyFont="1" applyFill="1" applyBorder="1" applyAlignment="1">
      <alignment horizontal="center" vertical="center" shrinkToFit="1"/>
    </xf>
    <xf numFmtId="3" fontId="3" fillId="0" borderId="0" xfId="2" applyNumberFormat="1" applyFont="1" applyBorder="1" applyAlignment="1">
      <alignment horizontal="center" vertical="center" shrinkToFit="1"/>
    </xf>
    <xf numFmtId="168" fontId="8" fillId="2" borderId="4" xfId="2" applyFont="1" applyFill="1" applyBorder="1" applyAlignment="1">
      <alignment horizontal="right" vertical="center" shrinkToFit="1"/>
    </xf>
    <xf numFmtId="168" fontId="8" fillId="0" borderId="0" xfId="2" applyFont="1" applyBorder="1" applyAlignment="1">
      <alignment horizontal="right" vertical="center" shrinkToFit="1"/>
    </xf>
    <xf numFmtId="168" fontId="8" fillId="2" borderId="0" xfId="2" applyFont="1" applyFill="1" applyBorder="1" applyAlignment="1">
      <alignment horizontal="right" vertical="center" shrinkToFit="1"/>
    </xf>
    <xf numFmtId="168" fontId="8" fillId="2" borderId="2" xfId="2" applyFont="1" applyFill="1" applyBorder="1" applyAlignment="1">
      <alignment horizontal="right" vertical="center" shrinkToFit="1"/>
    </xf>
    <xf numFmtId="168" fontId="3" fillId="2" borderId="19" xfId="2" applyFont="1" applyFill="1" applyBorder="1" applyAlignment="1">
      <alignment horizontal="right" vertical="center" shrinkToFit="1"/>
    </xf>
    <xf numFmtId="165" fontId="3" fillId="2" borderId="7" xfId="0" applyNumberFormat="1" applyFont="1" applyFill="1" applyBorder="1" applyAlignment="1">
      <alignment horizontal="right" vertical="center"/>
    </xf>
    <xf numFmtId="165" fontId="26" fillId="0" borderId="4" xfId="0" applyNumberFormat="1" applyFont="1" applyBorder="1" applyAlignment="1">
      <alignment horizontal="right" vertical="center" shrinkToFit="1"/>
    </xf>
    <xf numFmtId="172" fontId="26" fillId="2" borderId="4" xfId="0" applyNumberFormat="1" applyFont="1" applyFill="1" applyBorder="1" applyAlignment="1">
      <alignment horizontal="right" vertical="center" shrinkToFit="1"/>
    </xf>
    <xf numFmtId="0" fontId="14" fillId="2" borderId="16" xfId="0" applyFont="1" applyFill="1" applyBorder="1" applyAlignment="1">
      <alignment horizontal="left" vertical="center" shrinkToFit="1"/>
    </xf>
    <xf numFmtId="0" fontId="14" fillId="2" borderId="17" xfId="0" applyFont="1" applyFill="1" applyBorder="1" applyAlignment="1">
      <alignment horizontal="left" vertical="center" shrinkToFit="1"/>
    </xf>
    <xf numFmtId="0" fontId="14" fillId="2" borderId="20" xfId="0" applyFont="1" applyFill="1" applyBorder="1" applyAlignment="1">
      <alignment horizontal="left" vertical="center" shrinkToFit="1"/>
    </xf>
    <xf numFmtId="0" fontId="18" fillId="0" borderId="2" xfId="0" applyFont="1" applyBorder="1" applyAlignment="1">
      <alignment horizontal="left" vertical="center"/>
    </xf>
    <xf numFmtId="195" fontId="3" fillId="2" borderId="0" xfId="2" applyNumberFormat="1" applyFont="1" applyFill="1" applyBorder="1" applyAlignment="1">
      <alignment horizontal="right" vertical="center"/>
    </xf>
    <xf numFmtId="195" fontId="3" fillId="0" borderId="0" xfId="2" applyNumberFormat="1" applyFont="1" applyBorder="1" applyAlignment="1">
      <alignment horizontal="right" vertical="center"/>
    </xf>
  </cellXfs>
  <cellStyles count="5">
    <cellStyle name="Hyperlänk" xfId="4" builtinId="8"/>
    <cellStyle name="Normal" xfId="0" builtinId="0"/>
    <cellStyle name="Procent" xfId="3" builtinId="5"/>
    <cellStyle name="Tusental" xfId="1" builtinId="3"/>
    <cellStyle name="Valuta" xfId="2" builtinId="4"/>
  </cellStyles>
  <dxfs count="68"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FD7E0D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FD7E0D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FD7E0D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1C739D"/>
      <rgbColor rgb="FFB3B3B3"/>
      <rgbColor rgb="FF808080"/>
      <rgbColor rgb="FF9999FF"/>
      <rgbColor rgb="FF993366"/>
      <rgbColor rgb="FFF7F7F7"/>
      <rgbColor rgb="FFEBF1F5"/>
      <rgbColor rgb="FF660066"/>
      <rgbColor rgb="FFFF8080"/>
      <rgbColor rgb="FF0066CC"/>
      <rgbColor rgb="FFB1D7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EFE"/>
      <rgbColor rgb="FFFFE5CF"/>
      <rgbColor rgb="FFFFE6CE"/>
      <rgbColor rgb="FF91CEEB"/>
      <rgbColor rgb="FFFEB26E"/>
      <rgbColor rgb="FFCC99FF"/>
      <rgbColor rgb="FFFFC7CE"/>
      <rgbColor rgb="FF3366FF"/>
      <rgbColor rgb="FF35D140"/>
      <rgbColor rgb="FF99CC00"/>
      <rgbColor rgb="FFFFCC00"/>
      <rgbColor rgb="FFFF9900"/>
      <rgbColor rgb="FFFD7E0D"/>
      <rgbColor rgb="FF666699"/>
      <rgbColor rgb="FF8D8D8D"/>
      <rgbColor rgb="FF003959"/>
      <rgbColor rgb="FF3B9BCC"/>
      <rgbColor rgb="FF003300"/>
      <rgbColor rgb="FF333300"/>
      <rgbColor rgb="FF993300"/>
      <rgbColor rgb="FF993366"/>
      <rgbColor rgb="FF333399"/>
      <rgbColor rgb="FF4141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NOK - Safespring tjenester 2025'!A1"/><Relationship Id="rId2" Type="http://schemas.openxmlformats.org/officeDocument/2006/relationships/hyperlink" Target="#'SEK - Safesprings tj&#228;nster 2025'!A1"/><Relationship Id="rId1" Type="http://schemas.openxmlformats.org/officeDocument/2006/relationships/image" Target="../media/image1.png"/><Relationship Id="rId4" Type="http://schemas.openxmlformats.org/officeDocument/2006/relationships/hyperlink" Target="#'DKK - Safespring-tjenester 2025'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DKK - Safespring-tjenester 2025'!A1"/><Relationship Id="rId2" Type="http://schemas.openxmlformats.org/officeDocument/2006/relationships/hyperlink" Target="#'NOK - Safespring tjenester 2025'!A1"/><Relationship Id="rId1" Type="http://schemas.openxmlformats.org/officeDocument/2006/relationships/image" Target="../media/image1.png"/><Relationship Id="rId4" Type="http://schemas.openxmlformats.org/officeDocument/2006/relationships/hyperlink" Target="#'EUR - Safespring services 2025'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'DKK - Safespring-tjenester 2025'!A1"/><Relationship Id="rId2" Type="http://schemas.openxmlformats.org/officeDocument/2006/relationships/hyperlink" Target="#'SEK - Safesprings tj&#228;nster 2025'!A1"/><Relationship Id="rId1" Type="http://schemas.openxmlformats.org/officeDocument/2006/relationships/image" Target="../media/image1.png"/><Relationship Id="rId4" Type="http://schemas.openxmlformats.org/officeDocument/2006/relationships/hyperlink" Target="#'EUR - Safespring services 2025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NOK - Safesprings tjeneste 2021'!A1"/><Relationship Id="rId2" Type="http://schemas.openxmlformats.org/officeDocument/2006/relationships/hyperlink" Target="#'SEK - Safesprings tj&#228;nster 2021'.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'EUR - Safespring services 2021'!A1"/><Relationship Id="rId2" Type="http://schemas.openxmlformats.org/officeDocument/2006/relationships/hyperlink" Target="#'SEK - Safesprings tj&#228;nster 2021'.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'NOK - Safespring tjenester 2025'!A1"/><Relationship Id="rId2" Type="http://schemas.openxmlformats.org/officeDocument/2006/relationships/hyperlink" Target="#'SEK - Safesprings tj&#228;nster 2025'!A1"/><Relationship Id="rId1" Type="http://schemas.openxmlformats.org/officeDocument/2006/relationships/image" Target="../media/image1.png"/><Relationship Id="rId4" Type="http://schemas.openxmlformats.org/officeDocument/2006/relationships/hyperlink" Target="#'EUR - Safespring services 2025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2" name="Bildobjekt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3" name="Rektangel med rundade hörn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0</xdr:rowOff>
    </xdr:from>
    <xdr:to>
      <xdr:col>5</xdr:col>
      <xdr:colOff>209160</xdr:colOff>
      <xdr:row>9</xdr:row>
      <xdr:rowOff>177480</xdr:rowOff>
    </xdr:to>
    <xdr:sp macro="" textlink="">
      <xdr:nvSpPr>
        <xdr:cNvPr id="4" name="Rektangel med rundade hörn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2686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0</xdr:rowOff>
    </xdr:from>
    <xdr:to>
      <xdr:col>6</xdr:col>
      <xdr:colOff>380880</xdr:colOff>
      <xdr:row>9</xdr:row>
      <xdr:rowOff>177480</xdr:rowOff>
    </xdr:to>
    <xdr:sp macro="" textlink="">
      <xdr:nvSpPr>
        <xdr:cNvPr id="5" name="Rektangel med rundade hörn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854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6" name="Rektangel med rundade hörn 9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6" name="Bildobjekt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8" name="Rektangel med rundade hörn 3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169200</xdr:colOff>
      <xdr:row>8</xdr:row>
      <xdr:rowOff>0</xdr:rowOff>
    </xdr:from>
    <xdr:to>
      <xdr:col>5</xdr:col>
      <xdr:colOff>207000</xdr:colOff>
      <xdr:row>9</xdr:row>
      <xdr:rowOff>177480</xdr:rowOff>
    </xdr:to>
    <xdr:sp macro="" textlink="">
      <xdr:nvSpPr>
        <xdr:cNvPr id="9" name="Rektangel med rundade hörn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526644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338760</xdr:colOff>
      <xdr:row>8</xdr:row>
      <xdr:rowOff>0</xdr:rowOff>
    </xdr:from>
    <xdr:to>
      <xdr:col>6</xdr:col>
      <xdr:colOff>376560</xdr:colOff>
      <xdr:row>9</xdr:row>
      <xdr:rowOff>177480</xdr:rowOff>
    </xdr:to>
    <xdr:sp macro="" textlink="">
      <xdr:nvSpPr>
        <xdr:cNvPr id="10" name="Rektangel med rundade hörn 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648108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11" name="Rektangel med rundade hörn 1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12" name="Bildobjekt 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13" name="Rektangel med rundade hörn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0</xdr:rowOff>
    </xdr:from>
    <xdr:to>
      <xdr:col>5</xdr:col>
      <xdr:colOff>209160</xdr:colOff>
      <xdr:row>9</xdr:row>
      <xdr:rowOff>177480</xdr:rowOff>
    </xdr:to>
    <xdr:sp macro="" textlink="">
      <xdr:nvSpPr>
        <xdr:cNvPr id="14" name="Rektangel med rundade hörn 6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268600" y="2514600"/>
          <a:ext cx="108288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0</xdr:rowOff>
    </xdr:from>
    <xdr:to>
      <xdr:col>6</xdr:col>
      <xdr:colOff>380880</xdr:colOff>
      <xdr:row>9</xdr:row>
      <xdr:rowOff>177480</xdr:rowOff>
    </xdr:to>
    <xdr:sp macro="" textlink="">
      <xdr:nvSpPr>
        <xdr:cNvPr id="15" name="Rektangel med rundade hörn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64854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16" name="Rektangel med rundade hörn 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5760</xdr:colOff>
      <xdr:row>3</xdr:row>
      <xdr:rowOff>10800</xdr:rowOff>
    </xdr:from>
    <xdr:to>
      <xdr:col>1</xdr:col>
      <xdr:colOff>1710360</xdr:colOff>
      <xdr:row>4</xdr:row>
      <xdr:rowOff>58320</xdr:rowOff>
    </xdr:to>
    <xdr:pic>
      <xdr:nvPicPr>
        <xdr:cNvPr id="17" name="Bildobjekt 1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9520" y="953640"/>
          <a:ext cx="1704600" cy="3621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127080</xdr:rowOff>
    </xdr:from>
    <xdr:to>
      <xdr:col>4</xdr:col>
      <xdr:colOff>37800</xdr:colOff>
      <xdr:row>9</xdr:row>
      <xdr:rowOff>304560</xdr:rowOff>
    </xdr:to>
    <xdr:sp macro="" textlink="">
      <xdr:nvSpPr>
        <xdr:cNvPr id="18" name="Rektangel med rundade hörn 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4051800" y="264168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127080</xdr:rowOff>
    </xdr:from>
    <xdr:to>
      <xdr:col>5</xdr:col>
      <xdr:colOff>209160</xdr:colOff>
      <xdr:row>9</xdr:row>
      <xdr:rowOff>304560</xdr:rowOff>
    </xdr:to>
    <xdr:sp macro="" textlink="">
      <xdr:nvSpPr>
        <xdr:cNvPr id="19" name="Rektangel med rundade hörn 9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5268600" y="2641680"/>
          <a:ext cx="108288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127080</xdr:rowOff>
    </xdr:from>
    <xdr:to>
      <xdr:col>6</xdr:col>
      <xdr:colOff>380880</xdr:colOff>
      <xdr:row>9</xdr:row>
      <xdr:rowOff>304560</xdr:rowOff>
    </xdr:to>
    <xdr:sp macro="" textlink="">
      <xdr:nvSpPr>
        <xdr:cNvPr id="20" name="Rektangel med rundade hörn 1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6485400" y="264168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5760</xdr:colOff>
      <xdr:row>3</xdr:row>
      <xdr:rowOff>11520</xdr:rowOff>
    </xdr:from>
    <xdr:to>
      <xdr:col>1</xdr:col>
      <xdr:colOff>1704240</xdr:colOff>
      <xdr:row>4</xdr:row>
      <xdr:rowOff>57600</xdr:rowOff>
    </xdr:to>
    <xdr:pic>
      <xdr:nvPicPr>
        <xdr:cNvPr id="21" name="Bildobjekt 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9520" y="983160"/>
          <a:ext cx="1698480" cy="36972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127080</xdr:rowOff>
    </xdr:from>
    <xdr:to>
      <xdr:col>4</xdr:col>
      <xdr:colOff>37800</xdr:colOff>
      <xdr:row>9</xdr:row>
      <xdr:rowOff>304560</xdr:rowOff>
    </xdr:to>
    <xdr:sp macro="" textlink="">
      <xdr:nvSpPr>
        <xdr:cNvPr id="22" name="Rektangel med rundade hörn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4051800" y="2718000"/>
          <a:ext cx="1083240" cy="50112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127080</xdr:rowOff>
    </xdr:from>
    <xdr:to>
      <xdr:col>5</xdr:col>
      <xdr:colOff>209160</xdr:colOff>
      <xdr:row>9</xdr:row>
      <xdr:rowOff>304560</xdr:rowOff>
    </xdr:to>
    <xdr:sp macro="" textlink="">
      <xdr:nvSpPr>
        <xdr:cNvPr id="23" name="Rektangel med rundade hörn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5268600" y="2718000"/>
          <a:ext cx="1082880" cy="50112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127080</xdr:rowOff>
    </xdr:from>
    <xdr:to>
      <xdr:col>6</xdr:col>
      <xdr:colOff>380880</xdr:colOff>
      <xdr:row>9</xdr:row>
      <xdr:rowOff>304560</xdr:rowOff>
    </xdr:to>
    <xdr:sp macro="" textlink="">
      <xdr:nvSpPr>
        <xdr:cNvPr id="24" name="Rektangel med rundade hörn 5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6485400" y="2718000"/>
          <a:ext cx="1082880" cy="50112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5760</xdr:colOff>
      <xdr:row>3</xdr:row>
      <xdr:rowOff>2880</xdr:rowOff>
    </xdr:from>
    <xdr:to>
      <xdr:col>1</xdr:col>
      <xdr:colOff>1710360</xdr:colOff>
      <xdr:row>4</xdr:row>
      <xdr:rowOff>65880</xdr:rowOff>
    </xdr:to>
    <xdr:pic>
      <xdr:nvPicPr>
        <xdr:cNvPr id="25" name="Bildobjekt 1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9520" y="974520"/>
          <a:ext cx="1704600" cy="386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26" name="Bildobjekt 2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27" name="Rektangel med rundade hörn 10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0</xdr:rowOff>
    </xdr:from>
    <xdr:to>
      <xdr:col>5</xdr:col>
      <xdr:colOff>209160</xdr:colOff>
      <xdr:row>9</xdr:row>
      <xdr:rowOff>177480</xdr:rowOff>
    </xdr:to>
    <xdr:sp macro="" textlink="">
      <xdr:nvSpPr>
        <xdr:cNvPr id="28" name="Rektangel med rundade hörn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/>
      </xdr:nvSpPr>
      <xdr:spPr>
        <a:xfrm>
          <a:off x="52686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0</xdr:rowOff>
    </xdr:from>
    <xdr:to>
      <xdr:col>6</xdr:col>
      <xdr:colOff>380880</xdr:colOff>
      <xdr:row>9</xdr:row>
      <xdr:rowOff>177480</xdr:rowOff>
    </xdr:to>
    <xdr:sp macro="" textlink="">
      <xdr:nvSpPr>
        <xdr:cNvPr id="29" name="Rektangel med rundade hörn 12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/>
      </xdr:nvSpPr>
      <xdr:spPr>
        <a:xfrm>
          <a:off x="6485400" y="2514600"/>
          <a:ext cx="108288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30" name="Rektangel med rundade hörn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Safespring 1">
      <a:dk1>
        <a:srgbClr val="414141"/>
      </a:dk1>
      <a:lt1>
        <a:srgbClr val="FAFEFE"/>
      </a:lt1>
      <a:dk2>
        <a:srgbClr val="414141"/>
      </a:dk2>
      <a:lt2>
        <a:srgbClr val="FAFEFE"/>
      </a:lt2>
      <a:accent1>
        <a:srgbClr val="3B9BCC"/>
      </a:accent1>
      <a:accent2>
        <a:srgbClr val="FD7E0D"/>
      </a:accent2>
      <a:accent3>
        <a:srgbClr val="FD7E0D"/>
      </a:accent3>
      <a:accent4>
        <a:srgbClr val="00EE77"/>
      </a:accent4>
      <a:accent5>
        <a:srgbClr val="1C739D"/>
      </a:accent5>
      <a:accent6>
        <a:srgbClr val="35D140"/>
      </a:accent6>
      <a:hlink>
        <a:srgbClr val="FD7E0D"/>
      </a:hlink>
      <a:folHlink>
        <a:srgbClr val="FD7E0D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mailto:sales@safespring.se" TargetMode="External"/><Relationship Id="rId1" Type="http://schemas.openxmlformats.org/officeDocument/2006/relationships/hyperlink" Target="mailto:sales@safespring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mailto:sales@safespring.se" TargetMode="External"/><Relationship Id="rId1" Type="http://schemas.openxmlformats.org/officeDocument/2006/relationships/hyperlink" Target="mailto:sales@safespring.se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hyperlink" Target="mailto:sales@safespring.se" TargetMode="External"/><Relationship Id="rId1" Type="http://schemas.openxmlformats.org/officeDocument/2006/relationships/hyperlink" Target="mailto:sales@safespring.se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313"/>
  <sheetViews>
    <sheetView showGridLines="0" zoomScaleNormal="100" workbookViewId="0">
      <selection activeCell="I25" sqref="I25"/>
    </sheetView>
  </sheetViews>
  <sheetFormatPr baseColWidth="10" defaultColWidth="15" defaultRowHeight="25" customHeight="1"/>
  <cols>
    <col min="1" max="1" width="11.83203125" style="10" customWidth="1"/>
    <col min="2" max="2" width="30.83203125" style="11" customWidth="1"/>
    <col min="3" max="7" width="14.83203125" style="12" customWidth="1"/>
    <col min="8" max="8" width="14.83203125" style="957" customWidth="1"/>
    <col min="9" max="10" width="14.83203125" style="12" customWidth="1"/>
    <col min="11" max="11" width="14.83203125" style="13" customWidth="1"/>
    <col min="12" max="12" width="14.83203125" style="12" customWidth="1"/>
    <col min="13" max="13" width="14.83203125" style="14" customWidth="1"/>
    <col min="14" max="14" width="14.83203125" style="12" customWidth="1"/>
    <col min="15" max="16384" width="15" style="12"/>
  </cols>
  <sheetData>
    <row r="1" spans="1:26" ht="25" customHeight="1">
      <c r="A1" s="15"/>
      <c r="B1" s="16"/>
      <c r="C1" s="9"/>
      <c r="D1" s="17"/>
      <c r="E1" s="17"/>
      <c r="F1" s="17"/>
      <c r="G1" s="17"/>
      <c r="H1" s="953"/>
      <c r="I1" s="17"/>
      <c r="J1" s="17"/>
      <c r="K1" s="18"/>
      <c r="L1" s="19"/>
      <c r="M1" s="20"/>
    </row>
    <row r="2" spans="1:26" ht="25" customHeight="1">
      <c r="A2" s="15"/>
      <c r="B2" s="16"/>
      <c r="C2" s="9"/>
      <c r="D2" s="17"/>
      <c r="E2" s="17"/>
      <c r="F2" s="17"/>
      <c r="G2" s="17"/>
      <c r="H2" s="953"/>
      <c r="I2" s="17"/>
      <c r="J2" s="17"/>
      <c r="K2" s="18"/>
      <c r="L2" s="19"/>
      <c r="M2" s="20"/>
    </row>
    <row r="3" spans="1:26" ht="25" customHeight="1">
      <c r="A3" s="15"/>
      <c r="B3" s="16"/>
      <c r="C3" s="9"/>
      <c r="D3" s="17"/>
      <c r="E3" s="17"/>
      <c r="F3" s="17"/>
      <c r="G3" s="17"/>
      <c r="H3" s="953"/>
      <c r="I3" s="17"/>
      <c r="J3" s="17"/>
      <c r="K3" s="18"/>
      <c r="L3" s="19"/>
      <c r="M3" s="20"/>
    </row>
    <row r="4" spans="1:26" ht="25" customHeight="1">
      <c r="A4" s="15"/>
      <c r="B4" s="983"/>
      <c r="C4" s="983"/>
      <c r="D4" s="17"/>
      <c r="E4" s="17"/>
      <c r="F4" s="17"/>
      <c r="G4" s="17"/>
      <c r="H4" s="953"/>
      <c r="I4" s="17"/>
      <c r="J4" s="17"/>
      <c r="K4" s="18"/>
      <c r="L4" s="19"/>
      <c r="M4" s="20"/>
    </row>
    <row r="5" spans="1:26" ht="25" customHeight="1">
      <c r="A5" s="15"/>
      <c r="B5" s="21" t="s">
        <v>726</v>
      </c>
      <c r="C5" s="22"/>
      <c r="D5" s="17"/>
      <c r="E5" s="17"/>
      <c r="F5" s="17"/>
      <c r="G5" s="17"/>
      <c r="H5" s="953"/>
      <c r="I5" s="17"/>
      <c r="J5" s="17"/>
      <c r="K5" s="18"/>
      <c r="L5" s="19"/>
      <c r="M5" s="20"/>
    </row>
    <row r="6" spans="1:26" ht="25" customHeight="1">
      <c r="A6" s="15"/>
      <c r="B6" s="23"/>
      <c r="C6" s="9"/>
      <c r="D6" s="17"/>
      <c r="E6" s="17"/>
      <c r="F6" s="17"/>
      <c r="G6" s="17"/>
      <c r="H6" s="953"/>
      <c r="I6" s="17"/>
      <c r="J6" s="17"/>
      <c r="K6" s="18"/>
      <c r="L6" s="19"/>
      <c r="M6" s="20"/>
    </row>
    <row r="7" spans="1:26" ht="25" customHeight="1">
      <c r="A7" s="15"/>
      <c r="B7" s="24"/>
      <c r="C7" s="9"/>
      <c r="D7" s="17"/>
      <c r="E7" s="17"/>
      <c r="F7" s="17"/>
      <c r="G7" s="17"/>
      <c r="H7" s="953"/>
      <c r="I7" s="17"/>
      <c r="J7" s="17"/>
      <c r="K7" s="18"/>
      <c r="L7" s="19"/>
      <c r="M7" s="20"/>
    </row>
    <row r="8" spans="1:26" ht="25" customHeight="1">
      <c r="A8" s="15"/>
      <c r="B8" s="25" t="s">
        <v>0</v>
      </c>
      <c r="C8" s="9"/>
      <c r="D8" s="26" t="s">
        <v>1</v>
      </c>
      <c r="E8" s="17"/>
      <c r="F8" s="17"/>
      <c r="G8" s="17"/>
      <c r="H8" s="953"/>
      <c r="I8" s="17"/>
      <c r="J8" s="17"/>
      <c r="K8" s="18"/>
      <c r="L8" s="19"/>
      <c r="M8" s="20"/>
    </row>
    <row r="9" spans="1:26" ht="25" customHeight="1">
      <c r="A9" s="15"/>
      <c r="B9" s="27" t="s">
        <v>2</v>
      </c>
      <c r="C9" s="9"/>
      <c r="D9" s="17"/>
      <c r="E9" s="17"/>
      <c r="F9" s="17"/>
      <c r="G9" s="17"/>
      <c r="H9" s="953"/>
      <c r="I9" s="17"/>
      <c r="J9" s="17"/>
      <c r="K9" s="18"/>
      <c r="L9" s="19"/>
      <c r="M9" s="20"/>
    </row>
    <row r="10" spans="1:26" ht="25" customHeight="1">
      <c r="A10" s="15"/>
      <c r="B10" s="28" t="s">
        <v>3</v>
      </c>
      <c r="C10" s="29"/>
      <c r="D10" s="17"/>
      <c r="E10" s="17"/>
      <c r="F10" s="17"/>
      <c r="G10" s="17"/>
      <c r="H10" s="953"/>
      <c r="I10" s="17"/>
      <c r="J10" s="17"/>
      <c r="K10" s="18"/>
      <c r="L10" s="19"/>
      <c r="M10" s="20"/>
    </row>
    <row r="11" spans="1:26" s="38" customFormat="1" ht="25" customHeight="1">
      <c r="A11" s="30"/>
      <c r="B11" s="31"/>
      <c r="C11" s="32"/>
      <c r="D11" s="33"/>
      <c r="E11" s="33"/>
      <c r="F11" s="33"/>
      <c r="G11" s="34"/>
      <c r="H11" s="34"/>
      <c r="I11" s="35"/>
      <c r="J11" s="33"/>
      <c r="K11" s="36"/>
      <c r="L11" s="37"/>
      <c r="M11" s="20"/>
    </row>
    <row r="12" spans="1:26" s="38" customFormat="1" ht="25" customHeight="1">
      <c r="A12" s="39"/>
      <c r="B12" s="40"/>
      <c r="C12" s="41"/>
      <c r="D12" s="42"/>
      <c r="E12" s="42"/>
      <c r="F12" s="42"/>
      <c r="G12" s="43"/>
      <c r="H12" s="43"/>
      <c r="I12" s="44"/>
      <c r="J12" s="42"/>
      <c r="K12" s="45"/>
      <c r="L12" s="46"/>
      <c r="M12" s="20"/>
    </row>
    <row r="13" spans="1:26" s="38" customFormat="1" ht="25" customHeight="1">
      <c r="A13" s="47"/>
      <c r="B13" s="48"/>
      <c r="G13" s="49"/>
      <c r="H13" s="49"/>
      <c r="I13" s="50"/>
      <c r="K13" s="51"/>
      <c r="L13" s="52"/>
      <c r="M13" s="20"/>
    </row>
    <row r="14" spans="1:26" s="38" customFormat="1" ht="25" customHeight="1">
      <c r="A14" s="47"/>
      <c r="B14" s="48"/>
      <c r="G14" s="49"/>
      <c r="H14" s="49"/>
      <c r="I14" s="50"/>
      <c r="K14" s="51"/>
      <c r="L14" s="52"/>
      <c r="M14" s="20"/>
    </row>
    <row r="15" spans="1:26" s="38" customFormat="1" ht="25" customHeight="1">
      <c r="A15" s="47"/>
      <c r="B15" s="982" t="s">
        <v>718</v>
      </c>
      <c r="C15" s="982"/>
      <c r="D15" s="982"/>
      <c r="E15" s="982"/>
      <c r="F15" s="982"/>
      <c r="G15" s="982"/>
      <c r="H15" s="982"/>
      <c r="I15" s="982"/>
      <c r="J15" s="982"/>
      <c r="K15" s="982"/>
      <c r="L15" s="986"/>
      <c r="M15" s="20"/>
      <c r="N15" s="12"/>
      <c r="S15" s="54"/>
      <c r="X15" s="54"/>
      <c r="Y15" s="54"/>
      <c r="Z15" s="54"/>
    </row>
    <row r="16" spans="1:26" s="38" customFormat="1" ht="25" customHeight="1">
      <c r="A16" s="47"/>
      <c r="B16" s="982"/>
      <c r="C16" s="982"/>
      <c r="D16" s="982"/>
      <c r="E16" s="982"/>
      <c r="F16" s="982"/>
      <c r="G16" s="982"/>
      <c r="H16" s="982"/>
      <c r="I16" s="982"/>
      <c r="J16" s="982"/>
      <c r="K16" s="982"/>
      <c r="L16" s="986"/>
      <c r="M16" s="20"/>
      <c r="N16" s="12"/>
      <c r="S16" s="54"/>
      <c r="X16" s="54"/>
      <c r="Y16" s="54"/>
      <c r="Z16" s="54"/>
    </row>
    <row r="17" spans="1:26" s="38" customFormat="1" ht="25" customHeight="1">
      <c r="A17" s="47"/>
      <c r="B17" s="982"/>
      <c r="C17" s="982"/>
      <c r="D17" s="982"/>
      <c r="E17" s="982"/>
      <c r="F17" s="982"/>
      <c r="G17" s="982"/>
      <c r="H17" s="982"/>
      <c r="I17" s="982"/>
      <c r="J17" s="982"/>
      <c r="K17" s="982"/>
      <c r="L17" s="986"/>
      <c r="M17" s="20"/>
      <c r="N17" s="12"/>
      <c r="S17" s="54"/>
      <c r="X17" s="54"/>
      <c r="Y17" s="54"/>
      <c r="Z17" s="54"/>
    </row>
    <row r="18" spans="1:26" s="38" customFormat="1" ht="25" customHeight="1">
      <c r="A18" s="47"/>
      <c r="B18" s="8" t="s">
        <v>6</v>
      </c>
      <c r="C18" s="8"/>
      <c r="D18" s="8"/>
      <c r="E18" s="8"/>
      <c r="F18" s="8"/>
      <c r="G18" s="57"/>
      <c r="H18" s="58"/>
      <c r="J18" s="59"/>
      <c r="K18" s="413"/>
      <c r="L18" s="61"/>
      <c r="M18" s="20"/>
      <c r="N18" s="12"/>
      <c r="S18" s="54"/>
      <c r="T18" s="54"/>
      <c r="U18" s="54"/>
      <c r="V18" s="54"/>
      <c r="W18" s="54"/>
      <c r="X18" s="54"/>
      <c r="Y18" s="54"/>
      <c r="Z18" s="54"/>
    </row>
    <row r="19" spans="1:26" s="38" customFormat="1" ht="25" customHeight="1">
      <c r="A19" s="47"/>
      <c r="B19" s="62" t="s">
        <v>7</v>
      </c>
      <c r="C19" s="62"/>
      <c r="D19" s="62"/>
      <c r="E19" s="62"/>
      <c r="F19" s="62"/>
      <c r="G19" s="57"/>
      <c r="H19" s="58"/>
      <c r="I19" s="57"/>
      <c r="J19" s="59"/>
      <c r="K19" s="413"/>
      <c r="L19" s="61"/>
      <c r="M19" s="20"/>
      <c r="N19" s="12"/>
      <c r="S19" s="54"/>
      <c r="T19" s="54"/>
      <c r="U19" s="54"/>
      <c r="V19" s="54"/>
      <c r="W19" s="66"/>
      <c r="X19" s="161"/>
      <c r="Y19" s="54"/>
      <c r="Z19" s="54"/>
    </row>
    <row r="20" spans="1:26" s="38" customFormat="1" ht="25" customHeight="1">
      <c r="A20" s="47"/>
      <c r="B20" s="8"/>
      <c r="C20" s="64"/>
      <c r="D20" s="64"/>
      <c r="E20" s="64"/>
      <c r="F20" s="64"/>
      <c r="G20" s="57"/>
      <c r="H20" s="58"/>
      <c r="I20" s="57"/>
      <c r="J20" s="59"/>
      <c r="K20" s="413"/>
      <c r="L20" s="61"/>
      <c r="M20" s="20"/>
      <c r="N20" s="12"/>
      <c r="P20" s="12"/>
      <c r="Q20" s="12"/>
      <c r="R20" s="12"/>
      <c r="S20" s="54"/>
      <c r="T20" s="54"/>
      <c r="U20" s="54"/>
      <c r="V20" s="54"/>
      <c r="W20" s="54"/>
      <c r="X20" s="54"/>
      <c r="Y20" s="66"/>
      <c r="Z20" s="54"/>
    </row>
    <row r="21" spans="1:26" s="38" customFormat="1" ht="25" customHeight="1">
      <c r="A21" s="47"/>
      <c r="B21" s="8"/>
      <c r="C21" s="64"/>
      <c r="D21" s="64"/>
      <c r="E21" s="64"/>
      <c r="F21" s="64"/>
      <c r="G21" s="57"/>
      <c r="H21" s="58"/>
      <c r="I21" s="57"/>
      <c r="J21" s="59"/>
      <c r="K21" s="413"/>
      <c r="L21" s="61"/>
      <c r="M21" s="20"/>
      <c r="N21" s="12"/>
      <c r="P21" s="12"/>
      <c r="Q21" s="12"/>
      <c r="R21" s="12"/>
      <c r="S21" s="54"/>
      <c r="T21" s="54"/>
      <c r="U21" s="54"/>
      <c r="V21" s="54"/>
      <c r="W21" s="54"/>
      <c r="X21" s="54"/>
      <c r="Y21" s="66"/>
      <c r="Z21" s="54"/>
    </row>
    <row r="22" spans="1:26" s="73" customFormat="1" ht="25" customHeight="1">
      <c r="A22" s="67"/>
      <c r="B22" s="68" t="s">
        <v>721</v>
      </c>
      <c r="C22" s="69"/>
      <c r="D22" s="69"/>
      <c r="E22" s="69"/>
      <c r="F22" s="69"/>
      <c r="G22" s="69"/>
      <c r="H22" s="70"/>
      <c r="I22" s="71"/>
      <c r="J22" s="71"/>
      <c r="K22" s="414"/>
      <c r="M22" s="20"/>
      <c r="N22" s="12"/>
      <c r="P22" s="74"/>
      <c r="Q22" s="74"/>
      <c r="R22" s="75"/>
    </row>
    <row r="23" spans="1:26" ht="25" customHeight="1">
      <c r="B23" s="985" t="s">
        <v>722</v>
      </c>
      <c r="C23" s="985"/>
      <c r="D23" s="985"/>
      <c r="E23" s="985"/>
      <c r="H23" s="12"/>
      <c r="K23" s="131"/>
      <c r="M23" s="20"/>
    </row>
    <row r="24" spans="1:26" s="82" customFormat="1" ht="25" customHeight="1">
      <c r="A24" s="77"/>
      <c r="B24" s="78" t="s">
        <v>10</v>
      </c>
      <c r="C24" s="79"/>
      <c r="D24" s="79"/>
      <c r="E24" s="6"/>
      <c r="F24" s="6"/>
      <c r="G24" s="6" t="s">
        <v>14</v>
      </c>
      <c r="H24" s="6" t="s">
        <v>15</v>
      </c>
      <c r="I24" s="80" t="s">
        <v>16</v>
      </c>
      <c r="J24" s="79"/>
      <c r="K24" s="81" t="s">
        <v>17</v>
      </c>
      <c r="M24" s="20"/>
      <c r="N24" s="12"/>
      <c r="O24" s="12"/>
      <c r="P24" s="66"/>
      <c r="Q24" s="66"/>
      <c r="R24" s="83"/>
    </row>
    <row r="25" spans="1:26" s="54" customFormat="1" ht="25" customHeight="1">
      <c r="A25" s="47"/>
      <c r="B25" s="137" t="s">
        <v>716</v>
      </c>
      <c r="C25" s="85"/>
      <c r="D25" s="85"/>
      <c r="E25" s="86"/>
      <c r="F25" s="86"/>
      <c r="G25" s="1093">
        <f t="shared" ref="G25:G26" si="0">H25/720</f>
        <v>0.68055555555555558</v>
      </c>
      <c r="H25" s="1093">
        <v>490</v>
      </c>
      <c r="I25" s="88"/>
      <c r="J25" s="32"/>
      <c r="K25" s="138">
        <f t="shared" ref="K25:K26" si="1">ROUNDUP(I25*H25,2)</f>
        <v>0</v>
      </c>
      <c r="M25" s="20"/>
      <c r="N25" s="12"/>
      <c r="O25" s="12"/>
      <c r="P25" s="66"/>
      <c r="R25" s="66"/>
    </row>
    <row r="26" spans="1:26" s="54" customFormat="1" ht="25" customHeight="1">
      <c r="A26" s="47"/>
      <c r="B26" s="139" t="s">
        <v>717</v>
      </c>
      <c r="C26" s="91"/>
      <c r="D26" s="91"/>
      <c r="E26" s="92"/>
      <c r="F26" s="92"/>
      <c r="G26" s="1094">
        <f t="shared" si="0"/>
        <v>0</v>
      </c>
      <c r="H26" s="1094">
        <v>0</v>
      </c>
      <c r="I26" s="88"/>
      <c r="J26" s="94"/>
      <c r="K26" s="140">
        <f t="shared" si="1"/>
        <v>0</v>
      </c>
      <c r="M26" s="20"/>
      <c r="N26" s="12"/>
      <c r="P26" s="66"/>
      <c r="R26" s="66"/>
    </row>
    <row r="27" spans="1:26" s="38" customFormat="1" ht="25" customHeight="1">
      <c r="A27" s="47"/>
      <c r="B27" s="97" t="s">
        <v>27</v>
      </c>
      <c r="C27" s="98"/>
      <c r="D27" s="98"/>
      <c r="E27" s="159"/>
      <c r="F27" s="159"/>
      <c r="G27" s="98"/>
      <c r="H27" s="98"/>
      <c r="I27" s="98" t="str">
        <f>SUM(I14:I26)&amp;" st"</f>
        <v>0 st</v>
      </c>
      <c r="J27" s="98"/>
      <c r="K27" s="142">
        <f>SUM(K14:K26)</f>
        <v>0</v>
      </c>
      <c r="L27" s="52"/>
      <c r="M27" s="20"/>
      <c r="N27" s="12"/>
    </row>
    <row r="28" spans="1:26" s="38" customFormat="1" ht="25" customHeight="1">
      <c r="A28" s="47"/>
      <c r="B28" s="950"/>
      <c r="C28" s="258"/>
      <c r="D28" s="258"/>
      <c r="E28" s="981"/>
      <c r="F28" s="981"/>
      <c r="G28" s="258"/>
      <c r="H28" s="258"/>
      <c r="I28" s="258"/>
      <c r="J28" s="258"/>
      <c r="K28" s="980"/>
      <c r="L28" s="52"/>
      <c r="M28" s="20"/>
      <c r="N28" s="12"/>
    </row>
    <row r="29" spans="1:26" s="38" customFormat="1" ht="25" customHeight="1">
      <c r="A29" s="47"/>
      <c r="B29" s="48"/>
      <c r="D29" s="258"/>
      <c r="G29" s="49"/>
      <c r="H29" s="49"/>
      <c r="I29" s="50"/>
      <c r="K29" s="412"/>
      <c r="L29" s="52"/>
      <c r="M29" s="20"/>
      <c r="N29" s="12"/>
    </row>
    <row r="30" spans="1:26" s="38" customFormat="1" ht="25" customHeight="1">
      <c r="A30" s="47"/>
      <c r="B30" s="982" t="s">
        <v>4</v>
      </c>
      <c r="C30" s="982"/>
      <c r="D30" s="982"/>
      <c r="E30" s="982"/>
      <c r="F30" s="982"/>
      <c r="G30" s="982"/>
      <c r="H30" s="954"/>
      <c r="J30" s="53"/>
      <c r="K30" s="51"/>
      <c r="L30" s="52"/>
      <c r="M30" s="20"/>
      <c r="S30" s="54"/>
      <c r="X30" s="54"/>
      <c r="Y30" s="54"/>
      <c r="Z30" s="54"/>
    </row>
    <row r="31" spans="1:26" s="38" customFormat="1" ht="25" customHeight="1">
      <c r="A31" s="47"/>
      <c r="B31" s="982"/>
      <c r="C31" s="982"/>
      <c r="D31" s="982"/>
      <c r="E31" s="982"/>
      <c r="F31" s="982"/>
      <c r="G31" s="982"/>
      <c r="H31" s="954"/>
      <c r="J31" s="53"/>
      <c r="K31" s="51"/>
      <c r="L31" s="52"/>
      <c r="M31" s="20"/>
      <c r="S31" s="54"/>
      <c r="X31" s="54"/>
      <c r="Y31" s="54"/>
      <c r="Z31" s="54"/>
    </row>
    <row r="32" spans="1:26" s="38" customFormat="1" ht="25" customHeight="1">
      <c r="A32" s="47"/>
      <c r="B32" s="982"/>
      <c r="C32" s="982"/>
      <c r="D32" s="982"/>
      <c r="E32" s="982"/>
      <c r="F32" s="982"/>
      <c r="G32" s="982"/>
      <c r="H32" s="954"/>
      <c r="J32" s="53"/>
      <c r="K32" s="51"/>
      <c r="L32" s="52"/>
      <c r="M32" s="20"/>
      <c r="S32" s="54"/>
      <c r="X32" s="54"/>
      <c r="Y32" s="54"/>
      <c r="Z32" s="54"/>
    </row>
    <row r="33" spans="1:26" s="38" customFormat="1" ht="25" customHeight="1">
      <c r="A33" s="47"/>
      <c r="B33" s="55" t="s">
        <v>5</v>
      </c>
      <c r="C33" s="56"/>
      <c r="D33" s="56"/>
      <c r="E33" s="56"/>
      <c r="F33" s="56"/>
      <c r="H33" s="954"/>
      <c r="J33" s="53"/>
      <c r="K33" s="51"/>
      <c r="L33" s="52"/>
      <c r="M33" s="20"/>
      <c r="S33" s="54"/>
      <c r="T33" s="54"/>
      <c r="U33" s="54"/>
      <c r="V33" s="54"/>
      <c r="W33" s="54"/>
      <c r="X33" s="54"/>
      <c r="Y33" s="54"/>
      <c r="Z33" s="54"/>
    </row>
    <row r="34" spans="1:26" s="38" customFormat="1" ht="25" customHeight="1">
      <c r="A34" s="47"/>
      <c r="B34" s="8" t="s">
        <v>6</v>
      </c>
      <c r="C34" s="8"/>
      <c r="D34" s="8"/>
      <c r="E34" s="8"/>
      <c r="F34" s="8"/>
      <c r="G34" s="57"/>
      <c r="H34" s="955"/>
      <c r="J34" s="59"/>
      <c r="K34" s="60"/>
      <c r="L34" s="61"/>
      <c r="M34" s="20"/>
      <c r="S34" s="54"/>
      <c r="T34" s="54"/>
      <c r="U34" s="54"/>
      <c r="V34" s="54"/>
      <c r="W34" s="54"/>
      <c r="X34" s="54"/>
      <c r="Y34" s="54"/>
      <c r="Z34" s="54"/>
    </row>
    <row r="35" spans="1:26" s="38" customFormat="1" ht="25" customHeight="1">
      <c r="A35" s="47"/>
      <c r="B35" s="62" t="s">
        <v>7</v>
      </c>
      <c r="C35" s="63"/>
      <c r="D35" s="63"/>
      <c r="E35" s="64"/>
      <c r="F35" s="64"/>
      <c r="G35" s="57"/>
      <c r="H35" s="955"/>
      <c r="I35" s="57"/>
      <c r="J35" s="59"/>
      <c r="K35" s="60"/>
      <c r="L35" s="65"/>
      <c r="M35" s="20"/>
      <c r="O35" s="54"/>
      <c r="P35" s="54"/>
    </row>
    <row r="36" spans="1:26" s="38" customFormat="1" ht="25" customHeight="1">
      <c r="A36" s="47"/>
      <c r="B36" s="8"/>
      <c r="C36" s="64"/>
      <c r="D36" s="64"/>
      <c r="E36" s="64"/>
      <c r="F36" s="64"/>
      <c r="G36" s="57"/>
      <c r="H36" s="955"/>
      <c r="I36" s="57"/>
      <c r="J36" s="59"/>
      <c r="K36" s="60"/>
      <c r="L36" s="61"/>
      <c r="M36" s="20"/>
      <c r="P36" s="12"/>
      <c r="Q36" s="12"/>
      <c r="R36" s="12"/>
      <c r="S36" s="54"/>
      <c r="T36" s="54"/>
      <c r="U36" s="54"/>
      <c r="V36" s="54"/>
      <c r="W36" s="54"/>
      <c r="X36" s="54"/>
      <c r="Y36" s="66"/>
      <c r="Z36" s="54"/>
    </row>
    <row r="37" spans="1:26" s="38" customFormat="1" ht="25" customHeight="1">
      <c r="A37" s="47"/>
      <c r="B37" s="8"/>
      <c r="C37" s="64"/>
      <c r="D37" s="64"/>
      <c r="E37" s="64"/>
      <c r="F37" s="64"/>
      <c r="G37" s="57"/>
      <c r="H37" s="955"/>
      <c r="I37" s="57"/>
      <c r="J37" s="59"/>
      <c r="K37" s="60"/>
      <c r="L37" s="61"/>
      <c r="M37" s="20"/>
      <c r="P37" s="12"/>
      <c r="Q37" s="12"/>
      <c r="R37" s="12"/>
      <c r="S37" s="54"/>
      <c r="T37" s="54"/>
      <c r="U37" s="54"/>
      <c r="V37" s="54"/>
      <c r="W37" s="54"/>
      <c r="X37" s="54"/>
      <c r="Y37" s="66"/>
      <c r="Z37" s="54"/>
    </row>
    <row r="38" spans="1:26" s="73" customFormat="1" ht="25" customHeight="1">
      <c r="A38" s="67"/>
      <c r="B38" s="68" t="s">
        <v>8</v>
      </c>
      <c r="C38" s="69"/>
      <c r="D38" s="69"/>
      <c r="E38" s="69"/>
      <c r="F38" s="69"/>
      <c r="G38" s="69"/>
      <c r="H38" s="956"/>
      <c r="I38" s="71"/>
      <c r="J38" s="71"/>
      <c r="K38" s="72"/>
      <c r="M38" s="20"/>
      <c r="P38" s="74"/>
      <c r="Q38" s="74"/>
      <c r="R38" s="75"/>
    </row>
    <row r="39" spans="1:26" ht="25" customHeight="1">
      <c r="B39" s="76" t="s">
        <v>9</v>
      </c>
      <c r="C39" s="76"/>
      <c r="D39" s="76"/>
      <c r="E39" s="76"/>
      <c r="F39" s="76"/>
      <c r="M39" s="20"/>
    </row>
    <row r="40" spans="1:26" s="82" customFormat="1" ht="25" customHeight="1">
      <c r="A40" s="77"/>
      <c r="B40" s="78" t="s">
        <v>10</v>
      </c>
      <c r="C40" s="79" t="s">
        <v>11</v>
      </c>
      <c r="D40" s="79" t="s">
        <v>12</v>
      </c>
      <c r="E40" s="6" t="s">
        <v>13</v>
      </c>
      <c r="F40" s="6" t="s">
        <v>14</v>
      </c>
      <c r="G40" s="6" t="s">
        <v>15</v>
      </c>
      <c r="H40" s="79"/>
      <c r="I40" s="80" t="s">
        <v>16</v>
      </c>
      <c r="J40" s="79"/>
      <c r="K40" s="81" t="s">
        <v>17</v>
      </c>
      <c r="M40" s="20"/>
      <c r="N40" s="12"/>
      <c r="O40" s="12"/>
      <c r="P40" s="66"/>
      <c r="Q40" s="66"/>
      <c r="R40" s="83"/>
    </row>
    <row r="41" spans="1:26" s="54" customFormat="1" ht="25" customHeight="1">
      <c r="A41" s="47"/>
      <c r="B41" s="137" t="s">
        <v>199</v>
      </c>
      <c r="C41" s="85">
        <v>2</v>
      </c>
      <c r="D41" s="85">
        <v>4</v>
      </c>
      <c r="E41" s="86">
        <v>100</v>
      </c>
      <c r="F41" s="951">
        <f>G41/720</f>
        <v>6.2666666666666662E-2</v>
      </c>
      <c r="G41" s="87">
        <f t="shared" ref="G41:G54" si="2">C41*IAAS_vcpu_EUR+D41*IAAS_ram_EUR+E41*IAAS_nvme_EUR</f>
        <v>45.12</v>
      </c>
      <c r="H41" s="155"/>
      <c r="I41" s="88"/>
      <c r="J41" s="32"/>
      <c r="K41" s="89">
        <f t="shared" ref="K41:K54" si="3">ROUNDUP(I41*G41,2)</f>
        <v>0</v>
      </c>
      <c r="M41" s="20"/>
      <c r="P41" s="66"/>
      <c r="R41" s="66"/>
    </row>
    <row r="42" spans="1:26" s="54" customFormat="1" ht="25" customHeight="1">
      <c r="A42" s="47"/>
      <c r="B42" s="139" t="s">
        <v>200</v>
      </c>
      <c r="C42" s="91">
        <v>2</v>
      </c>
      <c r="D42" s="91">
        <v>4</v>
      </c>
      <c r="E42" s="92">
        <v>500</v>
      </c>
      <c r="F42" s="952">
        <f t="shared" ref="F42:F54" si="4">G42/720</f>
        <v>0.11488888888888889</v>
      </c>
      <c r="G42" s="93">
        <f t="shared" si="2"/>
        <v>82.72</v>
      </c>
      <c r="H42" s="53"/>
      <c r="I42" s="88"/>
      <c r="J42" s="94"/>
      <c r="K42" s="95">
        <f t="shared" si="3"/>
        <v>0</v>
      </c>
      <c r="M42" s="20"/>
      <c r="P42" s="66"/>
      <c r="R42" s="66"/>
    </row>
    <row r="43" spans="1:26" s="54" customFormat="1" ht="25" customHeight="1">
      <c r="A43" s="47"/>
      <c r="B43" s="137" t="s">
        <v>201</v>
      </c>
      <c r="C43" s="85">
        <v>2</v>
      </c>
      <c r="D43" s="85">
        <v>4</v>
      </c>
      <c r="E43" s="86">
        <v>1000</v>
      </c>
      <c r="F43" s="951">
        <f t="shared" si="4"/>
        <v>0.18016666666666667</v>
      </c>
      <c r="G43" s="87">
        <f t="shared" si="2"/>
        <v>129.72</v>
      </c>
      <c r="H43" s="155"/>
      <c r="I43" s="88"/>
      <c r="J43" s="32"/>
      <c r="K43" s="89">
        <f t="shared" si="3"/>
        <v>0</v>
      </c>
      <c r="M43" s="20"/>
      <c r="P43" s="66"/>
      <c r="R43" s="66"/>
    </row>
    <row r="44" spans="1:26" s="54" customFormat="1" ht="25" customHeight="1">
      <c r="A44" s="47"/>
      <c r="B44" s="139" t="s">
        <v>202</v>
      </c>
      <c r="C44" s="91">
        <v>4</v>
      </c>
      <c r="D44" s="91">
        <v>8</v>
      </c>
      <c r="E44" s="92">
        <v>100</v>
      </c>
      <c r="F44" s="952">
        <f t="shared" si="4"/>
        <v>0.11227777777777778</v>
      </c>
      <c r="G44" s="93">
        <f t="shared" si="2"/>
        <v>80.84</v>
      </c>
      <c r="H44" s="53"/>
      <c r="I44" s="88"/>
      <c r="J44" s="94"/>
      <c r="K44" s="95">
        <f t="shared" si="3"/>
        <v>0</v>
      </c>
      <c r="M44" s="20"/>
      <c r="P44" s="66"/>
      <c r="R44" s="66"/>
    </row>
    <row r="45" spans="1:26" s="54" customFormat="1" ht="25" customHeight="1">
      <c r="A45" s="47"/>
      <c r="B45" s="137" t="s">
        <v>203</v>
      </c>
      <c r="C45" s="85">
        <v>4</v>
      </c>
      <c r="D45" s="85">
        <v>8</v>
      </c>
      <c r="E45" s="86">
        <v>500</v>
      </c>
      <c r="F45" s="951">
        <f t="shared" si="4"/>
        <v>0.16450000000000001</v>
      </c>
      <c r="G45" s="87">
        <f t="shared" si="2"/>
        <v>118.44</v>
      </c>
      <c r="H45" s="155"/>
      <c r="I45" s="88"/>
      <c r="J45" s="32"/>
      <c r="K45" s="89">
        <f t="shared" si="3"/>
        <v>0</v>
      </c>
      <c r="M45" s="20"/>
      <c r="P45" s="66"/>
      <c r="R45" s="66"/>
    </row>
    <row r="46" spans="1:26" s="54" customFormat="1" ht="25" customHeight="1">
      <c r="A46" s="47"/>
      <c r="B46" s="139" t="s">
        <v>204</v>
      </c>
      <c r="C46" s="91">
        <v>4</v>
      </c>
      <c r="D46" s="91">
        <v>8</v>
      </c>
      <c r="E46" s="92">
        <v>1000</v>
      </c>
      <c r="F46" s="952">
        <f t="shared" si="4"/>
        <v>0.22977777777777778</v>
      </c>
      <c r="G46" s="93">
        <f t="shared" si="2"/>
        <v>165.44</v>
      </c>
      <c r="H46" s="53"/>
      <c r="I46" s="88"/>
      <c r="J46" s="94"/>
      <c r="K46" s="95">
        <f t="shared" si="3"/>
        <v>0</v>
      </c>
      <c r="M46" s="20"/>
      <c r="P46" s="66"/>
      <c r="R46" s="66"/>
    </row>
    <row r="47" spans="1:26" s="54" customFormat="1" ht="25" customHeight="1">
      <c r="A47" s="47"/>
      <c r="B47" s="137" t="s">
        <v>205</v>
      </c>
      <c r="C47" s="85">
        <v>8</v>
      </c>
      <c r="D47" s="85">
        <v>16</v>
      </c>
      <c r="E47" s="86">
        <v>100</v>
      </c>
      <c r="F47" s="951">
        <f t="shared" si="4"/>
        <v>0.21149999999999999</v>
      </c>
      <c r="G47" s="87">
        <f t="shared" si="2"/>
        <v>152.28</v>
      </c>
      <c r="H47" s="155"/>
      <c r="I47" s="88"/>
      <c r="J47" s="32"/>
      <c r="K47" s="89">
        <f t="shared" si="3"/>
        <v>0</v>
      </c>
      <c r="M47" s="20"/>
      <c r="P47" s="66"/>
      <c r="R47" s="66"/>
    </row>
    <row r="48" spans="1:26" s="54" customFormat="1" ht="25" customHeight="1">
      <c r="A48" s="47"/>
      <c r="B48" s="139" t="s">
        <v>206</v>
      </c>
      <c r="C48" s="91">
        <v>8</v>
      </c>
      <c r="D48" s="91">
        <v>16</v>
      </c>
      <c r="E48" s="92">
        <v>500</v>
      </c>
      <c r="F48" s="952">
        <f t="shared" si="4"/>
        <v>0.26372222222222219</v>
      </c>
      <c r="G48" s="93">
        <f t="shared" si="2"/>
        <v>189.88</v>
      </c>
      <c r="H48" s="53"/>
      <c r="I48" s="88"/>
      <c r="J48" s="94"/>
      <c r="K48" s="95">
        <f t="shared" si="3"/>
        <v>0</v>
      </c>
      <c r="M48" s="20"/>
      <c r="P48" s="66"/>
      <c r="R48" s="66"/>
    </row>
    <row r="49" spans="1:18" s="54" customFormat="1" ht="25" customHeight="1">
      <c r="A49" s="47"/>
      <c r="B49" s="137" t="s">
        <v>207</v>
      </c>
      <c r="C49" s="85">
        <v>8</v>
      </c>
      <c r="D49" s="85">
        <v>16</v>
      </c>
      <c r="E49" s="86">
        <v>1000</v>
      </c>
      <c r="F49" s="951">
        <f t="shared" si="4"/>
        <v>0.32900000000000001</v>
      </c>
      <c r="G49" s="87">
        <f t="shared" si="2"/>
        <v>236.88</v>
      </c>
      <c r="H49" s="155"/>
      <c r="I49" s="88"/>
      <c r="J49" s="32"/>
      <c r="K49" s="89">
        <f t="shared" si="3"/>
        <v>0</v>
      </c>
      <c r="M49" s="20"/>
      <c r="P49" s="66"/>
      <c r="R49" s="66"/>
    </row>
    <row r="50" spans="1:18" s="54" customFormat="1" ht="25" customHeight="1">
      <c r="A50" s="47"/>
      <c r="B50" s="139" t="s">
        <v>208</v>
      </c>
      <c r="C50" s="91">
        <v>16</v>
      </c>
      <c r="D50" s="91">
        <v>32</v>
      </c>
      <c r="E50" s="92">
        <v>100</v>
      </c>
      <c r="F50" s="952">
        <f t="shared" si="4"/>
        <v>0.40994444444444439</v>
      </c>
      <c r="G50" s="93">
        <f t="shared" si="2"/>
        <v>295.15999999999997</v>
      </c>
      <c r="H50" s="53"/>
      <c r="I50" s="88"/>
      <c r="J50" s="94"/>
      <c r="K50" s="95">
        <f t="shared" si="3"/>
        <v>0</v>
      </c>
      <c r="M50" s="20"/>
      <c r="P50" s="66"/>
      <c r="R50" s="66"/>
    </row>
    <row r="51" spans="1:18" s="54" customFormat="1" ht="25" customHeight="1">
      <c r="A51" s="47"/>
      <c r="B51" s="137" t="s">
        <v>209</v>
      </c>
      <c r="C51" s="85">
        <v>16</v>
      </c>
      <c r="D51" s="85">
        <v>32</v>
      </c>
      <c r="E51" s="86">
        <v>500</v>
      </c>
      <c r="F51" s="951">
        <f t="shared" si="4"/>
        <v>0.46216666666666667</v>
      </c>
      <c r="G51" s="87">
        <f t="shared" si="2"/>
        <v>332.76</v>
      </c>
      <c r="H51" s="155"/>
      <c r="I51" s="88"/>
      <c r="J51" s="32"/>
      <c r="K51" s="89">
        <f t="shared" si="3"/>
        <v>0</v>
      </c>
      <c r="M51" s="20"/>
      <c r="P51" s="66"/>
      <c r="R51" s="66"/>
    </row>
    <row r="52" spans="1:18" s="54" customFormat="1" ht="25" customHeight="1">
      <c r="A52" s="47"/>
      <c r="B52" s="139" t="s">
        <v>210</v>
      </c>
      <c r="C52" s="91">
        <v>16</v>
      </c>
      <c r="D52" s="91">
        <v>32</v>
      </c>
      <c r="E52" s="92">
        <v>1000</v>
      </c>
      <c r="F52" s="952">
        <f t="shared" si="4"/>
        <v>0.52744444444444438</v>
      </c>
      <c r="G52" s="93">
        <f t="shared" si="2"/>
        <v>379.76</v>
      </c>
      <c r="H52" s="53"/>
      <c r="I52" s="88"/>
      <c r="J52" s="94"/>
      <c r="K52" s="95">
        <f t="shared" si="3"/>
        <v>0</v>
      </c>
      <c r="M52" s="20"/>
      <c r="P52" s="66"/>
      <c r="R52" s="66"/>
    </row>
    <row r="53" spans="1:18" s="54" customFormat="1" ht="25" customHeight="1">
      <c r="A53" s="47"/>
      <c r="B53" s="137" t="s">
        <v>712</v>
      </c>
      <c r="C53" s="85">
        <v>16</v>
      </c>
      <c r="D53" s="85">
        <v>64</v>
      </c>
      <c r="E53" s="86">
        <v>500</v>
      </c>
      <c r="F53" s="951">
        <f t="shared" si="4"/>
        <v>0.69194444444444447</v>
      </c>
      <c r="G53" s="87">
        <f t="shared" si="2"/>
        <v>498.2</v>
      </c>
      <c r="H53" s="155"/>
      <c r="I53" s="88"/>
      <c r="J53" s="32"/>
      <c r="K53" s="89">
        <f t="shared" si="3"/>
        <v>0</v>
      </c>
      <c r="M53" s="20"/>
      <c r="P53" s="66"/>
      <c r="R53" s="66"/>
    </row>
    <row r="54" spans="1:18" s="54" customFormat="1" ht="25" customHeight="1">
      <c r="A54" s="47"/>
      <c r="B54" s="139" t="s">
        <v>211</v>
      </c>
      <c r="C54" s="91">
        <v>32</v>
      </c>
      <c r="D54" s="91">
        <v>64</v>
      </c>
      <c r="E54" s="92">
        <v>1000</v>
      </c>
      <c r="F54" s="952">
        <f t="shared" si="4"/>
        <v>0.92433333333333334</v>
      </c>
      <c r="G54" s="93">
        <f t="shared" si="2"/>
        <v>665.52</v>
      </c>
      <c r="H54" s="53"/>
      <c r="I54" s="88"/>
      <c r="J54" s="94"/>
      <c r="K54" s="95">
        <f t="shared" si="3"/>
        <v>0</v>
      </c>
      <c r="M54" s="20"/>
      <c r="P54" s="66"/>
      <c r="R54" s="66"/>
    </row>
    <row r="55" spans="1:18" s="101" customFormat="1" ht="25" customHeight="1">
      <c r="A55" s="96"/>
      <c r="B55" s="97" t="s">
        <v>18</v>
      </c>
      <c r="C55" s="98">
        <f t="array" ref="C55">SUM(C41:C54*I41:I54)</f>
        <v>0</v>
      </c>
      <c r="D55" s="98" t="str">
        <f t="array" ref="D55">SUM(D41:D54*I41:I54)&amp;" GB"</f>
        <v>0 GB</v>
      </c>
      <c r="E55" s="99" t="str">
        <f t="array" ref="E55">SUM(E41:E54*I41:I54)&amp;" GB"</f>
        <v>0 GB</v>
      </c>
      <c r="F55" s="98"/>
      <c r="G55" s="98"/>
      <c r="H55" s="98"/>
      <c r="I55" s="98">
        <f>SUM(I41:I54)</f>
        <v>0</v>
      </c>
      <c r="J55" s="98"/>
      <c r="K55" s="100">
        <f>SUM(K41:K54)</f>
        <v>0</v>
      </c>
      <c r="M55" s="20"/>
      <c r="P55" s="102"/>
      <c r="R55" s="102"/>
    </row>
    <row r="56" spans="1:18" s="54" customFormat="1" ht="25" customHeight="1">
      <c r="A56" s="47"/>
      <c r="B56" s="103"/>
      <c r="C56" s="104"/>
      <c r="D56" s="104"/>
      <c r="E56" s="105"/>
      <c r="F56" s="106"/>
      <c r="G56" s="107"/>
      <c r="H56" s="958"/>
      <c r="I56" s="109"/>
      <c r="J56" s="110"/>
      <c r="K56" s="111"/>
      <c r="M56" s="20"/>
      <c r="P56" s="66"/>
      <c r="R56" s="66"/>
    </row>
    <row r="57" spans="1:18" s="54" customFormat="1" ht="25" customHeight="1">
      <c r="A57" s="47"/>
      <c r="B57" s="103"/>
      <c r="C57" s="104"/>
      <c r="D57" s="104"/>
      <c r="E57" s="105"/>
      <c r="F57" s="106"/>
      <c r="G57" s="107"/>
      <c r="H57" s="958"/>
      <c r="I57" s="109"/>
      <c r="J57" s="110"/>
      <c r="K57" s="111"/>
      <c r="M57" s="20"/>
      <c r="P57" s="66"/>
      <c r="R57" s="66"/>
    </row>
    <row r="58" spans="1:18" ht="25" customHeight="1">
      <c r="B58" s="112"/>
      <c r="C58" s="113"/>
      <c r="D58" s="113"/>
      <c r="E58" s="113"/>
      <c r="F58" s="113"/>
      <c r="G58" s="114"/>
      <c r="H58" s="959"/>
      <c r="I58" s="115"/>
      <c r="J58" s="113"/>
      <c r="K58" s="116"/>
      <c r="M58" s="20"/>
      <c r="P58" s="66"/>
      <c r="Q58" s="66"/>
      <c r="R58" s="83"/>
    </row>
    <row r="59" spans="1:18" s="82" customFormat="1" ht="25" customHeight="1">
      <c r="A59" s="77"/>
      <c r="B59" s="68" t="s">
        <v>19</v>
      </c>
      <c r="C59" s="117"/>
      <c r="D59" s="117"/>
      <c r="H59" s="960"/>
      <c r="K59" s="118"/>
      <c r="M59" s="20"/>
    </row>
    <row r="60" spans="1:18" ht="25" customHeight="1">
      <c r="B60" s="76" t="s">
        <v>9</v>
      </c>
      <c r="C60" s="82"/>
      <c r="D60" s="82"/>
      <c r="E60" s="82"/>
      <c r="F60" s="82"/>
      <c r="M60" s="20"/>
    </row>
    <row r="61" spans="1:18" s="82" customFormat="1" ht="25" customHeight="1">
      <c r="A61" s="119"/>
      <c r="B61" s="78" t="s">
        <v>10</v>
      </c>
      <c r="C61" s="79" t="s">
        <v>11</v>
      </c>
      <c r="D61" s="79" t="s">
        <v>12</v>
      </c>
      <c r="E61" s="6" t="s">
        <v>13</v>
      </c>
      <c r="F61" s="6" t="s">
        <v>14</v>
      </c>
      <c r="G61" s="6" t="s">
        <v>15</v>
      </c>
      <c r="H61" s="79"/>
      <c r="I61" s="80" t="s">
        <v>16</v>
      </c>
      <c r="J61" s="79"/>
      <c r="K61" s="81" t="s">
        <v>17</v>
      </c>
      <c r="M61" s="20"/>
      <c r="N61" s="12"/>
      <c r="O61" s="12"/>
      <c r="P61" s="66"/>
      <c r="Q61" s="66"/>
      <c r="R61" s="83"/>
    </row>
    <row r="62" spans="1:18" s="54" customFormat="1" ht="25" customHeight="1">
      <c r="A62" s="47"/>
      <c r="B62" s="137" t="s">
        <v>213</v>
      </c>
      <c r="C62" s="85">
        <v>1</v>
      </c>
      <c r="D62" s="85">
        <v>2</v>
      </c>
      <c r="E62" s="120">
        <v>0</v>
      </c>
      <c r="F62" s="87">
        <f t="shared" ref="F62:F71" si="5">G62/720</f>
        <v>2.4805555555555556E-2</v>
      </c>
      <c r="G62" s="87">
        <f t="shared" ref="G62:G71" si="6">C62*IAAS_vcpu_EUR+D62*IAAS_ram_EUR+E62*IAAS_ssd_EUR</f>
        <v>17.86</v>
      </c>
      <c r="H62" s="155"/>
      <c r="I62" s="88"/>
      <c r="J62" s="32"/>
      <c r="K62" s="89">
        <f t="shared" ref="K62:K71" si="7">ROUNDUP(I62*G62,2)</f>
        <v>0</v>
      </c>
      <c r="M62" s="20"/>
      <c r="N62" s="121"/>
      <c r="O62" s="122"/>
    </row>
    <row r="63" spans="1:18" s="54" customFormat="1" ht="25" customHeight="1">
      <c r="A63" s="47"/>
      <c r="B63" s="139" t="s">
        <v>214</v>
      </c>
      <c r="C63" s="91">
        <v>1</v>
      </c>
      <c r="D63" s="91">
        <v>4</v>
      </c>
      <c r="E63" s="123">
        <v>0</v>
      </c>
      <c r="F63" s="93">
        <f t="shared" si="5"/>
        <v>3.9166666666666669E-2</v>
      </c>
      <c r="G63" s="93">
        <f t="shared" si="6"/>
        <v>28.2</v>
      </c>
      <c r="H63" s="53"/>
      <c r="I63" s="88"/>
      <c r="J63" s="94"/>
      <c r="K63" s="95">
        <f t="shared" si="7"/>
        <v>0</v>
      </c>
      <c r="L63" s="124"/>
      <c r="M63" s="20"/>
      <c r="N63" s="121"/>
      <c r="O63" s="122"/>
    </row>
    <row r="64" spans="1:18" s="54" customFormat="1" ht="25" customHeight="1">
      <c r="A64" s="47"/>
      <c r="B64" s="137" t="s">
        <v>215</v>
      </c>
      <c r="C64" s="85">
        <v>2</v>
      </c>
      <c r="D64" s="85">
        <v>4</v>
      </c>
      <c r="E64" s="120">
        <v>0</v>
      </c>
      <c r="F64" s="87">
        <f t="shared" si="5"/>
        <v>4.9611111111111113E-2</v>
      </c>
      <c r="G64" s="87">
        <f t="shared" si="6"/>
        <v>35.72</v>
      </c>
      <c r="H64" s="155"/>
      <c r="I64" s="88"/>
      <c r="J64" s="32"/>
      <c r="K64" s="89">
        <f t="shared" si="7"/>
        <v>0</v>
      </c>
      <c r="L64" s="124"/>
      <c r="M64" s="20"/>
      <c r="N64" s="121"/>
      <c r="O64" s="122"/>
    </row>
    <row r="65" spans="1:19" s="54" customFormat="1" ht="25" customHeight="1">
      <c r="A65" s="47"/>
      <c r="B65" s="139" t="s">
        <v>216</v>
      </c>
      <c r="C65" s="91">
        <v>2</v>
      </c>
      <c r="D65" s="91">
        <v>8</v>
      </c>
      <c r="E65" s="123">
        <v>0</v>
      </c>
      <c r="F65" s="93">
        <f t="shared" si="5"/>
        <v>7.8333333333333338E-2</v>
      </c>
      <c r="G65" s="93">
        <f t="shared" si="6"/>
        <v>56.4</v>
      </c>
      <c r="H65" s="53"/>
      <c r="I65" s="88"/>
      <c r="J65" s="94"/>
      <c r="K65" s="95">
        <f t="shared" si="7"/>
        <v>0</v>
      </c>
      <c r="L65" s="124"/>
      <c r="M65" s="20"/>
      <c r="N65" s="121"/>
      <c r="O65" s="125"/>
    </row>
    <row r="66" spans="1:19" s="54" customFormat="1" ht="25" customHeight="1">
      <c r="A66" s="47"/>
      <c r="B66" s="137" t="s">
        <v>217</v>
      </c>
      <c r="C66" s="85">
        <v>4</v>
      </c>
      <c r="D66" s="85">
        <v>8</v>
      </c>
      <c r="E66" s="120">
        <v>0</v>
      </c>
      <c r="F66" s="87">
        <f t="shared" si="5"/>
        <v>9.9222222222222226E-2</v>
      </c>
      <c r="G66" s="87">
        <f t="shared" si="6"/>
        <v>71.44</v>
      </c>
      <c r="H66" s="155"/>
      <c r="I66" s="88"/>
      <c r="J66" s="32"/>
      <c r="K66" s="89">
        <f t="shared" si="7"/>
        <v>0</v>
      </c>
      <c r="L66" s="124"/>
      <c r="M66" s="20"/>
      <c r="N66" s="121"/>
    </row>
    <row r="67" spans="1:19" s="54" customFormat="1" ht="25" customHeight="1">
      <c r="A67" s="47"/>
      <c r="B67" s="139" t="s">
        <v>218</v>
      </c>
      <c r="C67" s="91">
        <v>4</v>
      </c>
      <c r="D67" s="91">
        <v>16</v>
      </c>
      <c r="E67" s="123">
        <v>0</v>
      </c>
      <c r="F67" s="93">
        <f t="shared" si="5"/>
        <v>0.15666666666666668</v>
      </c>
      <c r="G67" s="93">
        <f t="shared" si="6"/>
        <v>112.8</v>
      </c>
      <c r="H67" s="53"/>
      <c r="I67" s="88"/>
      <c r="J67" s="94"/>
      <c r="K67" s="95">
        <f t="shared" si="7"/>
        <v>0</v>
      </c>
      <c r="L67" s="124"/>
      <c r="M67" s="20"/>
    </row>
    <row r="68" spans="1:19" s="54" customFormat="1" ht="25" customHeight="1">
      <c r="A68" s="47"/>
      <c r="B68" s="137" t="s">
        <v>219</v>
      </c>
      <c r="C68" s="85">
        <v>8</v>
      </c>
      <c r="D68" s="85">
        <v>16</v>
      </c>
      <c r="E68" s="120">
        <v>0</v>
      </c>
      <c r="F68" s="87">
        <f t="shared" si="5"/>
        <v>0.19844444444444445</v>
      </c>
      <c r="G68" s="87">
        <f t="shared" si="6"/>
        <v>142.88</v>
      </c>
      <c r="H68" s="155"/>
      <c r="I68" s="88"/>
      <c r="J68" s="32"/>
      <c r="K68" s="89">
        <f t="shared" si="7"/>
        <v>0</v>
      </c>
      <c r="L68" s="124"/>
      <c r="M68" s="20"/>
    </row>
    <row r="69" spans="1:19" s="54" customFormat="1" ht="25" customHeight="1">
      <c r="A69" s="47"/>
      <c r="B69" s="139" t="s">
        <v>220</v>
      </c>
      <c r="C69" s="91">
        <v>8</v>
      </c>
      <c r="D69" s="91">
        <v>32</v>
      </c>
      <c r="E69" s="123">
        <v>0</v>
      </c>
      <c r="F69" s="93">
        <f t="shared" si="5"/>
        <v>0.31333333333333335</v>
      </c>
      <c r="G69" s="93">
        <f t="shared" si="6"/>
        <v>225.6</v>
      </c>
      <c r="H69" s="53"/>
      <c r="I69" s="88"/>
      <c r="J69" s="94"/>
      <c r="K69" s="95">
        <f t="shared" si="7"/>
        <v>0</v>
      </c>
      <c r="L69" s="124"/>
      <c r="M69" s="20"/>
    </row>
    <row r="70" spans="1:19" s="54" customFormat="1" ht="25" customHeight="1">
      <c r="A70" s="47"/>
      <c r="B70" s="137" t="s">
        <v>221</v>
      </c>
      <c r="C70" s="85">
        <v>16</v>
      </c>
      <c r="D70" s="85">
        <v>32</v>
      </c>
      <c r="E70" s="120">
        <v>0</v>
      </c>
      <c r="F70" s="87">
        <f t="shared" si="5"/>
        <v>0.3968888888888889</v>
      </c>
      <c r="G70" s="87">
        <f t="shared" si="6"/>
        <v>285.76</v>
      </c>
      <c r="H70" s="155"/>
      <c r="I70" s="88"/>
      <c r="J70" s="32"/>
      <c r="K70" s="89">
        <f t="shared" si="7"/>
        <v>0</v>
      </c>
      <c r="L70" s="124"/>
      <c r="M70" s="20"/>
      <c r="P70" s="66"/>
      <c r="Q70" s="66"/>
      <c r="R70" s="66"/>
    </row>
    <row r="71" spans="1:19" s="54" customFormat="1" ht="25" customHeight="1">
      <c r="A71" s="47"/>
      <c r="B71" s="139" t="s">
        <v>222</v>
      </c>
      <c r="C71" s="91">
        <v>16</v>
      </c>
      <c r="D71" s="91">
        <v>64</v>
      </c>
      <c r="E71" s="123">
        <v>0</v>
      </c>
      <c r="F71" s="93">
        <f t="shared" si="5"/>
        <v>0.62666666666666671</v>
      </c>
      <c r="G71" s="93">
        <f t="shared" si="6"/>
        <v>451.2</v>
      </c>
      <c r="H71" s="53"/>
      <c r="I71" s="88"/>
      <c r="J71" s="94"/>
      <c r="K71" s="95">
        <f t="shared" si="7"/>
        <v>0</v>
      </c>
      <c r="L71" s="124"/>
      <c r="M71" s="20"/>
      <c r="P71" s="66"/>
      <c r="Q71" s="66"/>
      <c r="R71" s="66"/>
    </row>
    <row r="72" spans="1:19" s="101" customFormat="1" ht="25" customHeight="1">
      <c r="A72" s="47"/>
      <c r="B72" s="97" t="s">
        <v>18</v>
      </c>
      <c r="C72" s="98">
        <f t="array" ref="C72">SUM(C62:C71*I62:I71)</f>
        <v>0</v>
      </c>
      <c r="D72" s="98">
        <f t="array" ref="D72">SUM(D62:D71*I62:I71)</f>
        <v>0</v>
      </c>
      <c r="E72" s="126" t="s">
        <v>20</v>
      </c>
      <c r="F72" s="98"/>
      <c r="G72" s="98"/>
      <c r="H72" s="98"/>
      <c r="I72" s="98">
        <f>SUM(I62:I71)</f>
        <v>0</v>
      </c>
      <c r="J72" s="98"/>
      <c r="K72" s="127">
        <f>SUM(K62:K71)</f>
        <v>0</v>
      </c>
      <c r="M72" s="20"/>
      <c r="P72" s="102"/>
      <c r="R72" s="102"/>
    </row>
    <row r="73" spans="1:19" s="54" customFormat="1" ht="25" customHeight="1">
      <c r="A73" s="47"/>
      <c r="B73" s="104"/>
      <c r="C73" s="104"/>
      <c r="D73" s="104"/>
      <c r="E73" s="105"/>
      <c r="F73" s="106"/>
      <c r="G73" s="107"/>
      <c r="H73" s="958"/>
      <c r="I73" s="109"/>
      <c r="J73" s="110"/>
      <c r="K73" s="128"/>
      <c r="M73" s="20"/>
      <c r="P73" s="66"/>
      <c r="R73" s="66"/>
    </row>
    <row r="74" spans="1:19" s="54" customFormat="1" ht="25" customHeight="1">
      <c r="A74" s="47"/>
      <c r="B74" s="104"/>
      <c r="C74" s="104"/>
      <c r="D74" s="104"/>
      <c r="E74" s="105"/>
      <c r="F74" s="106"/>
      <c r="G74" s="107"/>
      <c r="H74" s="958"/>
      <c r="I74" s="109"/>
      <c r="J74" s="110"/>
      <c r="K74" s="128"/>
      <c r="M74" s="20"/>
      <c r="P74" s="66"/>
      <c r="R74" s="66"/>
    </row>
    <row r="75" spans="1:19" ht="25" customHeight="1">
      <c r="B75" s="112"/>
      <c r="C75" s="113"/>
      <c r="D75" s="113"/>
      <c r="E75" s="113"/>
      <c r="F75" s="113"/>
      <c r="G75" s="114"/>
      <c r="H75" s="959"/>
      <c r="I75" s="115"/>
      <c r="J75" s="113"/>
      <c r="K75" s="129"/>
      <c r="M75" s="20"/>
      <c r="P75" s="66"/>
      <c r="Q75" s="66"/>
      <c r="R75" s="83"/>
    </row>
    <row r="76" spans="1:19" s="82" customFormat="1" ht="25" customHeight="1">
      <c r="A76" s="77"/>
      <c r="B76" s="68" t="s">
        <v>21</v>
      </c>
      <c r="C76" s="117"/>
      <c r="D76" s="117"/>
      <c r="H76" s="960"/>
      <c r="K76" s="130"/>
      <c r="M76" s="20"/>
    </row>
    <row r="77" spans="1:19" ht="25" customHeight="1">
      <c r="B77" s="76" t="s">
        <v>22</v>
      </c>
      <c r="K77" s="131"/>
      <c r="M77" s="20"/>
    </row>
    <row r="78" spans="1:19" s="134" customFormat="1" ht="25" customHeight="1">
      <c r="A78" s="119"/>
      <c r="B78" s="78" t="s">
        <v>23</v>
      </c>
      <c r="C78" s="132" t="s">
        <v>11</v>
      </c>
      <c r="D78" s="132" t="s">
        <v>12</v>
      </c>
      <c r="E78" s="133" t="s">
        <v>13</v>
      </c>
      <c r="F78" s="1" t="s">
        <v>709</v>
      </c>
      <c r="G78" s="6" t="s">
        <v>14</v>
      </c>
      <c r="H78" s="1" t="s">
        <v>15</v>
      </c>
      <c r="I78" s="80" t="s">
        <v>16</v>
      </c>
      <c r="J78" s="79"/>
      <c r="K78" s="81" t="s">
        <v>17</v>
      </c>
      <c r="M78" s="20"/>
      <c r="O78" s="135"/>
      <c r="P78" s="136"/>
      <c r="Q78" s="136"/>
      <c r="R78" s="136"/>
      <c r="S78" s="135"/>
    </row>
    <row r="79" spans="1:19" s="54" customFormat="1" ht="25" customHeight="1">
      <c r="A79" s="47"/>
      <c r="B79" s="137" t="s">
        <v>715</v>
      </c>
      <c r="C79" s="85">
        <v>4</v>
      </c>
      <c r="D79" s="85">
        <v>16</v>
      </c>
      <c r="E79" s="120">
        <v>125</v>
      </c>
      <c r="F79" s="120" t="s">
        <v>710</v>
      </c>
      <c r="G79" s="945">
        <f>H79/720</f>
        <v>2.1040000000000001</v>
      </c>
      <c r="H79" s="961">
        <f>C79*IAAS_vcpu_SEK+D79*IAAS_ram_SEK+E79*IAAS_nvme_SEK+1*IAAS_GPU_A2_EUR</f>
        <v>1514.88</v>
      </c>
      <c r="I79" s="88"/>
      <c r="J79" s="32"/>
      <c r="K79" s="947">
        <f>ROUNDUP(I79*H79,2)</f>
        <v>0</v>
      </c>
      <c r="M79" s="20"/>
      <c r="N79" s="121"/>
      <c r="O79" s="122"/>
    </row>
    <row r="80" spans="1:19" s="54" customFormat="1" ht="25" customHeight="1">
      <c r="A80" s="47"/>
      <c r="B80" s="139" t="s">
        <v>25</v>
      </c>
      <c r="C80" s="91">
        <v>8</v>
      </c>
      <c r="D80" s="91">
        <v>32</v>
      </c>
      <c r="E80" s="123">
        <v>250</v>
      </c>
      <c r="F80" s="123" t="s">
        <v>710</v>
      </c>
      <c r="G80" s="946">
        <f>H80/720</f>
        <v>3.9442777777777778</v>
      </c>
      <c r="H80" s="962">
        <f>C80*IAAS_vcpu_SEK+D80*IAAS_ram_SEK+E80*IAAS_nvme_SEK+1*IAAS_GPU_A2_EUR</f>
        <v>2839.88</v>
      </c>
      <c r="I80" s="88"/>
      <c r="J80" s="94"/>
      <c r="K80" s="948">
        <f>ROUNDUP(I80*H80,2)</f>
        <v>0</v>
      </c>
      <c r="L80" s="124"/>
      <c r="M80" s="20"/>
      <c r="N80" s="121"/>
      <c r="O80" s="122"/>
    </row>
    <row r="81" spans="1:20" s="54" customFormat="1" ht="25" customHeight="1">
      <c r="A81" s="47"/>
      <c r="B81" s="137" t="s">
        <v>26</v>
      </c>
      <c r="C81" s="85">
        <v>4</v>
      </c>
      <c r="D81" s="85">
        <v>8</v>
      </c>
      <c r="E81" s="120">
        <v>0</v>
      </c>
      <c r="F81" s="120" t="s">
        <v>710</v>
      </c>
      <c r="G81" s="945">
        <f>H81/720</f>
        <v>1.3192777777777778</v>
      </c>
      <c r="H81" s="961">
        <f>C81*IAAS_vcpu_SEK+D81*IAAS_ram_SEK+E81*IAAS_nvme_SEK+1*IAAS_GPU_A2_EUR</f>
        <v>949.88</v>
      </c>
      <c r="I81" s="88"/>
      <c r="J81" s="32"/>
      <c r="K81" s="947">
        <f>ROUNDUP(I81*H81,2)</f>
        <v>0</v>
      </c>
      <c r="L81" s="124"/>
      <c r="M81" s="20"/>
      <c r="N81" s="121"/>
      <c r="O81" s="122"/>
    </row>
    <row r="82" spans="1:20" s="54" customFormat="1" ht="25" customHeight="1">
      <c r="A82" s="47"/>
      <c r="B82" s="418" t="s">
        <v>224</v>
      </c>
      <c r="C82" s="91">
        <v>8</v>
      </c>
      <c r="D82" s="91">
        <v>16</v>
      </c>
      <c r="E82" s="123">
        <v>0</v>
      </c>
      <c r="F82" s="123" t="s">
        <v>710</v>
      </c>
      <c r="G82" s="946">
        <f t="shared" ref="G82" si="8">H82/720</f>
        <v>2.3748333333333336</v>
      </c>
      <c r="H82" s="962">
        <f>C82*IAAS_vcpu_SEK+D82*IAAS_ram_SEK+E82*IAAS_nvme_SEK+1*IAAS_GPU_A2_EUR</f>
        <v>1709.88</v>
      </c>
      <c r="I82" s="88"/>
      <c r="J82" s="94"/>
      <c r="K82" s="948">
        <f t="shared" ref="K82:K83" si="9">ROUNDUP(I82*H82,2)</f>
        <v>0</v>
      </c>
      <c r="L82" s="124"/>
      <c r="M82" s="20"/>
      <c r="N82" s="121"/>
      <c r="O82" s="125"/>
    </row>
    <row r="83" spans="1:20" s="54" customFormat="1" ht="25" customHeight="1">
      <c r="A83" s="47"/>
      <c r="B83" s="137" t="s">
        <v>707</v>
      </c>
      <c r="C83" s="85">
        <v>32</v>
      </c>
      <c r="D83" s="85">
        <v>192</v>
      </c>
      <c r="E83" s="120">
        <v>0</v>
      </c>
      <c r="F83" s="120" t="s">
        <v>711</v>
      </c>
      <c r="G83" s="945">
        <f>H83/720</f>
        <v>18.485944444444442</v>
      </c>
      <c r="H83" s="961">
        <f>C83*IAAS_vcpu_SEK+D83*IAAS_ram_SEK+E83*IAAS_nvme_SEK+1*IAAS_GPU_A2_EUR</f>
        <v>13309.88</v>
      </c>
      <c r="I83" s="88"/>
      <c r="J83" s="32"/>
      <c r="K83" s="947">
        <f t="shared" si="9"/>
        <v>0</v>
      </c>
      <c r="L83" s="124"/>
      <c r="M83" s="20"/>
      <c r="N83" s="121"/>
      <c r="O83" s="125"/>
    </row>
    <row r="84" spans="1:20" s="101" customFormat="1" ht="25" customHeight="1">
      <c r="A84" s="47"/>
      <c r="B84" s="97" t="s">
        <v>18</v>
      </c>
      <c r="C84" s="98">
        <f t="array" ref="C84">SUM(C79:C82*I79:I82)</f>
        <v>0</v>
      </c>
      <c r="D84" s="98">
        <f t="array" ref="D84">SUM(D79:D82*I79:I82)</f>
        <v>0</v>
      </c>
      <c r="E84" s="98">
        <f t="array" ref="E84">SUM(E79:E82*I79:I82)</f>
        <v>0</v>
      </c>
      <c r="F84" s="98"/>
      <c r="G84" s="98"/>
      <c r="H84" s="98"/>
      <c r="I84" s="98">
        <f>SUM(I79:I82)</f>
        <v>0</v>
      </c>
      <c r="J84" s="98"/>
      <c r="K84" s="949">
        <f>SUM(K79:K82)</f>
        <v>0</v>
      </c>
      <c r="M84" s="20"/>
      <c r="N84" s="54"/>
      <c r="P84" s="102"/>
      <c r="R84" s="102"/>
    </row>
    <row r="85" spans="1:20" s="54" customFormat="1" ht="25" customHeight="1">
      <c r="A85" s="47"/>
      <c r="B85" s="104"/>
      <c r="C85" s="104"/>
      <c r="D85" s="104"/>
      <c r="E85" s="105"/>
      <c r="F85" s="106"/>
      <c r="G85" s="107"/>
      <c r="H85" s="958"/>
      <c r="I85" s="109"/>
      <c r="J85" s="110"/>
      <c r="K85" s="128"/>
      <c r="M85" s="20"/>
      <c r="P85" s="66"/>
      <c r="R85" s="66"/>
    </row>
    <row r="86" spans="1:20" s="54" customFormat="1" ht="25" customHeight="1">
      <c r="A86" s="47"/>
      <c r="B86" s="104"/>
      <c r="C86" s="104"/>
      <c r="D86" s="104"/>
      <c r="E86" s="105"/>
      <c r="F86" s="106"/>
      <c r="G86" s="107"/>
      <c r="H86" s="958"/>
      <c r="I86" s="109"/>
      <c r="J86" s="110"/>
      <c r="K86" s="128"/>
      <c r="M86" s="20"/>
      <c r="P86" s="66"/>
      <c r="R86" s="66"/>
    </row>
    <row r="87" spans="1:20" ht="25" customHeight="1">
      <c r="B87" s="112"/>
      <c r="C87" s="113"/>
      <c r="D87" s="113"/>
      <c r="E87" s="113"/>
      <c r="F87" s="113"/>
      <c r="G87" s="114"/>
      <c r="H87" s="959"/>
      <c r="I87" s="115"/>
      <c r="J87" s="113"/>
      <c r="K87" s="129"/>
      <c r="M87" s="20"/>
      <c r="P87" s="66"/>
      <c r="Q87" s="66"/>
      <c r="R87" s="83"/>
    </row>
    <row r="88" spans="1:20" ht="25" customHeight="1">
      <c r="A88" s="47"/>
      <c r="B88" s="68" t="s">
        <v>36</v>
      </c>
      <c r="C88" s="163"/>
      <c r="D88" s="163"/>
      <c r="E88" s="163"/>
      <c r="F88" s="163"/>
      <c r="G88" s="163"/>
      <c r="H88" s="963"/>
      <c r="I88" s="161"/>
      <c r="J88" s="161"/>
      <c r="K88" s="162"/>
      <c r="L88" s="178"/>
      <c r="M88" s="20"/>
      <c r="N88" s="54"/>
      <c r="O88" s="54"/>
      <c r="P88" s="54"/>
      <c r="Q88" s="54"/>
      <c r="R88" s="66"/>
      <c r="S88" s="54"/>
      <c r="T88" s="83"/>
    </row>
    <row r="89" spans="1:20" ht="25" customHeight="1">
      <c r="B89" s="76" t="s">
        <v>22</v>
      </c>
      <c r="M89" s="20"/>
    </row>
    <row r="90" spans="1:20" s="182" customFormat="1" ht="25" customHeight="1">
      <c r="A90" s="10"/>
      <c r="B90" s="78" t="s">
        <v>10</v>
      </c>
      <c r="C90" s="179" t="s">
        <v>37</v>
      </c>
      <c r="D90" s="179"/>
      <c r="E90" s="179"/>
      <c r="F90" s="1" t="s">
        <v>14</v>
      </c>
      <c r="G90" s="6" t="s">
        <v>15</v>
      </c>
      <c r="H90" s="1"/>
      <c r="I90" s="180" t="s">
        <v>38</v>
      </c>
      <c r="J90" s="179"/>
      <c r="K90" s="181" t="s">
        <v>39</v>
      </c>
      <c r="L90" s="136"/>
      <c r="M90" s="20"/>
      <c r="N90" s="136"/>
      <c r="R90" s="183"/>
      <c r="S90" s="183"/>
      <c r="T90" s="184"/>
    </row>
    <row r="91" spans="1:20" s="54" customFormat="1" ht="25" customHeight="1">
      <c r="A91" s="185"/>
      <c r="B91" s="137" t="s">
        <v>40</v>
      </c>
      <c r="C91" s="186" t="s">
        <v>41</v>
      </c>
      <c r="D91" s="187"/>
      <c r="E91" s="187"/>
      <c r="F91" s="188">
        <f>G91/720</f>
        <v>1.5666666666666666E-4</v>
      </c>
      <c r="G91" s="189">
        <f>VOLUME_large_EUR</f>
        <v>0.1128</v>
      </c>
      <c r="H91" s="964"/>
      <c r="I91" s="190"/>
      <c r="J91" s="191"/>
      <c r="K91" s="192">
        <f>ROUNDUP(I91*G91,2)</f>
        <v>0</v>
      </c>
      <c r="L91" s="161"/>
      <c r="M91" s="20"/>
    </row>
    <row r="92" spans="1:20" s="54" customFormat="1" ht="25" customHeight="1">
      <c r="A92" s="47"/>
      <c r="B92" s="139" t="s">
        <v>42</v>
      </c>
      <c r="C92" s="54" t="s">
        <v>43</v>
      </c>
      <c r="D92" s="174"/>
      <c r="E92" s="174"/>
      <c r="F92" s="193">
        <f>G92/720</f>
        <v>4.7000000000000004E-4</v>
      </c>
      <c r="G92" s="194">
        <f>VOLUME_fast_EUR</f>
        <v>0.33840000000000003</v>
      </c>
      <c r="H92" s="965"/>
      <c r="I92" s="196"/>
      <c r="J92" s="197"/>
      <c r="K92" s="198">
        <f>ROUNDUP(I92*G92,2)</f>
        <v>0</v>
      </c>
      <c r="L92" s="161"/>
      <c r="M92" s="20"/>
      <c r="T92" s="66"/>
    </row>
    <row r="93" spans="1:20" s="54" customFormat="1" ht="25" customHeight="1">
      <c r="A93" s="47"/>
      <c r="B93" s="137" t="s">
        <v>44</v>
      </c>
      <c r="C93" s="186" t="s">
        <v>45</v>
      </c>
      <c r="D93" s="187"/>
      <c r="E93" s="187"/>
      <c r="F93" s="188">
        <f>G93/720</f>
        <v>1.5666666666666666E-4</v>
      </c>
      <c r="G93" s="189">
        <f>VOLUME_large_EUR</f>
        <v>0.1128</v>
      </c>
      <c r="H93" s="966"/>
      <c r="I93" s="190"/>
      <c r="J93" s="191"/>
      <c r="K93" s="192">
        <f>ROUNDUP(I93*G93,2)</f>
        <v>0</v>
      </c>
      <c r="L93" s="161"/>
      <c r="M93" s="20"/>
    </row>
    <row r="94" spans="1:20" s="101" customFormat="1" ht="25" customHeight="1">
      <c r="A94" s="47"/>
      <c r="B94" s="97" t="s">
        <v>18</v>
      </c>
      <c r="C94" s="98"/>
      <c r="D94" s="98"/>
      <c r="E94" s="98"/>
      <c r="F94" s="98"/>
      <c r="G94" s="98"/>
      <c r="H94" s="98"/>
      <c r="I94" s="98" t="str">
        <f>SUM(I91:I93)&amp;" GB"</f>
        <v>0 GB</v>
      </c>
      <c r="J94" s="98"/>
      <c r="K94" s="127">
        <f>SUM(K91:K93)</f>
        <v>0</v>
      </c>
      <c r="M94" s="20"/>
      <c r="P94" s="102"/>
      <c r="R94" s="102"/>
    </row>
    <row r="95" spans="1:20" ht="25" customHeight="1">
      <c r="A95" s="96"/>
      <c r="B95" s="175"/>
      <c r="C95" s="176"/>
      <c r="D95" s="176"/>
      <c r="E95" s="176"/>
      <c r="F95" s="176"/>
      <c r="G95" s="176"/>
      <c r="H95" s="967"/>
      <c r="I95" s="199"/>
      <c r="J95" s="199"/>
      <c r="K95" s="200"/>
      <c r="L95" s="201"/>
      <c r="M95" s="20"/>
    </row>
    <row r="96" spans="1:20" ht="25" customHeight="1">
      <c r="A96" s="96"/>
      <c r="B96" s="175"/>
      <c r="C96" s="176"/>
      <c r="D96" s="176"/>
      <c r="E96" s="176"/>
      <c r="F96" s="176"/>
      <c r="G96" s="176"/>
      <c r="H96" s="967"/>
      <c r="I96" s="199"/>
      <c r="J96" s="199"/>
      <c r="K96" s="200"/>
      <c r="L96" s="201"/>
      <c r="M96" s="20"/>
    </row>
    <row r="97" spans="1:20" s="38" customFormat="1" ht="25" customHeight="1">
      <c r="A97" s="10"/>
      <c r="B97" s="175"/>
      <c r="C97" s="176"/>
      <c r="D97" s="176"/>
      <c r="E97" s="176"/>
      <c r="F97" s="176"/>
      <c r="G97" s="176"/>
      <c r="H97" s="199"/>
      <c r="I97" s="199"/>
      <c r="J97" s="199"/>
      <c r="K97" s="200"/>
      <c r="L97" s="202"/>
      <c r="M97" s="20"/>
    </row>
    <row r="98" spans="1:20" s="38" customFormat="1" ht="25" customHeight="1">
      <c r="A98" s="47"/>
      <c r="B98" s="982" t="s">
        <v>46</v>
      </c>
      <c r="C98" s="982"/>
      <c r="D98" s="982"/>
      <c r="E98" s="982"/>
      <c r="F98" s="982"/>
      <c r="G98" s="982"/>
      <c r="H98" s="954"/>
      <c r="J98" s="53"/>
      <c r="K98" s="51"/>
      <c r="M98" s="20"/>
    </row>
    <row r="99" spans="1:20" s="38" customFormat="1" ht="25" customHeight="1">
      <c r="A99" s="47"/>
      <c r="B99" s="982"/>
      <c r="C99" s="982"/>
      <c r="D99" s="982"/>
      <c r="E99" s="982"/>
      <c r="F99" s="982"/>
      <c r="G99" s="982"/>
      <c r="H99" s="954"/>
      <c r="J99" s="53"/>
      <c r="K99" s="51"/>
      <c r="M99" s="20"/>
    </row>
    <row r="100" spans="1:20" s="38" customFormat="1" ht="25" customHeight="1">
      <c r="A100" s="47"/>
      <c r="B100" s="982"/>
      <c r="C100" s="982"/>
      <c r="D100" s="982"/>
      <c r="E100" s="982"/>
      <c r="F100" s="982"/>
      <c r="G100" s="982"/>
      <c r="H100" s="954"/>
      <c r="J100" s="53"/>
      <c r="K100" s="51"/>
      <c r="M100" s="20"/>
    </row>
    <row r="101" spans="1:20" s="38" customFormat="1" ht="25" customHeight="1">
      <c r="A101" s="47"/>
      <c r="B101" s="55" t="s">
        <v>47</v>
      </c>
      <c r="C101" s="55"/>
      <c r="D101" s="55"/>
      <c r="E101" s="55"/>
      <c r="F101" s="55"/>
      <c r="H101" s="954"/>
      <c r="J101" s="53"/>
      <c r="K101" s="51"/>
      <c r="M101" s="20"/>
    </row>
    <row r="102" spans="1:20" s="207" customFormat="1" ht="25" customHeight="1">
      <c r="A102" s="47"/>
      <c r="B102" s="8" t="s">
        <v>6</v>
      </c>
      <c r="C102" s="8"/>
      <c r="D102" s="8"/>
      <c r="E102" s="8"/>
      <c r="F102" s="8"/>
      <c r="G102" s="203"/>
      <c r="H102" s="968"/>
      <c r="I102" s="203"/>
      <c r="J102" s="205"/>
      <c r="K102" s="206"/>
      <c r="L102" s="203"/>
      <c r="M102" s="20"/>
    </row>
    <row r="103" spans="1:20" s="38" customFormat="1" ht="25" customHeight="1">
      <c r="A103" s="208"/>
      <c r="B103" s="62" t="s">
        <v>7</v>
      </c>
      <c r="C103" s="63"/>
      <c r="D103" s="63"/>
      <c r="E103" s="64"/>
      <c r="F103" s="64"/>
      <c r="G103" s="57"/>
      <c r="H103" s="955"/>
      <c r="I103" s="57"/>
      <c r="J103" s="59"/>
      <c r="K103" s="60"/>
      <c r="L103" s="65"/>
      <c r="M103" s="20"/>
      <c r="O103" s="54"/>
      <c r="P103" s="54"/>
    </row>
    <row r="104" spans="1:20" s="54" customFormat="1" ht="25" customHeight="1">
      <c r="A104" s="47"/>
      <c r="B104" s="177"/>
      <c r="C104" s="160"/>
      <c r="D104" s="160"/>
      <c r="E104" s="160"/>
      <c r="F104" s="160"/>
      <c r="G104" s="160"/>
      <c r="H104" s="963"/>
      <c r="I104" s="161"/>
      <c r="J104" s="161"/>
      <c r="K104" s="162"/>
      <c r="L104" s="178"/>
      <c r="M104" s="20"/>
      <c r="R104" s="66"/>
      <c r="T104" s="66"/>
    </row>
    <row r="105" spans="1:20" s="38" customFormat="1" ht="25" customHeight="1">
      <c r="A105" s="47"/>
      <c r="B105" s="78" t="s">
        <v>10</v>
      </c>
      <c r="C105" s="209"/>
      <c r="D105" s="6"/>
      <c r="E105" s="6"/>
      <c r="F105" s="179"/>
      <c r="G105" s="6" t="s">
        <v>48</v>
      </c>
      <c r="H105" s="1"/>
      <c r="I105" s="180" t="s">
        <v>49</v>
      </c>
      <c r="J105" s="6"/>
      <c r="K105" s="181" t="s">
        <v>39</v>
      </c>
      <c r="L105" s="61"/>
      <c r="M105" s="20"/>
      <c r="N105" s="54"/>
    </row>
    <row r="106" spans="1:20" s="216" customFormat="1" ht="25" customHeight="1">
      <c r="A106" s="47"/>
      <c r="B106" s="137" t="s">
        <v>50</v>
      </c>
      <c r="C106" s="187"/>
      <c r="D106" s="210"/>
      <c r="E106" s="210"/>
      <c r="F106" s="211"/>
      <c r="G106" s="212">
        <f>S3_archive.50_EUR</f>
        <v>32.9</v>
      </c>
      <c r="H106" s="153"/>
      <c r="I106" s="213"/>
      <c r="J106" s="214"/>
      <c r="K106" s="192">
        <f>I106*G106</f>
        <v>0</v>
      </c>
      <c r="L106" s="215"/>
      <c r="M106" s="20"/>
      <c r="N106" s="174"/>
    </row>
    <row r="107" spans="1:20" s="54" customFormat="1" ht="25" customHeight="1">
      <c r="A107" s="217"/>
      <c r="B107" s="139" t="s">
        <v>51</v>
      </c>
      <c r="D107" s="174"/>
      <c r="E107" s="174"/>
      <c r="F107" s="195"/>
      <c r="G107" s="218">
        <f>S3_storage50_EUR</f>
        <v>47</v>
      </c>
      <c r="H107" s="157"/>
      <c r="I107" s="220"/>
      <c r="J107" s="197"/>
      <c r="K107" s="198">
        <f>I107*G107</f>
        <v>0</v>
      </c>
      <c r="L107" s="161"/>
      <c r="M107" s="20"/>
      <c r="T107" s="66"/>
    </row>
    <row r="108" spans="1:20" s="101" customFormat="1" ht="25" customHeight="1">
      <c r="A108" s="47"/>
      <c r="B108" s="97" t="s">
        <v>18</v>
      </c>
      <c r="C108" s="98"/>
      <c r="D108" s="98"/>
      <c r="E108" s="98"/>
      <c r="F108" s="98"/>
      <c r="G108" s="98"/>
      <c r="H108" s="98"/>
      <c r="I108" s="98"/>
      <c r="J108" s="98"/>
      <c r="K108" s="127">
        <f>SUM(K106:K107)</f>
        <v>0</v>
      </c>
      <c r="M108" s="20"/>
      <c r="P108" s="102"/>
      <c r="R108" s="102"/>
    </row>
    <row r="109" spans="1:20" ht="25" customHeight="1">
      <c r="A109" s="96"/>
      <c r="B109" s="112"/>
      <c r="C109" s="113"/>
      <c r="D109" s="113"/>
      <c r="E109" s="113"/>
      <c r="F109" s="113"/>
      <c r="G109" s="114"/>
      <c r="H109" s="959"/>
      <c r="I109" s="115"/>
      <c r="M109" s="20"/>
      <c r="N109" s="66"/>
      <c r="O109" s="66"/>
      <c r="P109" s="83"/>
    </row>
    <row r="110" spans="1:20" s="150" customFormat="1" ht="25" customHeight="1">
      <c r="A110" s="47"/>
      <c r="B110" s="8"/>
      <c r="C110" s="143"/>
      <c r="D110" s="64"/>
      <c r="E110" s="64"/>
      <c r="F110" s="64"/>
      <c r="G110" s="57"/>
      <c r="H110" s="955"/>
      <c r="I110" s="108"/>
      <c r="J110" s="65"/>
      <c r="K110" s="60"/>
      <c r="L110" s="61"/>
      <c r="M110" s="20"/>
      <c r="N110" s="182"/>
      <c r="O110" s="182"/>
      <c r="P110" s="182"/>
      <c r="Q110" s="182"/>
      <c r="R110" s="182"/>
      <c r="S110" s="182"/>
    </row>
    <row r="111" spans="1:20" ht="25" customHeight="1">
      <c r="A111" s="151"/>
      <c r="B111" s="238"/>
      <c r="C111" s="239"/>
      <c r="D111" s="239"/>
      <c r="E111" s="239"/>
      <c r="F111" s="240"/>
      <c r="G111" s="241"/>
      <c r="H111" s="199"/>
      <c r="I111" s="199"/>
      <c r="J111" s="199"/>
      <c r="K111" s="200"/>
      <c r="L111" s="201"/>
      <c r="M111" s="20"/>
      <c r="N111" s="54"/>
      <c r="Q111" s="38"/>
    </row>
    <row r="112" spans="1:20" s="38" customFormat="1" ht="25" customHeight="1">
      <c r="A112" s="10"/>
      <c r="B112" s="982" t="s">
        <v>63</v>
      </c>
      <c r="C112" s="982"/>
      <c r="D112" s="982"/>
      <c r="E112" s="982"/>
      <c r="F112" s="982"/>
      <c r="G112" s="982"/>
      <c r="H112" s="954"/>
      <c r="J112" s="53"/>
      <c r="K112" s="51"/>
      <c r="L112" s="53"/>
      <c r="M112" s="20"/>
    </row>
    <row r="113" spans="1:32" s="38" customFormat="1" ht="25" customHeight="1">
      <c r="A113" s="47"/>
      <c r="B113" s="982"/>
      <c r="C113" s="982"/>
      <c r="D113" s="982"/>
      <c r="E113" s="982"/>
      <c r="F113" s="982"/>
      <c r="G113" s="982"/>
      <c r="H113" s="954"/>
      <c r="J113" s="53"/>
      <c r="K113" s="51"/>
      <c r="L113" s="53"/>
      <c r="M113" s="20"/>
    </row>
    <row r="114" spans="1:32" s="38" customFormat="1" ht="25" customHeight="1">
      <c r="A114" s="47"/>
      <c r="B114" s="982"/>
      <c r="C114" s="982"/>
      <c r="D114" s="982"/>
      <c r="E114" s="982"/>
      <c r="F114" s="982"/>
      <c r="G114" s="982"/>
      <c r="H114" s="954"/>
      <c r="J114" s="53"/>
      <c r="K114" s="51"/>
      <c r="L114" s="53"/>
      <c r="M114" s="20"/>
    </row>
    <row r="115" spans="1:32" s="38" customFormat="1" ht="25" customHeight="1">
      <c r="A115" s="47"/>
      <c r="B115" s="55" t="s">
        <v>64</v>
      </c>
      <c r="C115" s="55"/>
      <c r="D115" s="55"/>
      <c r="E115" s="55"/>
      <c r="F115" s="55"/>
      <c r="H115" s="954"/>
      <c r="J115" s="53"/>
      <c r="K115" s="51"/>
      <c r="L115" s="53"/>
      <c r="M115" s="20"/>
    </row>
    <row r="116" spans="1:32" s="38" customFormat="1" ht="25" customHeight="1">
      <c r="A116" s="47"/>
      <c r="B116" s="8" t="s">
        <v>6</v>
      </c>
      <c r="C116" s="8"/>
      <c r="D116" s="8"/>
      <c r="E116" s="8"/>
      <c r="F116" s="8"/>
      <c r="G116" s="57"/>
      <c r="H116" s="955"/>
      <c r="J116" s="59"/>
      <c r="K116" s="60"/>
      <c r="L116" s="61"/>
      <c r="M116" s="20"/>
      <c r="S116" s="54"/>
      <c r="T116" s="54"/>
      <c r="U116" s="54"/>
      <c r="V116" s="54"/>
      <c r="W116" s="54"/>
      <c r="X116" s="54"/>
      <c r="Y116" s="54"/>
      <c r="Z116" s="54"/>
    </row>
    <row r="117" spans="1:32" s="38" customFormat="1" ht="25" customHeight="1">
      <c r="A117" s="47"/>
      <c r="B117" s="62" t="s">
        <v>7</v>
      </c>
      <c r="C117" s="63"/>
      <c r="D117" s="63"/>
      <c r="E117" s="64"/>
      <c r="F117" s="64"/>
      <c r="G117" s="57"/>
      <c r="H117" s="955"/>
      <c r="I117" s="57"/>
      <c r="J117" s="59"/>
      <c r="K117" s="60"/>
      <c r="L117" s="65"/>
      <c r="M117" s="20"/>
      <c r="O117" s="54"/>
      <c r="P117" s="54"/>
    </row>
    <row r="118" spans="1:32" s="150" customFormat="1" ht="25" customHeight="1">
      <c r="A118" s="242"/>
      <c r="B118" s="243"/>
      <c r="C118" s="161"/>
      <c r="D118" s="161"/>
      <c r="E118" s="161"/>
      <c r="F118" s="161"/>
      <c r="G118" s="161"/>
      <c r="H118" s="963"/>
      <c r="I118" s="161"/>
      <c r="J118" s="161"/>
      <c r="K118" s="162"/>
      <c r="L118" s="161"/>
      <c r="M118" s="20"/>
      <c r="P118" s="182"/>
      <c r="Q118" s="182"/>
      <c r="R118" s="182"/>
      <c r="S118" s="182"/>
      <c r="T118" s="182"/>
      <c r="U118" s="182"/>
    </row>
    <row r="119" spans="1:32" ht="25" customHeight="1">
      <c r="A119" s="151"/>
      <c r="B119" s="78" t="s">
        <v>10</v>
      </c>
      <c r="C119" s="244"/>
      <c r="D119" s="244"/>
      <c r="E119" s="6" t="s">
        <v>65</v>
      </c>
      <c r="F119" s="244"/>
      <c r="G119" s="6" t="s">
        <v>66</v>
      </c>
      <c r="H119" s="1"/>
      <c r="I119" s="180" t="s">
        <v>38</v>
      </c>
      <c r="J119" s="245" t="s">
        <v>67</v>
      </c>
      <c r="K119" s="181" t="s">
        <v>68</v>
      </c>
      <c r="L119" s="178"/>
      <c r="M119" s="20"/>
    </row>
    <row r="120" spans="1:32" ht="25" customHeight="1">
      <c r="B120" s="137" t="s">
        <v>69</v>
      </c>
      <c r="C120" s="187"/>
      <c r="D120" s="187"/>
      <c r="E120" s="246" t="s">
        <v>20</v>
      </c>
      <c r="F120" s="191"/>
      <c r="G120" s="247">
        <f>BAAS_on.demand_EUR</f>
        <v>0.2303</v>
      </c>
      <c r="H120" s="85"/>
      <c r="I120" s="213"/>
      <c r="J120" s="248" t="s">
        <v>20</v>
      </c>
      <c r="K120" s="192">
        <f>ROUNDUP(I120*G120,2)</f>
        <v>0</v>
      </c>
      <c r="L120" s="178"/>
      <c r="M120" s="20"/>
    </row>
    <row r="121" spans="1:32" ht="25" customHeight="1">
      <c r="B121" s="139" t="s">
        <v>70</v>
      </c>
      <c r="C121" s="174"/>
      <c r="D121" s="174"/>
      <c r="E121" s="249">
        <f>BAAS_small.fee_EUR</f>
        <v>517</v>
      </c>
      <c r="F121" s="197"/>
      <c r="G121" s="250">
        <f>BAAS_small_EUR</f>
        <v>0.16450000000000001</v>
      </c>
      <c r="H121" s="91"/>
      <c r="I121" s="251"/>
      <c r="J121" s="252">
        <v>0.75</v>
      </c>
      <c r="K121" s="198">
        <f>IF(I121&gt;0,$E$121+($G$121*(I121*(1-$J$121))),0)</f>
        <v>0</v>
      </c>
      <c r="L121" s="178"/>
      <c r="M121" s="20"/>
    </row>
    <row r="122" spans="1:32" s="256" customFormat="1" ht="25" customHeight="1">
      <c r="A122" s="10"/>
      <c r="B122" s="171" t="s">
        <v>71</v>
      </c>
      <c r="C122" s="225"/>
      <c r="D122" s="225"/>
      <c r="E122" s="253">
        <f>BAAS_large.fee_EUR</f>
        <v>893</v>
      </c>
      <c r="F122" s="229"/>
      <c r="G122" s="247">
        <f>BAAS_large_EUR</f>
        <v>8.6480000000000001E-2</v>
      </c>
      <c r="H122" s="969"/>
      <c r="I122" s="254"/>
      <c r="J122" s="255">
        <v>0.75</v>
      </c>
      <c r="K122" s="231">
        <f>IF(I122&gt;0,$E$122+($G$122*(I122*(1-$J$122))),0)</f>
        <v>0</v>
      </c>
      <c r="L122" s="178"/>
      <c r="M122" s="20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2" s="101" customFormat="1" ht="25" customHeight="1">
      <c r="A123" s="257"/>
      <c r="B123" s="97" t="s">
        <v>18</v>
      </c>
      <c r="C123" s="98"/>
      <c r="D123" s="98"/>
      <c r="E123" s="98"/>
      <c r="F123" s="98"/>
      <c r="G123" s="98"/>
      <c r="H123" s="98"/>
      <c r="I123" s="98" t="str">
        <f>SUM(I120:I122)&amp;" GB"</f>
        <v>0 GB</v>
      </c>
      <c r="J123" s="98"/>
      <c r="K123" s="127">
        <f>SUM(K120:K122)</f>
        <v>0</v>
      </c>
      <c r="M123" s="20"/>
      <c r="P123" s="102"/>
      <c r="R123" s="102"/>
    </row>
    <row r="124" spans="1:32" s="256" customFormat="1" ht="25" customHeight="1">
      <c r="A124" s="96"/>
      <c r="B124" s="103"/>
      <c r="C124" s="143"/>
      <c r="D124" s="143"/>
      <c r="E124" s="143"/>
      <c r="F124" s="258"/>
      <c r="G124" s="108"/>
      <c r="H124" s="958"/>
      <c r="I124" s="108"/>
      <c r="J124" s="108"/>
      <c r="K124" s="259"/>
      <c r="L124" s="106"/>
      <c r="M124" s="20"/>
      <c r="O124" s="260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</row>
    <row r="125" spans="1:32" ht="25" customHeight="1">
      <c r="A125" s="257"/>
      <c r="B125" s="238"/>
      <c r="C125" s="239"/>
      <c r="D125" s="239"/>
      <c r="E125" s="239"/>
      <c r="F125" s="240"/>
      <c r="G125" s="241"/>
      <c r="H125" s="199"/>
      <c r="I125" s="199"/>
      <c r="J125" s="199"/>
      <c r="K125" s="200"/>
      <c r="L125" s="215"/>
      <c r="M125" s="20"/>
      <c r="N125" s="54"/>
    </row>
    <row r="126" spans="1:32" s="256" customFormat="1" ht="25" customHeight="1">
      <c r="A126" s="96"/>
      <c r="B126" s="103"/>
      <c r="C126" s="108"/>
      <c r="D126" s="107"/>
      <c r="E126" s="107"/>
      <c r="F126" s="107"/>
      <c r="G126" s="108"/>
      <c r="H126" s="958"/>
      <c r="I126" s="108"/>
      <c r="J126" s="108"/>
      <c r="K126" s="111"/>
      <c r="L126" s="178"/>
      <c r="M126" s="20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2" s="38" customFormat="1" ht="25" customHeight="1">
      <c r="A127" s="151"/>
      <c r="B127" s="982" t="s">
        <v>84</v>
      </c>
      <c r="C127" s="982"/>
      <c r="D127" s="982"/>
      <c r="E127" s="982"/>
      <c r="F127" s="982"/>
      <c r="G127" s="982"/>
      <c r="H127" s="954"/>
      <c r="J127" s="53"/>
      <c r="K127" s="51"/>
      <c r="M127" s="20"/>
    </row>
    <row r="128" spans="1:32" s="38" customFormat="1" ht="25" customHeight="1">
      <c r="A128" s="47"/>
      <c r="B128" s="982"/>
      <c r="C128" s="982"/>
      <c r="D128" s="982"/>
      <c r="E128" s="982"/>
      <c r="F128" s="982"/>
      <c r="G128" s="982"/>
      <c r="H128" s="954"/>
      <c r="J128" s="53"/>
      <c r="K128" s="51"/>
      <c r="M128" s="20"/>
    </row>
    <row r="129" spans="1:26" s="38" customFormat="1" ht="25" customHeight="1">
      <c r="A129" s="47"/>
      <c r="B129" s="982"/>
      <c r="C129" s="982"/>
      <c r="D129" s="982"/>
      <c r="E129" s="982"/>
      <c r="F129" s="982"/>
      <c r="G129" s="982"/>
      <c r="H129" s="954"/>
      <c r="J129" s="53"/>
      <c r="K129" s="51"/>
      <c r="M129" s="20"/>
    </row>
    <row r="130" spans="1:26" s="38" customFormat="1" ht="25" customHeight="1">
      <c r="A130" s="47"/>
      <c r="B130" s="8" t="s">
        <v>6</v>
      </c>
      <c r="C130" s="8"/>
      <c r="D130" s="8"/>
      <c r="E130" s="8"/>
      <c r="F130" s="8"/>
      <c r="G130" s="57"/>
      <c r="H130" s="955"/>
      <c r="J130" s="59"/>
      <c r="K130" s="60"/>
      <c r="L130" s="61"/>
      <c r="M130" s="20"/>
      <c r="S130" s="54"/>
      <c r="T130" s="54"/>
      <c r="U130" s="54"/>
      <c r="V130" s="54"/>
      <c r="W130" s="54"/>
      <c r="X130" s="54"/>
      <c r="Y130" s="54"/>
      <c r="Z130" s="54"/>
    </row>
    <row r="131" spans="1:26" s="38" customFormat="1" ht="25" customHeight="1">
      <c r="A131" s="47"/>
      <c r="B131" s="8"/>
      <c r="C131" s="64"/>
      <c r="D131" s="64"/>
      <c r="E131" s="64"/>
      <c r="F131" s="64"/>
      <c r="G131" s="57"/>
      <c r="H131" s="955"/>
      <c r="I131" s="57"/>
      <c r="J131" s="59"/>
      <c r="K131" s="60"/>
      <c r="L131" s="57"/>
      <c r="M131" s="20"/>
    </row>
    <row r="132" spans="1:26" s="161" customFormat="1" ht="25" customHeight="1">
      <c r="A132" s="47"/>
      <c r="B132" s="68" t="s">
        <v>85</v>
      </c>
      <c r="C132" s="64"/>
      <c r="D132" s="64"/>
      <c r="E132" s="64"/>
      <c r="F132" s="64"/>
      <c r="G132" s="57"/>
      <c r="H132" s="65"/>
      <c r="I132" s="57"/>
      <c r="J132" s="59"/>
      <c r="K132" s="60"/>
      <c r="L132" s="57"/>
      <c r="M132" s="20"/>
      <c r="N132" s="54"/>
      <c r="O132" s="54"/>
      <c r="P132" s="54"/>
      <c r="Q132" s="54"/>
      <c r="R132" s="54"/>
      <c r="S132" s="54"/>
    </row>
    <row r="133" spans="1:26" ht="25" customHeight="1">
      <c r="A133" s="242"/>
      <c r="B133" s="76" t="s">
        <v>86</v>
      </c>
      <c r="M133" s="20"/>
    </row>
    <row r="134" spans="1:26" ht="25" customHeight="1">
      <c r="B134" s="273" t="s">
        <v>10</v>
      </c>
      <c r="C134" s="262" t="s">
        <v>87</v>
      </c>
      <c r="D134" s="262"/>
      <c r="E134" s="179" t="s">
        <v>37</v>
      </c>
      <c r="F134" s="179"/>
      <c r="G134" s="179"/>
      <c r="H134" s="1"/>
      <c r="I134" s="179"/>
      <c r="J134" s="262" t="s">
        <v>88</v>
      </c>
      <c r="K134" s="181" t="s">
        <v>89</v>
      </c>
      <c r="L134" s="135"/>
      <c r="M134" s="20"/>
      <c r="N134" s="201"/>
      <c r="O134" s="161"/>
    </row>
    <row r="135" spans="1:26" ht="25" customHeight="1">
      <c r="B135" s="137" t="s">
        <v>90</v>
      </c>
      <c r="C135" s="274" t="s">
        <v>91</v>
      </c>
      <c r="D135" s="274"/>
      <c r="E135" s="186" t="s">
        <v>92</v>
      </c>
      <c r="F135" s="191"/>
      <c r="G135" s="191"/>
      <c r="H135" s="85"/>
      <c r="I135" s="191"/>
      <c r="J135" s="275" t="s">
        <v>93</v>
      </c>
      <c r="K135" s="276">
        <f>NET_publicv4_EUR</f>
        <v>2.35</v>
      </c>
      <c r="M135" s="20"/>
      <c r="N135" s="201"/>
      <c r="O135" s="161"/>
    </row>
    <row r="136" spans="1:26" ht="25" customHeight="1">
      <c r="B136" s="139" t="s">
        <v>94</v>
      </c>
      <c r="C136" s="277" t="s">
        <v>95</v>
      </c>
      <c r="D136" s="277"/>
      <c r="E136" s="54" t="s">
        <v>92</v>
      </c>
      <c r="F136" s="278"/>
      <c r="G136" s="278"/>
      <c r="H136" s="299"/>
      <c r="I136" s="278"/>
      <c r="J136" s="279" t="s">
        <v>20</v>
      </c>
      <c r="K136" s="280">
        <f>NET_publicv6_EUR</f>
        <v>0</v>
      </c>
      <c r="M136" s="20"/>
      <c r="N136" s="201"/>
      <c r="O136" s="161"/>
    </row>
    <row r="137" spans="1:26" ht="25" customHeight="1">
      <c r="B137" s="137" t="s">
        <v>96</v>
      </c>
      <c r="C137" s="274" t="s">
        <v>97</v>
      </c>
      <c r="D137" s="274"/>
      <c r="E137" s="281"/>
      <c r="F137" s="282"/>
      <c r="G137" s="282"/>
      <c r="H137" s="378"/>
      <c r="I137" s="282"/>
      <c r="J137" s="275" t="s">
        <v>98</v>
      </c>
      <c r="K137" s="276">
        <f>NET_ingress_EUR</f>
        <v>0</v>
      </c>
      <c r="M137" s="20"/>
      <c r="N137" s="201"/>
      <c r="O137" s="161"/>
    </row>
    <row r="138" spans="1:26" ht="25" customHeight="1">
      <c r="B138" s="139" t="s">
        <v>99</v>
      </c>
      <c r="C138" s="277" t="s">
        <v>97</v>
      </c>
      <c r="D138" s="277"/>
      <c r="E138" s="54"/>
      <c r="F138" s="278"/>
      <c r="G138" s="278"/>
      <c r="H138" s="299"/>
      <c r="I138" s="278"/>
      <c r="J138" s="283" t="s">
        <v>98</v>
      </c>
      <c r="K138" s="280">
        <f>NET_egress_EUR</f>
        <v>0</v>
      </c>
      <c r="M138" s="20"/>
      <c r="N138" s="201"/>
      <c r="O138" s="161"/>
    </row>
    <row r="139" spans="1:26" ht="25" customHeight="1">
      <c r="B139" s="137" t="s">
        <v>100</v>
      </c>
      <c r="C139" s="274" t="s">
        <v>101</v>
      </c>
      <c r="D139" s="274"/>
      <c r="E139" s="191" t="s">
        <v>102</v>
      </c>
      <c r="F139" s="282"/>
      <c r="G139" s="282"/>
      <c r="H139" s="378"/>
      <c r="I139" s="282"/>
      <c r="J139" s="275" t="s">
        <v>103</v>
      </c>
      <c r="K139" s="284">
        <f>NET_mgn.slb_EUR</f>
        <v>25.85</v>
      </c>
      <c r="M139" s="20"/>
    </row>
    <row r="140" spans="1:26" ht="25" customHeight="1">
      <c r="B140" s="139" t="s">
        <v>104</v>
      </c>
      <c r="C140" s="277" t="s">
        <v>105</v>
      </c>
      <c r="D140" s="277"/>
      <c r="E140" s="54"/>
      <c r="F140" s="278"/>
      <c r="G140" s="278"/>
      <c r="H140" s="299"/>
      <c r="I140" s="278"/>
      <c r="J140" s="279" t="s">
        <v>20</v>
      </c>
      <c r="K140" s="280">
        <f>NET_rdns_EUR</f>
        <v>0</v>
      </c>
      <c r="M140" s="20"/>
      <c r="N140" s="201"/>
      <c r="O140" s="161"/>
    </row>
    <row r="141" spans="1:26" ht="25" customHeight="1">
      <c r="B141" s="137" t="s">
        <v>106</v>
      </c>
      <c r="C141" s="274" t="s">
        <v>107</v>
      </c>
      <c r="D141" s="274"/>
      <c r="E141" s="191"/>
      <c r="F141" s="282"/>
      <c r="G141" s="282"/>
      <c r="H141" s="378"/>
      <c r="I141" s="282"/>
      <c r="J141" s="285" t="s">
        <v>20</v>
      </c>
      <c r="K141" s="276">
        <v>0</v>
      </c>
      <c r="M141" s="20"/>
      <c r="N141" s="201"/>
      <c r="O141" s="161"/>
    </row>
    <row r="142" spans="1:26" ht="25" customHeight="1">
      <c r="B142" s="286"/>
      <c r="C142" s="287"/>
      <c r="D142" s="288"/>
      <c r="E142" s="288"/>
      <c r="F142" s="288"/>
      <c r="G142" s="288"/>
      <c r="H142" s="970"/>
      <c r="I142" s="288"/>
      <c r="J142" s="287"/>
      <c r="K142" s="289"/>
      <c r="M142" s="20"/>
      <c r="N142" s="201"/>
      <c r="O142" s="161"/>
    </row>
    <row r="143" spans="1:26" ht="25" customHeight="1">
      <c r="C143" s="290"/>
      <c r="J143" s="290"/>
      <c r="M143" s="20"/>
      <c r="N143" s="201"/>
      <c r="O143" s="161"/>
    </row>
    <row r="144" spans="1:26" ht="25" customHeight="1">
      <c r="C144" s="290"/>
      <c r="J144" s="290"/>
      <c r="M144" s="20"/>
      <c r="N144" s="201"/>
      <c r="O144" s="161"/>
    </row>
    <row r="145" spans="1:18" ht="25" customHeight="1">
      <c r="B145" s="68" t="s">
        <v>108</v>
      </c>
      <c r="C145" s="135"/>
      <c r="D145" s="135"/>
      <c r="E145" s="135"/>
      <c r="F145" s="135"/>
      <c r="G145" s="135"/>
      <c r="H145" s="971"/>
      <c r="I145" s="135"/>
      <c r="J145" s="291"/>
      <c r="M145" s="20"/>
      <c r="N145" s="201"/>
      <c r="O145" s="161"/>
    </row>
    <row r="146" spans="1:18" ht="25" customHeight="1">
      <c r="B146" s="76" t="s">
        <v>109</v>
      </c>
      <c r="M146" s="20"/>
    </row>
    <row r="147" spans="1:18" ht="25" customHeight="1">
      <c r="B147" s="273" t="s">
        <v>10</v>
      </c>
      <c r="C147" s="262"/>
      <c r="D147" s="262"/>
      <c r="E147" s="179" t="s">
        <v>37</v>
      </c>
      <c r="F147" s="179"/>
      <c r="G147" s="179"/>
      <c r="H147" s="1"/>
      <c r="I147" s="179"/>
      <c r="J147" s="262" t="s">
        <v>88</v>
      </c>
      <c r="K147" s="181" t="s">
        <v>89</v>
      </c>
      <c r="M147" s="20"/>
      <c r="N147" s="201"/>
      <c r="O147" s="161"/>
    </row>
    <row r="148" spans="1:18" ht="25" customHeight="1">
      <c r="B148" s="137" t="s">
        <v>110</v>
      </c>
      <c r="C148" s="274"/>
      <c r="D148" s="191"/>
      <c r="E148" s="191" t="s">
        <v>111</v>
      </c>
      <c r="F148" s="191"/>
      <c r="G148" s="191"/>
      <c r="H148" s="85"/>
      <c r="I148" s="191"/>
      <c r="J148" s="275" t="s">
        <v>11</v>
      </c>
      <c r="K148" s="276">
        <f>SW_win.ser.201X_EUR</f>
        <v>16.45</v>
      </c>
      <c r="L148" s="199"/>
      <c r="M148" s="20"/>
      <c r="N148" s="201"/>
      <c r="O148" s="161"/>
      <c r="Q148" s="54"/>
      <c r="R148" s="54"/>
    </row>
    <row r="149" spans="1:18" ht="25" customHeight="1">
      <c r="B149" s="139" t="s">
        <v>112</v>
      </c>
      <c r="C149" s="277"/>
      <c r="D149" s="197"/>
      <c r="E149" s="197" t="s">
        <v>113</v>
      </c>
      <c r="F149" s="278"/>
      <c r="G149" s="278"/>
      <c r="H149" s="299"/>
      <c r="I149" s="278"/>
      <c r="J149" s="283" t="s">
        <v>11</v>
      </c>
      <c r="K149" s="280">
        <f>SW_ms.sql.ser_EUR</f>
        <v>115.526</v>
      </c>
      <c r="L149" s="199"/>
      <c r="M149" s="20"/>
      <c r="N149" s="201"/>
      <c r="O149" s="161"/>
      <c r="Q149" s="54"/>
      <c r="R149" s="54"/>
    </row>
    <row r="150" spans="1:18" ht="25" customHeight="1">
      <c r="A150" s="47"/>
      <c r="B150" s="137" t="s">
        <v>114</v>
      </c>
      <c r="C150" s="274"/>
      <c r="D150" s="191"/>
      <c r="E150" s="191" t="s">
        <v>115</v>
      </c>
      <c r="F150" s="191"/>
      <c r="G150" s="191"/>
      <c r="H150" s="85"/>
      <c r="I150" s="191"/>
      <c r="J150" s="275" t="s">
        <v>11</v>
      </c>
      <c r="K150" s="276">
        <f>SW_ms.sql.ser.ent_EUR</f>
        <v>364.25</v>
      </c>
      <c r="L150" s="199"/>
      <c r="M150" s="20"/>
      <c r="N150" s="201"/>
      <c r="O150" s="161"/>
      <c r="Q150" s="54"/>
      <c r="R150" s="54"/>
    </row>
    <row r="151" spans="1:18" ht="25" customHeight="1">
      <c r="B151" s="292"/>
      <c r="C151" s="293"/>
      <c r="D151" s="294"/>
      <c r="E151" s="295"/>
      <c r="F151" s="296"/>
      <c r="G151" s="296"/>
      <c r="H151" s="295"/>
      <c r="I151" s="296"/>
      <c r="J151" s="297"/>
      <c r="K151" s="298"/>
      <c r="M151" s="20"/>
      <c r="N151" s="201"/>
      <c r="O151" s="161"/>
    </row>
    <row r="152" spans="1:18" ht="25" customHeight="1">
      <c r="B152" s="139"/>
      <c r="C152" s="277"/>
      <c r="D152" s="54"/>
      <c r="E152" s="299"/>
      <c r="F152" s="278"/>
      <c r="G152" s="278"/>
      <c r="H152" s="299"/>
      <c r="I152" s="278"/>
      <c r="J152" s="300"/>
      <c r="K152" s="198"/>
      <c r="M152" s="20"/>
      <c r="N152" s="201"/>
      <c r="O152" s="161"/>
    </row>
    <row r="153" spans="1:18" ht="25" customHeight="1">
      <c r="M153" s="20"/>
      <c r="N153" s="201"/>
      <c r="O153" s="161"/>
    </row>
    <row r="154" spans="1:18" ht="25" customHeight="1">
      <c r="B154" s="68" t="s">
        <v>120</v>
      </c>
      <c r="C154" s="135"/>
      <c r="D154" s="135"/>
      <c r="F154" s="135"/>
      <c r="G154" s="135"/>
      <c r="H154" s="971"/>
      <c r="I154" s="135"/>
      <c r="J154" s="135"/>
      <c r="M154" s="20"/>
      <c r="N154" s="201"/>
      <c r="O154" s="161"/>
    </row>
    <row r="155" spans="1:18" ht="25" customHeight="1">
      <c r="B155" s="76" t="s">
        <v>121</v>
      </c>
      <c r="M155" s="20"/>
    </row>
    <row r="156" spans="1:18" ht="25" customHeight="1">
      <c r="B156" s="273" t="s">
        <v>10</v>
      </c>
      <c r="C156" s="262"/>
      <c r="D156" s="262"/>
      <c r="E156" s="179" t="s">
        <v>37</v>
      </c>
      <c r="F156" s="179"/>
      <c r="G156" s="179"/>
      <c r="H156" s="1"/>
      <c r="I156" s="179"/>
      <c r="J156" s="6"/>
      <c r="K156" s="181" t="s">
        <v>89</v>
      </c>
      <c r="M156" s="20"/>
      <c r="N156" s="201"/>
      <c r="O156" s="161"/>
    </row>
    <row r="157" spans="1:18" ht="25" customHeight="1">
      <c r="B157" s="137" t="s">
        <v>122</v>
      </c>
      <c r="C157" s="274"/>
      <c r="D157" s="191"/>
      <c r="E157" s="191" t="s">
        <v>123</v>
      </c>
      <c r="F157" s="191"/>
      <c r="G157" s="191"/>
      <c r="H157" s="85"/>
      <c r="I157" s="191"/>
      <c r="J157" s="301"/>
      <c r="K157" s="276" t="str">
        <f>PAAS_man.kubernetes_EUR</f>
        <v>Request a quote</v>
      </c>
      <c r="M157" s="20"/>
      <c r="N157" s="201"/>
      <c r="O157" s="161"/>
    </row>
    <row r="158" spans="1:18" ht="25" customHeight="1">
      <c r="B158" s="139" t="s">
        <v>124</v>
      </c>
      <c r="C158" s="277"/>
      <c r="D158" s="197"/>
      <c r="E158" s="197" t="s">
        <v>125</v>
      </c>
      <c r="F158" s="278"/>
      <c r="G158" s="278"/>
      <c r="H158" s="299"/>
      <c r="I158" s="278"/>
      <c r="J158" s="300"/>
      <c r="K158" s="280" t="str">
        <f>PAAS_man.postgres.sql_EUR</f>
        <v>Request a quote</v>
      </c>
      <c r="M158" s="20"/>
      <c r="N158" s="201"/>
      <c r="O158" s="161"/>
    </row>
    <row r="159" spans="1:18" ht="25" customHeight="1">
      <c r="B159" s="137" t="s">
        <v>126</v>
      </c>
      <c r="C159" s="274"/>
      <c r="D159" s="191"/>
      <c r="E159" s="191" t="s">
        <v>713</v>
      </c>
      <c r="F159" s="191"/>
      <c r="G159" s="191"/>
      <c r="H159" s="85"/>
      <c r="I159" s="191"/>
      <c r="J159" s="301"/>
      <c r="K159" s="276" t="str">
        <f>PAAS_man.elasticsearch_EUR</f>
        <v>Request a quote</v>
      </c>
      <c r="M159" s="20"/>
      <c r="N159" s="201"/>
      <c r="O159" s="161"/>
    </row>
    <row r="160" spans="1:18" ht="25" customHeight="1">
      <c r="B160" s="139" t="s">
        <v>128</v>
      </c>
      <c r="C160" s="277"/>
      <c r="D160" s="197"/>
      <c r="E160" s="197" t="s">
        <v>129</v>
      </c>
      <c r="F160" s="278"/>
      <c r="G160" s="278"/>
      <c r="H160" s="299"/>
      <c r="I160" s="278"/>
      <c r="J160" s="300"/>
      <c r="K160" s="280" t="str">
        <f>PAAS_openshift_EUR</f>
        <v>Request a quote</v>
      </c>
      <c r="M160" s="20"/>
      <c r="N160" s="201"/>
      <c r="O160" s="161"/>
    </row>
    <row r="161" spans="1:20" ht="25" customHeight="1">
      <c r="B161" s="137" t="s">
        <v>130</v>
      </c>
      <c r="C161" s="274"/>
      <c r="D161" s="191"/>
      <c r="E161" s="191" t="s">
        <v>131</v>
      </c>
      <c r="F161" s="191"/>
      <c r="G161" s="191"/>
      <c r="H161" s="85"/>
      <c r="I161" s="191"/>
      <c r="J161" s="301"/>
      <c r="K161" s="276" t="str">
        <f>PAAS_man.nats_EUR</f>
        <v>Request a quote</v>
      </c>
      <c r="M161" s="20"/>
      <c r="N161" s="201"/>
      <c r="O161" s="161"/>
    </row>
    <row r="162" spans="1:20" ht="25" customHeight="1">
      <c r="B162" s="139" t="s">
        <v>132</v>
      </c>
      <c r="C162" s="277"/>
      <c r="D162" s="197"/>
      <c r="E162" s="197" t="s">
        <v>133</v>
      </c>
      <c r="F162" s="278"/>
      <c r="G162" s="278"/>
      <c r="H162" s="299"/>
      <c r="I162" s="278"/>
      <c r="J162" s="300"/>
      <c r="K162" s="280" t="str">
        <f>PAAS_man.mariadb_EUR</f>
        <v>Request a quote</v>
      </c>
      <c r="M162" s="20"/>
      <c r="N162" s="201"/>
      <c r="O162" s="161"/>
    </row>
    <row r="163" spans="1:20" ht="25" customHeight="1">
      <c r="B163" s="302" t="s">
        <v>134</v>
      </c>
      <c r="C163" s="274"/>
      <c r="D163" s="191"/>
      <c r="E163" s="191" t="s">
        <v>135</v>
      </c>
      <c r="F163" s="191"/>
      <c r="G163" s="191"/>
      <c r="H163" s="85"/>
      <c r="I163" s="191"/>
      <c r="J163" s="301"/>
      <c r="K163" s="276" t="str">
        <f>PAAS_man.redis_EUR</f>
        <v>Request a quote</v>
      </c>
      <c r="M163" s="20"/>
      <c r="N163" s="201"/>
      <c r="O163" s="161"/>
    </row>
    <row r="164" spans="1:20" ht="25" customHeight="1">
      <c r="B164" s="292"/>
      <c r="C164" s="293"/>
      <c r="D164" s="303"/>
      <c r="E164" s="295"/>
      <c r="F164" s="296"/>
      <c r="G164" s="296"/>
      <c r="H164" s="295"/>
      <c r="I164" s="296"/>
      <c r="J164" s="297"/>
      <c r="K164" s="298"/>
      <c r="M164" s="20"/>
      <c r="N164" s="201"/>
      <c r="O164" s="161"/>
    </row>
    <row r="165" spans="1:20" ht="25" customHeight="1">
      <c r="B165" s="139"/>
      <c r="C165" s="277"/>
      <c r="D165" s="197"/>
      <c r="E165" s="299"/>
      <c r="F165" s="278"/>
      <c r="G165" s="300"/>
      <c r="H165" s="316"/>
      <c r="I165" s="304"/>
      <c r="M165" s="20"/>
    </row>
    <row r="166" spans="1:20" ht="25" customHeight="1">
      <c r="A166" s="47"/>
      <c r="B166" s="305"/>
      <c r="C166" s="239"/>
      <c r="D166" s="239"/>
      <c r="E166" s="239"/>
      <c r="F166" s="240"/>
      <c r="G166" s="241"/>
      <c r="H166" s="199"/>
      <c r="I166" s="199"/>
      <c r="J166" s="199"/>
      <c r="K166" s="200"/>
      <c r="L166" s="201"/>
      <c r="M166" s="20"/>
      <c r="N166" s="54"/>
      <c r="O166" s="54"/>
    </row>
    <row r="167" spans="1:20" s="38" customFormat="1" ht="25" customHeight="1">
      <c r="A167" s="47"/>
      <c r="B167" s="982" t="s">
        <v>136</v>
      </c>
      <c r="C167" s="982"/>
      <c r="D167" s="982"/>
      <c r="E167" s="982"/>
      <c r="F167" s="982"/>
      <c r="G167" s="982"/>
      <c r="H167" s="982"/>
      <c r="I167" s="982"/>
      <c r="J167" s="982"/>
      <c r="K167" s="982"/>
      <c r="M167" s="20"/>
    </row>
    <row r="168" spans="1:20" s="38" customFormat="1" ht="25" customHeight="1">
      <c r="A168" s="47"/>
      <c r="B168" s="982"/>
      <c r="C168" s="982"/>
      <c r="D168" s="982"/>
      <c r="E168" s="982"/>
      <c r="F168" s="982"/>
      <c r="G168" s="982"/>
      <c r="H168" s="982"/>
      <c r="I168" s="982"/>
      <c r="J168" s="982"/>
      <c r="K168" s="982"/>
      <c r="M168" s="20"/>
    </row>
    <row r="169" spans="1:20" s="38" customFormat="1" ht="25" customHeight="1">
      <c r="A169" s="47"/>
      <c r="B169" s="982"/>
      <c r="C169" s="982"/>
      <c r="D169" s="982"/>
      <c r="E169" s="982"/>
      <c r="F169" s="982"/>
      <c r="G169" s="982"/>
      <c r="H169" s="982"/>
      <c r="I169" s="982"/>
      <c r="J169" s="982"/>
      <c r="K169" s="982"/>
      <c r="M169" s="20"/>
    </row>
    <row r="170" spans="1:20" s="38" customFormat="1" ht="25" customHeight="1">
      <c r="A170" s="47"/>
      <c r="B170" s="987" t="s">
        <v>137</v>
      </c>
      <c r="C170" s="987"/>
      <c r="D170" s="987"/>
      <c r="E170" s="987"/>
      <c r="F170" s="987"/>
      <c r="H170" s="954"/>
      <c r="J170" s="53"/>
      <c r="K170" s="51"/>
      <c r="M170" s="20"/>
    </row>
    <row r="171" spans="1:20" s="38" customFormat="1" ht="25" customHeight="1">
      <c r="A171" s="47"/>
      <c r="B171" s="984" t="s">
        <v>138</v>
      </c>
      <c r="C171" s="984"/>
      <c r="D171" s="984"/>
      <c r="E171" s="984"/>
      <c r="F171" s="984"/>
      <c r="G171" s="57"/>
      <c r="H171" s="955"/>
      <c r="I171" s="57"/>
      <c r="J171" s="59"/>
      <c r="K171" s="60"/>
      <c r="L171" s="57"/>
      <c r="M171" s="20"/>
    </row>
    <row r="172" spans="1:20" s="38" customFormat="1" ht="25" customHeight="1">
      <c r="A172" s="10"/>
      <c r="B172" s="8"/>
      <c r="C172" s="64"/>
      <c r="D172" s="64"/>
      <c r="E172" s="64"/>
      <c r="F172" s="64"/>
      <c r="G172" s="57"/>
      <c r="H172" s="955"/>
      <c r="I172" s="57"/>
      <c r="J172" s="59"/>
      <c r="K172" s="60"/>
      <c r="L172" s="57"/>
      <c r="M172" s="20"/>
    </row>
    <row r="173" spans="1:20" ht="25" customHeight="1">
      <c r="B173" s="68" t="s">
        <v>139</v>
      </c>
      <c r="C173" s="135"/>
      <c r="D173" s="135"/>
      <c r="F173" s="135"/>
      <c r="G173" s="135"/>
      <c r="H173" s="971"/>
      <c r="I173" s="135"/>
      <c r="J173" s="135"/>
      <c r="K173" s="307"/>
      <c r="L173" s="135"/>
      <c r="M173" s="20"/>
      <c r="O173" s="201"/>
      <c r="P173" s="201"/>
      <c r="Q173" s="161"/>
      <c r="S173" s="54"/>
      <c r="T173" s="54"/>
    </row>
    <row r="174" spans="1:20" ht="25" customHeight="1">
      <c r="B174" s="76" t="s">
        <v>140</v>
      </c>
      <c r="M174" s="20"/>
    </row>
    <row r="175" spans="1:20" ht="25" customHeight="1">
      <c r="B175" s="273" t="s">
        <v>10</v>
      </c>
      <c r="C175" s="262"/>
      <c r="D175" s="179" t="s">
        <v>37</v>
      </c>
      <c r="E175" s="179"/>
      <c r="F175" s="179"/>
      <c r="G175" s="179"/>
      <c r="H175" s="1"/>
      <c r="I175" s="262" t="s">
        <v>88</v>
      </c>
      <c r="J175" s="262"/>
      <c r="K175" s="181" t="s">
        <v>89</v>
      </c>
      <c r="L175" s="199"/>
      <c r="M175" s="20"/>
      <c r="N175" s="201"/>
      <c r="O175" s="161"/>
      <c r="Q175" s="54"/>
      <c r="R175" s="54"/>
    </row>
    <row r="176" spans="1:20" ht="25" customHeight="1">
      <c r="B176" s="137" t="s">
        <v>141</v>
      </c>
      <c r="C176" s="274"/>
      <c r="D176" s="191" t="s">
        <v>142</v>
      </c>
      <c r="E176" s="301"/>
      <c r="F176" s="191"/>
      <c r="G176" s="301"/>
      <c r="H176" s="315"/>
      <c r="I176" s="285" t="s">
        <v>20</v>
      </c>
      <c r="J176" s="285"/>
      <c r="K176" s="192">
        <v>0</v>
      </c>
      <c r="L176" s="199"/>
      <c r="M176" s="20"/>
      <c r="N176" s="201"/>
      <c r="O176" s="161"/>
      <c r="Q176" s="54"/>
      <c r="R176" s="54"/>
    </row>
    <row r="177" spans="1:18" ht="25" customHeight="1">
      <c r="B177" s="139" t="s">
        <v>143</v>
      </c>
      <c r="C177" s="277"/>
      <c r="D177" s="197" t="s">
        <v>144</v>
      </c>
      <c r="E177" s="299"/>
      <c r="F177" s="278"/>
      <c r="G177" s="300"/>
      <c r="H177" s="316"/>
      <c r="I177" s="283" t="s">
        <v>145</v>
      </c>
      <c r="J177" s="283"/>
      <c r="K177" s="198" t="s">
        <v>146</v>
      </c>
      <c r="L177" s="199"/>
      <c r="M177" s="20"/>
      <c r="N177" s="201"/>
      <c r="O177" s="161"/>
      <c r="Q177" s="54"/>
      <c r="R177" s="54"/>
    </row>
    <row r="178" spans="1:18" ht="25" customHeight="1">
      <c r="A178" s="77"/>
      <c r="B178" s="292"/>
      <c r="C178" s="293"/>
      <c r="D178" s="293"/>
      <c r="E178" s="295"/>
      <c r="F178" s="296"/>
      <c r="G178" s="297"/>
      <c r="H178" s="972"/>
      <c r="I178" s="308"/>
      <c r="J178" s="308"/>
      <c r="K178" s="298"/>
      <c r="L178" s="199"/>
      <c r="M178" s="20"/>
      <c r="N178" s="201"/>
      <c r="O178" s="161"/>
      <c r="Q178" s="54"/>
      <c r="R178" s="54"/>
    </row>
    <row r="179" spans="1:18" ht="25" customHeight="1">
      <c r="B179" s="139"/>
      <c r="C179" s="277"/>
      <c r="D179" s="197"/>
      <c r="E179" s="299"/>
      <c r="F179" s="278"/>
      <c r="G179" s="300"/>
      <c r="H179" s="316"/>
      <c r="I179" s="283"/>
      <c r="J179" s="283"/>
      <c r="K179" s="198"/>
      <c r="L179" s="199"/>
      <c r="M179" s="20"/>
      <c r="N179" s="201"/>
      <c r="O179" s="161"/>
      <c r="Q179" s="54"/>
      <c r="R179" s="54"/>
    </row>
    <row r="180" spans="1:18" s="82" customFormat="1" ht="25" customHeight="1">
      <c r="A180" s="10"/>
      <c r="B180" s="68" t="s">
        <v>147</v>
      </c>
      <c r="C180" s="309"/>
      <c r="D180" s="309"/>
      <c r="F180" s="309"/>
      <c r="G180" s="309"/>
      <c r="H180" s="973"/>
      <c r="I180" s="310"/>
      <c r="J180" s="310"/>
      <c r="K180" s="311"/>
      <c r="L180" s="312"/>
      <c r="M180" s="20"/>
      <c r="N180" s="313"/>
      <c r="O180" s="314"/>
      <c r="Q180" s="314"/>
      <c r="R180" s="314"/>
    </row>
    <row r="181" spans="1:18" ht="25" customHeight="1">
      <c r="B181" s="76" t="s">
        <v>148</v>
      </c>
      <c r="M181" s="20"/>
    </row>
    <row r="182" spans="1:18" ht="25" customHeight="1">
      <c r="B182" s="273" t="s">
        <v>10</v>
      </c>
      <c r="C182" s="262"/>
      <c r="D182" s="179" t="s">
        <v>37</v>
      </c>
      <c r="E182" s="179"/>
      <c r="F182" s="179"/>
      <c r="G182" s="179"/>
      <c r="H182" s="1"/>
      <c r="I182" s="262" t="s">
        <v>88</v>
      </c>
      <c r="J182" s="262"/>
      <c r="K182" s="181" t="s">
        <v>89</v>
      </c>
      <c r="L182" s="199"/>
      <c r="M182" s="20"/>
      <c r="N182" s="201"/>
      <c r="O182" s="161"/>
      <c r="Q182" s="54"/>
      <c r="R182" s="54"/>
    </row>
    <row r="183" spans="1:18" ht="25" customHeight="1">
      <c r="B183" s="137" t="s">
        <v>149</v>
      </c>
      <c r="C183" s="274"/>
      <c r="D183" s="191" t="s">
        <v>150</v>
      </c>
      <c r="E183" s="301"/>
      <c r="F183" s="191"/>
      <c r="G183" s="301"/>
      <c r="H183" s="315"/>
      <c r="I183" s="275" t="s">
        <v>145</v>
      </c>
      <c r="J183" s="275"/>
      <c r="K183" s="192">
        <f>PS_consult.jun_EUR</f>
        <v>105.938</v>
      </c>
      <c r="L183" s="199"/>
      <c r="M183" s="20"/>
      <c r="N183" s="201"/>
      <c r="O183" s="161"/>
      <c r="Q183" s="54"/>
      <c r="R183" s="54"/>
    </row>
    <row r="184" spans="1:18" ht="25" customHeight="1">
      <c r="B184" s="139" t="s">
        <v>151</v>
      </c>
      <c r="C184" s="277"/>
      <c r="D184" s="197" t="s">
        <v>152</v>
      </c>
      <c r="E184" s="299"/>
      <c r="F184" s="278"/>
      <c r="G184" s="300"/>
      <c r="H184" s="316"/>
      <c r="I184" s="283" t="s">
        <v>145</v>
      </c>
      <c r="J184" s="283"/>
      <c r="K184" s="198">
        <f>PS_consult.sen_EUR</f>
        <v>129.15600000000001</v>
      </c>
      <c r="L184" s="199"/>
      <c r="M184" s="20"/>
      <c r="N184" s="201"/>
      <c r="O184" s="161"/>
      <c r="Q184" s="54"/>
      <c r="R184" s="54"/>
    </row>
    <row r="185" spans="1:18" ht="25" customHeight="1">
      <c r="B185" s="137" t="s">
        <v>153</v>
      </c>
      <c r="C185" s="274"/>
      <c r="D185" s="191" t="s">
        <v>154</v>
      </c>
      <c r="E185" s="301"/>
      <c r="F185" s="191"/>
      <c r="G185" s="301"/>
      <c r="H185" s="315"/>
      <c r="I185" s="275" t="s">
        <v>145</v>
      </c>
      <c r="J185" s="275"/>
      <c r="K185" s="192">
        <f>PS_cloudarch.jun_EUR</f>
        <v>120.038</v>
      </c>
      <c r="L185" s="199"/>
      <c r="M185" s="20"/>
      <c r="N185" s="201"/>
      <c r="O185" s="161"/>
      <c r="Q185" s="54"/>
      <c r="R185" s="54"/>
    </row>
    <row r="186" spans="1:18" ht="25" customHeight="1">
      <c r="B186" s="139" t="s">
        <v>155</v>
      </c>
      <c r="C186" s="277"/>
      <c r="D186" s="197" t="s">
        <v>156</v>
      </c>
      <c r="E186" s="197"/>
      <c r="F186" s="197"/>
      <c r="G186" s="300"/>
      <c r="H186" s="316"/>
      <c r="I186" s="283" t="s">
        <v>145</v>
      </c>
      <c r="J186" s="283"/>
      <c r="K186" s="198">
        <f>PS_cloudarch.sen_EUR</f>
        <v>129.15600000000001</v>
      </c>
      <c r="L186" s="199"/>
      <c r="M186" s="20"/>
      <c r="N186" s="201"/>
      <c r="O186" s="161"/>
      <c r="Q186" s="54"/>
      <c r="R186" s="54"/>
    </row>
    <row r="187" spans="1:18" ht="25" customHeight="1">
      <c r="B187" s="137" t="s">
        <v>157</v>
      </c>
      <c r="C187" s="274"/>
      <c r="D187" s="191" t="s">
        <v>158</v>
      </c>
      <c r="E187" s="301"/>
      <c r="F187" s="191"/>
      <c r="G187" s="301"/>
      <c r="H187" s="315"/>
      <c r="I187" s="275" t="s">
        <v>145</v>
      </c>
      <c r="J187" s="275"/>
      <c r="K187" s="192">
        <f>PS_pm.jun_EUR</f>
        <v>107.066</v>
      </c>
      <c r="L187" s="199"/>
      <c r="M187" s="20"/>
      <c r="N187" s="201"/>
      <c r="O187" s="161"/>
      <c r="Q187" s="54"/>
      <c r="R187" s="54"/>
    </row>
    <row r="188" spans="1:18" ht="25" customHeight="1">
      <c r="B188" s="139" t="s">
        <v>159</v>
      </c>
      <c r="C188" s="277"/>
      <c r="D188" s="197" t="s">
        <v>160</v>
      </c>
      <c r="E188" s="299"/>
      <c r="F188" s="278"/>
      <c r="G188" s="300"/>
      <c r="H188" s="316"/>
      <c r="I188" s="283" t="s">
        <v>145</v>
      </c>
      <c r="J188" s="283"/>
      <c r="K188" s="198">
        <f>PS_pm.sen_EUR</f>
        <v>129.15600000000001</v>
      </c>
      <c r="L188" s="199"/>
      <c r="M188" s="20"/>
      <c r="N188" s="201"/>
      <c r="O188" s="161"/>
      <c r="Q188" s="54"/>
      <c r="R188" s="54"/>
    </row>
    <row r="189" spans="1:18" ht="25" customHeight="1">
      <c r="B189" s="292"/>
      <c r="C189" s="293"/>
      <c r="D189" s="303"/>
      <c r="E189" s="295"/>
      <c r="F189" s="296"/>
      <c r="G189" s="297"/>
      <c r="H189" s="972"/>
      <c r="I189" s="308"/>
      <c r="J189" s="308"/>
      <c r="K189" s="298"/>
      <c r="L189" s="199"/>
      <c r="M189" s="20"/>
      <c r="N189" s="201"/>
      <c r="O189" s="161"/>
      <c r="Q189" s="54"/>
      <c r="R189" s="54"/>
    </row>
    <row r="190" spans="1:18" ht="25" customHeight="1">
      <c r="B190" s="139"/>
      <c r="C190" s="277"/>
      <c r="D190" s="197"/>
      <c r="E190" s="299"/>
      <c r="F190" s="278"/>
      <c r="G190" s="300"/>
      <c r="H190" s="316"/>
      <c r="I190" s="283"/>
      <c r="J190" s="283"/>
      <c r="K190" s="198"/>
      <c r="M190" s="20"/>
      <c r="N190" s="201"/>
      <c r="O190" s="161"/>
    </row>
    <row r="191" spans="1:18" ht="25" customHeight="1">
      <c r="B191" s="68" t="s">
        <v>161</v>
      </c>
      <c r="C191" s="135"/>
      <c r="D191" s="135"/>
      <c r="F191" s="135"/>
      <c r="G191" s="135"/>
      <c r="H191" s="971"/>
      <c r="I191" s="291"/>
      <c r="J191" s="291"/>
      <c r="L191" s="199"/>
      <c r="M191" s="20"/>
      <c r="N191" s="201"/>
      <c r="O191" s="161"/>
      <c r="Q191" s="54"/>
      <c r="R191" s="54"/>
    </row>
    <row r="192" spans="1:18" ht="25" customHeight="1">
      <c r="B192" s="76" t="s">
        <v>162</v>
      </c>
      <c r="M192" s="20"/>
    </row>
    <row r="193" spans="1:18" ht="25" customHeight="1">
      <c r="B193" s="273" t="s">
        <v>10</v>
      </c>
      <c r="C193" s="262"/>
      <c r="D193" s="179" t="s">
        <v>37</v>
      </c>
      <c r="E193" s="1"/>
      <c r="F193" s="179"/>
      <c r="G193" s="6" t="s">
        <v>163</v>
      </c>
      <c r="H193" s="1"/>
      <c r="I193" s="1" t="s">
        <v>88</v>
      </c>
      <c r="J193" s="262"/>
      <c r="K193" s="181" t="s">
        <v>164</v>
      </c>
      <c r="L193" s="199"/>
      <c r="M193" s="20"/>
      <c r="N193" s="201"/>
      <c r="O193" s="161"/>
      <c r="Q193" s="54"/>
      <c r="R193" s="54"/>
    </row>
    <row r="194" spans="1:18" ht="25" customHeight="1">
      <c r="B194" s="137" t="s">
        <v>165</v>
      </c>
      <c r="C194" s="274"/>
      <c r="D194" s="191" t="s">
        <v>166</v>
      </c>
      <c r="E194" s="301"/>
      <c r="F194" s="191"/>
      <c r="G194" s="301" t="s">
        <v>167</v>
      </c>
      <c r="H194" s="315"/>
      <c r="I194" s="315" t="s">
        <v>168</v>
      </c>
      <c r="J194" s="275"/>
      <c r="K194" s="192" t="s">
        <v>169</v>
      </c>
      <c r="L194" s="199"/>
      <c r="M194" s="20"/>
      <c r="N194" s="201"/>
      <c r="O194" s="161"/>
      <c r="Q194" s="54"/>
      <c r="R194" s="54"/>
    </row>
    <row r="195" spans="1:18" ht="25" customHeight="1">
      <c r="B195" s="139" t="s">
        <v>170</v>
      </c>
      <c r="C195" s="277"/>
      <c r="D195" s="197" t="s">
        <v>171</v>
      </c>
      <c r="E195" s="299"/>
      <c r="F195" s="278"/>
      <c r="G195" s="300" t="s">
        <v>167</v>
      </c>
      <c r="H195" s="316"/>
      <c r="I195" s="316" t="s">
        <v>168</v>
      </c>
      <c r="J195" s="283"/>
      <c r="K195" s="198" t="s">
        <v>169</v>
      </c>
      <c r="L195" s="199"/>
      <c r="M195" s="20"/>
      <c r="N195" s="201"/>
      <c r="O195" s="161"/>
      <c r="Q195" s="54"/>
      <c r="R195" s="54"/>
    </row>
    <row r="196" spans="1:18" ht="25" customHeight="1">
      <c r="B196" s="137" t="s">
        <v>172</v>
      </c>
      <c r="C196" s="274"/>
      <c r="D196" s="191" t="s">
        <v>173</v>
      </c>
      <c r="E196" s="301"/>
      <c r="F196" s="191"/>
      <c r="G196" s="301" t="s">
        <v>174</v>
      </c>
      <c r="H196" s="315"/>
      <c r="I196" s="315" t="s">
        <v>168</v>
      </c>
      <c r="J196" s="275"/>
      <c r="K196" s="192" t="s">
        <v>169</v>
      </c>
      <c r="L196" s="199"/>
      <c r="M196" s="20"/>
      <c r="N196" s="201"/>
      <c r="O196" s="161"/>
      <c r="Q196" s="54"/>
      <c r="R196" s="54"/>
    </row>
    <row r="197" spans="1:18" ht="25" customHeight="1">
      <c r="B197" s="139" t="s">
        <v>175</v>
      </c>
      <c r="C197" s="277"/>
      <c r="D197" s="197" t="s">
        <v>176</v>
      </c>
      <c r="E197" s="299"/>
      <c r="F197" s="278"/>
      <c r="G197" s="300" t="s">
        <v>174</v>
      </c>
      <c r="H197" s="316"/>
      <c r="I197" s="316" t="s">
        <v>168</v>
      </c>
      <c r="J197" s="283"/>
      <c r="K197" s="198" t="s">
        <v>169</v>
      </c>
      <c r="L197" s="199"/>
      <c r="M197" s="20"/>
      <c r="N197" s="201"/>
      <c r="O197" s="161"/>
      <c r="Q197" s="54"/>
      <c r="R197" s="54"/>
    </row>
    <row r="198" spans="1:18" ht="25" customHeight="1">
      <c r="B198" s="292"/>
      <c r="C198" s="293"/>
      <c r="D198" s="303"/>
      <c r="E198" s="295"/>
      <c r="F198" s="296"/>
      <c r="G198" s="297"/>
      <c r="H198" s="972"/>
      <c r="I198" s="297"/>
      <c r="J198" s="297"/>
      <c r="K198" s="298"/>
      <c r="L198" s="199"/>
      <c r="M198" s="20"/>
      <c r="N198" s="201"/>
      <c r="O198" s="161"/>
      <c r="Q198" s="54"/>
      <c r="R198" s="54"/>
    </row>
    <row r="199" spans="1:18" ht="25" customHeight="1">
      <c r="B199" s="305"/>
      <c r="C199" s="239"/>
      <c r="D199" s="239"/>
      <c r="E199" s="239"/>
      <c r="F199" s="240"/>
      <c r="G199" s="241"/>
      <c r="H199" s="199"/>
      <c r="I199" s="199"/>
      <c r="J199" s="199"/>
      <c r="K199" s="200"/>
      <c r="L199" s="201"/>
      <c r="M199" s="20"/>
      <c r="N199" s="54"/>
      <c r="O199" s="54"/>
    </row>
    <row r="200" spans="1:18" ht="25" customHeight="1">
      <c r="A200" s="317"/>
      <c r="B200" s="318"/>
      <c r="C200" s="319"/>
      <c r="D200" s="319"/>
      <c r="E200" s="319"/>
      <c r="F200" s="320"/>
      <c r="G200" s="321"/>
      <c r="H200" s="322"/>
      <c r="I200" s="322"/>
      <c r="J200" s="323"/>
      <c r="K200" s="324"/>
      <c r="L200" s="325"/>
      <c r="M200" s="20"/>
      <c r="N200" s="54"/>
      <c r="O200" s="54"/>
    </row>
    <row r="201" spans="1:18" s="38" customFormat="1" ht="25" customHeight="1">
      <c r="A201" s="30"/>
      <c r="B201" s="326"/>
      <c r="C201" s="327"/>
      <c r="D201" s="327"/>
      <c r="E201" s="327"/>
      <c r="F201" s="328"/>
      <c r="G201" s="329"/>
      <c r="H201" s="330"/>
      <c r="I201" s="330"/>
      <c r="J201" s="331"/>
      <c r="K201" s="332"/>
      <c r="L201" s="33"/>
      <c r="M201" s="20"/>
    </row>
    <row r="202" spans="1:18" s="38" customFormat="1" ht="25" customHeight="1">
      <c r="A202" s="30"/>
      <c r="B202" s="326"/>
      <c r="C202" s="327"/>
      <c r="D202" s="327"/>
      <c r="E202" s="327"/>
      <c r="F202" s="328"/>
      <c r="G202" s="329"/>
      <c r="H202" s="330"/>
      <c r="I202" s="330"/>
      <c r="J202" s="331"/>
      <c r="K202" s="332"/>
      <c r="L202" s="33"/>
      <c r="M202" s="20"/>
    </row>
    <row r="203" spans="1:18" s="38" customFormat="1" ht="25" customHeight="1">
      <c r="A203" s="30"/>
      <c r="B203" s="326"/>
      <c r="C203" s="327"/>
      <c r="D203" s="327"/>
      <c r="E203" s="327"/>
      <c r="F203" s="328"/>
      <c r="G203" s="329"/>
      <c r="H203" s="330"/>
      <c r="I203" s="330"/>
      <c r="J203" s="331"/>
      <c r="K203" s="332"/>
      <c r="L203" s="33"/>
      <c r="M203" s="20"/>
    </row>
    <row r="204" spans="1:18" s="38" customFormat="1" ht="25" customHeight="1">
      <c r="A204" s="30"/>
      <c r="B204" s="988" t="s">
        <v>177</v>
      </c>
      <c r="C204" s="988"/>
      <c r="D204" s="988"/>
      <c r="E204" s="988"/>
      <c r="F204" s="988"/>
      <c r="G204" s="988"/>
      <c r="H204" s="974"/>
      <c r="I204" s="155"/>
      <c r="J204" s="33"/>
      <c r="K204" s="36"/>
      <c r="L204" s="33"/>
      <c r="M204" s="20"/>
    </row>
    <row r="205" spans="1:18" s="38" customFormat="1" ht="25" customHeight="1">
      <c r="A205" s="30"/>
      <c r="B205" s="988"/>
      <c r="C205" s="988"/>
      <c r="D205" s="988"/>
      <c r="E205" s="988"/>
      <c r="F205" s="988"/>
      <c r="G205" s="988"/>
      <c r="H205" s="974"/>
      <c r="I205" s="155"/>
      <c r="J205" s="33"/>
      <c r="K205" s="36"/>
      <c r="L205" s="33"/>
      <c r="M205" s="20"/>
    </row>
    <row r="206" spans="1:18" s="38" customFormat="1" ht="25" customHeight="1">
      <c r="A206" s="30"/>
      <c r="B206" s="988"/>
      <c r="C206" s="988"/>
      <c r="D206" s="988"/>
      <c r="E206" s="988"/>
      <c r="F206" s="988"/>
      <c r="G206" s="988"/>
      <c r="H206" s="974"/>
      <c r="I206" s="155"/>
      <c r="J206" s="33"/>
      <c r="K206" s="36"/>
      <c r="L206" s="33"/>
      <c r="M206" s="20"/>
    </row>
    <row r="207" spans="1:18" s="38" customFormat="1" ht="25" customHeight="1">
      <c r="A207" s="30"/>
      <c r="B207" s="989" t="s">
        <v>138</v>
      </c>
      <c r="C207" s="989"/>
      <c r="D207" s="989"/>
      <c r="E207" s="989"/>
      <c r="F207" s="989"/>
      <c r="G207" s="33"/>
      <c r="H207" s="974"/>
      <c r="I207" s="155"/>
      <c r="J207" s="33"/>
      <c r="K207" s="36"/>
      <c r="L207" s="334"/>
      <c r="M207" s="20"/>
    </row>
    <row r="208" spans="1:18" s="38" customFormat="1" ht="25" customHeight="1">
      <c r="A208" s="30"/>
      <c r="B208" s="31"/>
      <c r="C208" s="32"/>
      <c r="D208" s="32"/>
      <c r="E208" s="32"/>
      <c r="F208" s="32"/>
      <c r="G208" s="33"/>
      <c r="H208" s="974"/>
      <c r="I208" s="155"/>
      <c r="J208" s="33"/>
      <c r="K208" s="36"/>
      <c r="L208" s="334"/>
      <c r="M208" s="20"/>
    </row>
    <row r="209" spans="1:20" s="38" customFormat="1" ht="25" customHeight="1">
      <c r="A209" s="30"/>
      <c r="B209" s="25" t="s">
        <v>178</v>
      </c>
      <c r="C209" s="32"/>
      <c r="D209" s="32"/>
      <c r="E209" s="32"/>
      <c r="F209" s="32"/>
      <c r="G209" s="33"/>
      <c r="H209" s="974"/>
      <c r="I209" s="155"/>
      <c r="J209" s="33"/>
      <c r="K209" s="36"/>
      <c r="L209" s="334"/>
      <c r="M209" s="20"/>
    </row>
    <row r="210" spans="1:20" s="38" customFormat="1" ht="25" customHeight="1">
      <c r="A210" s="30"/>
      <c r="B210" s="27" t="s">
        <v>179</v>
      </c>
      <c r="C210" s="32"/>
      <c r="D210" s="32"/>
      <c r="E210" s="32"/>
      <c r="F210" s="32"/>
      <c r="G210" s="33"/>
      <c r="H210" s="974"/>
      <c r="I210" s="33"/>
      <c r="J210" s="37"/>
      <c r="K210" s="36"/>
      <c r="L210" s="334"/>
      <c r="M210" s="20"/>
    </row>
    <row r="211" spans="1:20" s="38" customFormat="1" ht="25" customHeight="1">
      <c r="A211" s="30"/>
      <c r="B211" s="28" t="s">
        <v>3</v>
      </c>
      <c r="C211" s="335"/>
      <c r="D211" s="335"/>
      <c r="E211" s="335"/>
      <c r="F211" s="335"/>
      <c r="G211" s="334"/>
      <c r="H211" s="975"/>
      <c r="I211" s="334"/>
      <c r="J211" s="337"/>
      <c r="K211" s="338"/>
      <c r="L211" s="334"/>
      <c r="M211" s="20"/>
    </row>
    <row r="212" spans="1:20" s="150" customFormat="1" ht="25" customHeight="1">
      <c r="A212" s="339"/>
      <c r="B212" s="333"/>
      <c r="C212" s="340"/>
      <c r="D212" s="340"/>
      <c r="E212" s="340"/>
      <c r="F212" s="340"/>
      <c r="G212" s="334"/>
      <c r="H212" s="975"/>
      <c r="I212" s="334"/>
      <c r="J212" s="337"/>
      <c r="K212" s="338"/>
      <c r="L212" s="341"/>
      <c r="M212" s="20"/>
      <c r="N212" s="342"/>
      <c r="O212" s="182"/>
      <c r="P212" s="182"/>
      <c r="Q212" s="182"/>
      <c r="R212" s="182"/>
      <c r="S212" s="182"/>
      <c r="T212" s="182"/>
    </row>
    <row r="213" spans="1:20" ht="25" customHeight="1">
      <c r="A213" s="15"/>
      <c r="B213" s="343" t="s">
        <v>180</v>
      </c>
      <c r="C213" s="344"/>
      <c r="D213" s="345"/>
      <c r="E213" s="344"/>
      <c r="F213" s="346"/>
      <c r="G213" s="346"/>
      <c r="H213" s="345"/>
      <c r="I213" s="344"/>
      <c r="J213" s="346" t="s">
        <v>177</v>
      </c>
      <c r="K213" s="347"/>
      <c r="L213" s="348"/>
      <c r="M213" s="20"/>
      <c r="N213" s="260"/>
    </row>
    <row r="214" spans="1:20" ht="25" customHeight="1">
      <c r="A214" s="15"/>
      <c r="B214" s="349" t="s">
        <v>181</v>
      </c>
      <c r="C214" s="350"/>
      <c r="D214" s="351"/>
      <c r="E214" s="350"/>
      <c r="F214" s="350"/>
      <c r="G214" s="352"/>
      <c r="H214" s="976"/>
      <c r="I214" s="351"/>
      <c r="J214" s="354">
        <f>K72+K55+K94+K84</f>
        <v>0</v>
      </c>
      <c r="K214" s="192"/>
      <c r="L214" s="17"/>
      <c r="M214" s="20"/>
      <c r="N214" s="260"/>
    </row>
    <row r="215" spans="1:20" ht="25" customHeight="1">
      <c r="A215" s="15"/>
      <c r="B215" s="355" t="s">
        <v>182</v>
      </c>
      <c r="C215" s="356" t="str">
        <f>K107&amp;" TB - S3"&amp;"     /     "&amp;K106&amp;" TB - Archive"</f>
        <v>0 TB - S3     /     0 TB - Archive</v>
      </c>
      <c r="D215" s="357"/>
      <c r="E215" s="357"/>
      <c r="F215" s="358"/>
      <c r="G215" s="359"/>
      <c r="H215" s="977"/>
      <c r="I215" s="360"/>
      <c r="J215" s="361">
        <f>K108</f>
        <v>0</v>
      </c>
      <c r="K215" s="192"/>
      <c r="L215" s="17"/>
      <c r="M215" s="20"/>
      <c r="N215" s="260"/>
    </row>
    <row r="216" spans="1:20" ht="25" customHeight="1">
      <c r="A216" s="15"/>
      <c r="B216" s="355" t="s">
        <v>183</v>
      </c>
      <c r="C216" s="362"/>
      <c r="D216" s="363"/>
      <c r="E216" s="364"/>
      <c r="F216" s="358"/>
      <c r="G216" s="359"/>
      <c r="H216" s="977"/>
      <c r="I216" s="360"/>
      <c r="J216" s="361">
        <f>K123</f>
        <v>0</v>
      </c>
      <c r="K216" s="192"/>
      <c r="L216" s="17"/>
      <c r="M216" s="20"/>
      <c r="N216" s="260"/>
    </row>
    <row r="217" spans="1:20" s="371" customFormat="1" ht="25" customHeight="1">
      <c r="A217" s="365"/>
      <c r="B217" s="366" t="s">
        <v>18</v>
      </c>
      <c r="C217" s="367"/>
      <c r="D217" s="367"/>
      <c r="E217" s="367"/>
      <c r="F217" s="367"/>
      <c r="G217" s="367"/>
      <c r="H217" s="978"/>
      <c r="I217" s="367"/>
      <c r="J217" s="368">
        <f>SUM(J214:J216)</f>
        <v>0</v>
      </c>
      <c r="K217" s="369"/>
      <c r="L217" s="370"/>
      <c r="M217" s="20"/>
    </row>
    <row r="218" spans="1:20" ht="25" customHeight="1">
      <c r="A218" s="15"/>
      <c r="B218" s="372"/>
      <c r="C218" s="373"/>
      <c r="D218" s="373"/>
      <c r="E218" s="373"/>
      <c r="F218" s="374"/>
      <c r="G218" s="375"/>
      <c r="H218" s="979"/>
      <c r="I218" s="376"/>
      <c r="J218" s="376"/>
      <c r="K218" s="377"/>
      <c r="L218" s="17"/>
      <c r="M218" s="20"/>
    </row>
    <row r="219" spans="1:20" ht="25" customHeight="1">
      <c r="A219" s="15"/>
      <c r="B219" s="24"/>
      <c r="C219" s="191"/>
      <c r="D219" s="378"/>
      <c r="E219" s="282"/>
      <c r="F219" s="301"/>
      <c r="G219" s="379"/>
      <c r="H219" s="85"/>
      <c r="I219" s="380"/>
      <c r="J219" s="381"/>
      <c r="K219" s="192"/>
      <c r="L219" s="17"/>
      <c r="M219" s="20"/>
    </row>
    <row r="220" spans="1:20" ht="25" customHeight="1">
      <c r="A220" s="382"/>
      <c r="B220" s="383"/>
      <c r="C220" s="229"/>
      <c r="D220" s="384"/>
      <c r="E220" s="385"/>
      <c r="F220" s="386"/>
      <c r="G220" s="387"/>
      <c r="H220" s="969"/>
      <c r="I220" s="388"/>
      <c r="J220" s="389"/>
      <c r="K220" s="231"/>
      <c r="L220" s="390"/>
      <c r="M220" s="20"/>
    </row>
    <row r="221" spans="1:20" s="401" customFormat="1" ht="25" customHeight="1">
      <c r="A221" s="391"/>
      <c r="B221" s="392"/>
      <c r="C221" s="393"/>
      <c r="D221" s="394"/>
      <c r="E221" s="395"/>
      <c r="F221" s="396"/>
      <c r="G221" s="397"/>
      <c r="H221" s="405"/>
      <c r="I221" s="398"/>
      <c r="J221" s="399"/>
      <c r="K221" s="400"/>
    </row>
    <row r="222" spans="1:20" s="401" customFormat="1" ht="25" customHeight="1">
      <c r="A222" s="391"/>
      <c r="B222" s="402" t="s">
        <v>184</v>
      </c>
      <c r="C222" s="393"/>
      <c r="D222" s="393"/>
      <c r="E222" s="393"/>
      <c r="F222" s="403"/>
      <c r="G222" s="404"/>
      <c r="H222" s="405"/>
      <c r="I222" s="405"/>
      <c r="J222" s="405"/>
      <c r="K222" s="400"/>
      <c r="L222" s="399"/>
      <c r="M222" s="399"/>
      <c r="N222" s="399"/>
    </row>
    <row r="223" spans="1:20" s="401" customFormat="1" ht="25" customHeight="1">
      <c r="A223" s="391"/>
      <c r="B223" s="402" t="s">
        <v>185</v>
      </c>
      <c r="C223" s="393"/>
      <c r="D223" s="393"/>
      <c r="E223" s="393"/>
      <c r="F223" s="403"/>
      <c r="G223" s="404"/>
      <c r="H223" s="405"/>
      <c r="I223" s="405"/>
      <c r="J223" s="405"/>
      <c r="K223" s="400"/>
      <c r="L223" s="399"/>
      <c r="M223" s="399"/>
      <c r="N223" s="399"/>
    </row>
    <row r="224" spans="1:20" s="401" customFormat="1" ht="25" customHeight="1">
      <c r="A224" s="391"/>
      <c r="B224" s="402" t="s">
        <v>186</v>
      </c>
      <c r="C224" s="393"/>
      <c r="D224" s="393"/>
      <c r="E224" s="393"/>
      <c r="F224" s="403"/>
      <c r="G224" s="404"/>
      <c r="H224" s="405"/>
      <c r="I224" s="405"/>
      <c r="J224" s="405"/>
      <c r="K224" s="400"/>
      <c r="L224" s="399"/>
      <c r="M224" s="399"/>
      <c r="N224" s="399"/>
    </row>
    <row r="225" spans="1:23" s="401" customFormat="1" ht="25" customHeight="1">
      <c r="A225" s="391"/>
      <c r="B225" s="402" t="s">
        <v>187</v>
      </c>
      <c r="C225" s="393"/>
      <c r="D225" s="393"/>
      <c r="E225" s="393"/>
      <c r="F225" s="403"/>
      <c r="G225" s="404"/>
      <c r="H225" s="405"/>
      <c r="I225" s="405"/>
      <c r="J225" s="405"/>
      <c r="K225" s="400"/>
      <c r="L225" s="399"/>
      <c r="M225" s="399"/>
      <c r="N225" s="399"/>
    </row>
    <row r="226" spans="1:23" s="401" customFormat="1" ht="25" customHeight="1">
      <c r="A226" s="391"/>
      <c r="B226" s="402"/>
      <c r="C226" s="393"/>
      <c r="D226" s="393"/>
      <c r="E226" s="393"/>
      <c r="F226" s="403"/>
      <c r="G226" s="404"/>
      <c r="H226" s="405"/>
      <c r="I226" s="405"/>
      <c r="J226" s="405"/>
      <c r="K226" s="400"/>
      <c r="L226" s="399"/>
      <c r="M226" s="399"/>
      <c r="N226" s="399"/>
    </row>
    <row r="227" spans="1:23" s="401" customFormat="1" ht="25" customHeight="1">
      <c r="A227" s="391"/>
      <c r="B227" s="392"/>
      <c r="C227" s="393"/>
      <c r="D227" s="393"/>
      <c r="E227" s="393"/>
      <c r="F227" s="403"/>
      <c r="G227" s="404"/>
      <c r="H227" s="405"/>
      <c r="I227" s="405"/>
      <c r="J227" s="405"/>
      <c r="K227" s="400"/>
      <c r="L227" s="399"/>
      <c r="M227" s="399"/>
      <c r="N227" s="399"/>
    </row>
    <row r="228" spans="1:23" s="401" customFormat="1" ht="25" customHeight="1">
      <c r="A228" s="391"/>
      <c r="B228" s="392"/>
      <c r="C228" s="393"/>
      <c r="D228" s="393"/>
      <c r="E228" s="393"/>
      <c r="F228" s="403"/>
      <c r="G228" s="404"/>
      <c r="H228" s="405"/>
      <c r="I228" s="405"/>
      <c r="J228" s="405"/>
      <c r="K228" s="400"/>
      <c r="L228" s="399"/>
      <c r="M228" s="399"/>
      <c r="N228" s="399"/>
    </row>
    <row r="229" spans="1:23" s="401" customFormat="1" ht="25" customHeight="1">
      <c r="A229" s="391"/>
      <c r="B229" s="392"/>
      <c r="C229" s="393"/>
      <c r="D229" s="393"/>
      <c r="E229" s="393"/>
      <c r="F229" s="403"/>
      <c r="G229" s="404"/>
      <c r="H229" s="405"/>
      <c r="I229" s="405"/>
      <c r="J229" s="405"/>
      <c r="K229" s="400"/>
      <c r="L229" s="399"/>
      <c r="M229" s="399"/>
      <c r="N229" s="399"/>
    </row>
    <row r="230" spans="1:23" s="401" customFormat="1" ht="25" customHeight="1">
      <c r="A230" s="391"/>
      <c r="B230" s="392"/>
      <c r="C230" s="393"/>
      <c r="D230" s="393"/>
      <c r="E230" s="393"/>
      <c r="F230" s="403"/>
      <c r="G230" s="404"/>
      <c r="H230" s="405"/>
      <c r="I230" s="405"/>
      <c r="J230" s="405"/>
      <c r="K230" s="400"/>
      <c r="L230" s="399"/>
      <c r="M230" s="399"/>
      <c r="N230" s="399"/>
    </row>
    <row r="231" spans="1:23" s="406" customFormat="1" ht="25" customHeight="1">
      <c r="A231" s="391"/>
      <c r="B231" s="392"/>
      <c r="C231" s="393"/>
      <c r="D231" s="393"/>
      <c r="E231" s="393"/>
      <c r="F231" s="403"/>
      <c r="G231" s="404"/>
      <c r="H231" s="405"/>
      <c r="I231" s="405"/>
      <c r="J231" s="405"/>
      <c r="K231" s="400"/>
      <c r="L231" s="399"/>
      <c r="M231" s="399"/>
      <c r="N231" s="399"/>
      <c r="O231" s="401"/>
      <c r="P231" s="401"/>
      <c r="Q231" s="401"/>
      <c r="R231" s="401"/>
      <c r="S231" s="401"/>
      <c r="T231" s="401"/>
      <c r="U231" s="401"/>
      <c r="V231" s="401"/>
      <c r="W231" s="401"/>
    </row>
    <row r="232" spans="1:23" s="401" customFormat="1" ht="25" customHeight="1">
      <c r="A232" s="391"/>
      <c r="B232" s="392"/>
      <c r="C232" s="393"/>
      <c r="D232" s="393"/>
      <c r="E232" s="393"/>
      <c r="F232" s="403"/>
      <c r="G232" s="404"/>
      <c r="H232" s="405"/>
      <c r="I232" s="405"/>
      <c r="J232" s="405"/>
      <c r="K232" s="400"/>
      <c r="L232" s="399"/>
      <c r="M232" s="399"/>
      <c r="N232" s="399"/>
    </row>
    <row r="233" spans="1:23" s="401" customFormat="1" ht="25" customHeight="1">
      <c r="A233" s="391"/>
      <c r="B233" s="392"/>
      <c r="C233" s="393"/>
      <c r="D233" s="393"/>
      <c r="E233" s="393"/>
      <c r="F233" s="403"/>
      <c r="G233" s="404"/>
      <c r="H233" s="405"/>
      <c r="I233" s="405"/>
      <c r="J233" s="405"/>
      <c r="K233" s="400"/>
      <c r="L233" s="399"/>
      <c r="M233" s="399"/>
      <c r="N233" s="399"/>
    </row>
    <row r="234" spans="1:23" s="401" customFormat="1" ht="25" customHeight="1">
      <c r="A234" s="391"/>
      <c r="B234" s="392"/>
      <c r="C234" s="393"/>
      <c r="D234" s="393"/>
      <c r="E234" s="393"/>
      <c r="F234" s="403"/>
      <c r="G234" s="404"/>
      <c r="H234" s="405"/>
      <c r="I234" s="405"/>
      <c r="J234" s="405"/>
      <c r="K234" s="400"/>
      <c r="L234" s="399"/>
      <c r="M234" s="399"/>
      <c r="N234" s="399"/>
    </row>
    <row r="235" spans="1:23" s="401" customFormat="1" ht="25" customHeight="1">
      <c r="A235" s="391"/>
      <c r="B235" s="392"/>
      <c r="C235" s="393"/>
      <c r="D235" s="393"/>
      <c r="E235" s="393"/>
      <c r="F235" s="403"/>
      <c r="G235" s="404"/>
      <c r="H235" s="405"/>
      <c r="I235" s="405"/>
      <c r="J235" s="405"/>
      <c r="K235" s="400"/>
      <c r="L235" s="399"/>
      <c r="M235" s="399"/>
      <c r="N235" s="399"/>
    </row>
    <row r="236" spans="1:23" s="401" customFormat="1" ht="25" customHeight="1">
      <c r="A236" s="391"/>
      <c r="B236" s="392"/>
      <c r="C236" s="393"/>
      <c r="D236" s="393"/>
      <c r="E236" s="393"/>
      <c r="F236" s="403"/>
      <c r="G236" s="404"/>
      <c r="H236" s="405"/>
      <c r="I236" s="405"/>
      <c r="J236" s="405"/>
      <c r="K236" s="400"/>
      <c r="L236" s="399"/>
      <c r="M236" s="399"/>
      <c r="N236" s="399"/>
    </row>
    <row r="237" spans="1:23" s="401" customFormat="1" ht="25" customHeight="1">
      <c r="A237" s="391"/>
      <c r="B237" s="392"/>
      <c r="C237" s="393"/>
      <c r="D237" s="393"/>
      <c r="E237" s="393"/>
      <c r="F237" s="403"/>
      <c r="G237" s="404"/>
      <c r="H237" s="405"/>
      <c r="I237" s="405"/>
      <c r="J237" s="405"/>
      <c r="K237" s="400"/>
      <c r="L237" s="399"/>
      <c r="M237" s="399"/>
      <c r="N237" s="399"/>
    </row>
    <row r="238" spans="1:23" s="401" customFormat="1" ht="25" customHeight="1">
      <c r="A238" s="391"/>
      <c r="B238" s="392"/>
      <c r="C238" s="393"/>
      <c r="D238" s="393"/>
      <c r="E238" s="393"/>
      <c r="F238" s="403"/>
      <c r="G238" s="404"/>
      <c r="H238" s="405"/>
      <c r="I238" s="405"/>
      <c r="J238" s="405"/>
      <c r="K238" s="400"/>
      <c r="L238" s="399"/>
      <c r="M238" s="399"/>
      <c r="N238" s="399"/>
    </row>
    <row r="239" spans="1:23" s="401" customFormat="1" ht="25" customHeight="1">
      <c r="A239" s="391"/>
      <c r="B239" s="392"/>
      <c r="C239" s="393"/>
      <c r="D239" s="393"/>
      <c r="E239" s="393"/>
      <c r="F239" s="403"/>
      <c r="G239" s="404"/>
      <c r="H239" s="405"/>
      <c r="I239" s="405"/>
      <c r="J239" s="405"/>
      <c r="K239" s="400"/>
      <c r="L239" s="399"/>
      <c r="M239" s="399"/>
      <c r="N239" s="399"/>
    </row>
    <row r="240" spans="1:23" s="401" customFormat="1" ht="25" customHeight="1">
      <c r="A240" s="391"/>
      <c r="B240" s="392"/>
      <c r="C240" s="393"/>
      <c r="D240" s="393"/>
      <c r="E240" s="393"/>
      <c r="F240" s="403"/>
      <c r="G240" s="404"/>
      <c r="H240" s="405"/>
      <c r="I240" s="405"/>
      <c r="J240" s="405"/>
      <c r="K240" s="400"/>
      <c r="L240" s="399"/>
      <c r="M240" s="399"/>
      <c r="N240" s="399"/>
    </row>
    <row r="241" spans="1:14" s="401" customFormat="1" ht="25" customHeight="1">
      <c r="A241" s="391"/>
      <c r="B241" s="392"/>
      <c r="C241" s="393"/>
      <c r="D241" s="393"/>
      <c r="E241" s="393"/>
      <c r="F241" s="403"/>
      <c r="G241" s="404"/>
      <c r="H241" s="405"/>
      <c r="I241" s="405"/>
      <c r="J241" s="405"/>
      <c r="K241" s="400"/>
      <c r="L241" s="399"/>
      <c r="M241" s="399"/>
      <c r="N241" s="399"/>
    </row>
    <row r="242" spans="1:14" s="401" customFormat="1" ht="25" customHeight="1">
      <c r="A242" s="391"/>
      <c r="B242" s="392"/>
      <c r="C242" s="393"/>
      <c r="D242" s="393"/>
      <c r="E242" s="393"/>
      <c r="F242" s="403"/>
      <c r="G242" s="404"/>
      <c r="H242" s="405"/>
      <c r="I242" s="405"/>
      <c r="J242" s="405"/>
      <c r="K242" s="400"/>
      <c r="L242" s="399"/>
      <c r="M242" s="399"/>
      <c r="N242" s="399"/>
    </row>
    <row r="243" spans="1:14" s="401" customFormat="1" ht="25" customHeight="1">
      <c r="A243" s="391"/>
      <c r="B243" s="392"/>
      <c r="C243" s="393"/>
      <c r="D243" s="393"/>
      <c r="E243" s="393"/>
      <c r="F243" s="403"/>
      <c r="G243" s="404"/>
      <c r="H243" s="405"/>
      <c r="I243" s="405"/>
      <c r="J243" s="405"/>
      <c r="K243" s="400"/>
      <c r="L243" s="399"/>
      <c r="M243" s="399"/>
      <c r="N243" s="399"/>
    </row>
    <row r="244" spans="1:14" s="401" customFormat="1" ht="25" customHeight="1">
      <c r="A244" s="391"/>
      <c r="B244" s="392"/>
      <c r="C244" s="393"/>
      <c r="D244" s="393"/>
      <c r="E244" s="393"/>
      <c r="F244" s="403"/>
      <c r="G244" s="404"/>
      <c r="H244" s="405"/>
      <c r="I244" s="405"/>
      <c r="J244" s="405"/>
      <c r="K244" s="400"/>
      <c r="L244" s="399"/>
      <c r="M244" s="399"/>
      <c r="N244" s="399"/>
    </row>
    <row r="245" spans="1:14" s="401" customFormat="1" ht="25" customHeight="1">
      <c r="A245" s="391"/>
      <c r="B245" s="392"/>
      <c r="C245" s="393"/>
      <c r="D245" s="393"/>
      <c r="E245" s="393"/>
      <c r="F245" s="403"/>
      <c r="G245" s="404"/>
      <c r="H245" s="405"/>
      <c r="I245" s="405"/>
      <c r="J245" s="405"/>
      <c r="K245" s="400"/>
      <c r="L245" s="399"/>
      <c r="M245" s="399"/>
      <c r="N245" s="399"/>
    </row>
    <row r="246" spans="1:14" s="401" customFormat="1" ht="25" customHeight="1">
      <c r="A246" s="391"/>
      <c r="B246" s="392"/>
      <c r="C246" s="393"/>
      <c r="D246" s="393"/>
      <c r="E246" s="393"/>
      <c r="F246" s="403"/>
      <c r="G246" s="404"/>
      <c r="H246" s="405"/>
      <c r="I246" s="405"/>
      <c r="J246" s="405"/>
      <c r="K246" s="400"/>
      <c r="L246" s="399"/>
      <c r="M246" s="399"/>
      <c r="N246" s="399"/>
    </row>
    <row r="247" spans="1:14" s="401" customFormat="1" ht="25" customHeight="1">
      <c r="A247" s="391"/>
      <c r="B247" s="392"/>
      <c r="C247" s="393"/>
      <c r="D247" s="393"/>
      <c r="E247" s="393"/>
      <c r="F247" s="403"/>
      <c r="G247" s="404"/>
      <c r="H247" s="405"/>
      <c r="I247" s="405"/>
      <c r="J247" s="405"/>
      <c r="K247" s="400"/>
      <c r="L247" s="399"/>
      <c r="M247" s="399"/>
      <c r="N247" s="399"/>
    </row>
    <row r="248" spans="1:14" s="401" customFormat="1" ht="25" customHeight="1">
      <c r="A248" s="391"/>
      <c r="B248" s="392"/>
      <c r="C248" s="393"/>
      <c r="D248" s="393"/>
      <c r="E248" s="393"/>
      <c r="F248" s="403"/>
      <c r="G248" s="404"/>
      <c r="H248" s="405"/>
      <c r="I248" s="405"/>
      <c r="J248" s="405"/>
      <c r="K248" s="400"/>
      <c r="L248" s="399"/>
      <c r="M248" s="399"/>
      <c r="N248" s="399"/>
    </row>
    <row r="249" spans="1:14" s="401" customFormat="1" ht="25" customHeight="1">
      <c r="A249" s="391"/>
      <c r="B249" s="392"/>
      <c r="C249" s="393"/>
      <c r="D249" s="393"/>
      <c r="E249" s="393"/>
      <c r="F249" s="403"/>
      <c r="G249" s="404"/>
      <c r="H249" s="405"/>
      <c r="I249" s="405"/>
      <c r="J249" s="405"/>
      <c r="K249" s="400"/>
      <c r="L249" s="399"/>
      <c r="M249" s="399"/>
      <c r="N249" s="399"/>
    </row>
    <row r="250" spans="1:14" s="401" customFormat="1" ht="25" customHeight="1">
      <c r="A250" s="391"/>
      <c r="B250" s="392"/>
      <c r="C250" s="393"/>
      <c r="D250" s="393"/>
      <c r="E250" s="393"/>
      <c r="F250" s="403"/>
      <c r="G250" s="404"/>
      <c r="H250" s="405"/>
      <c r="I250" s="405"/>
      <c r="J250" s="405"/>
      <c r="K250" s="400"/>
      <c r="L250" s="399"/>
      <c r="M250" s="399"/>
      <c r="N250" s="399"/>
    </row>
    <row r="251" spans="1:14" s="401" customFormat="1" ht="25" customHeight="1">
      <c r="A251" s="391"/>
      <c r="B251" s="392"/>
      <c r="H251" s="405"/>
      <c r="K251" s="400"/>
      <c r="M251" s="407"/>
    </row>
    <row r="252" spans="1:14" s="401" customFormat="1" ht="25" customHeight="1">
      <c r="A252" s="391"/>
      <c r="B252" s="392"/>
      <c r="H252" s="405"/>
      <c r="K252" s="400"/>
      <c r="M252" s="407"/>
    </row>
    <row r="253" spans="1:14" s="401" customFormat="1" ht="25" customHeight="1">
      <c r="A253" s="391"/>
      <c r="B253" s="392"/>
      <c r="H253" s="405"/>
      <c r="K253" s="400"/>
      <c r="M253" s="407"/>
    </row>
    <row r="254" spans="1:14" s="401" customFormat="1" ht="25" customHeight="1">
      <c r="A254" s="391"/>
      <c r="B254" s="392"/>
      <c r="H254" s="405"/>
      <c r="K254" s="400"/>
      <c r="M254" s="407"/>
    </row>
    <row r="255" spans="1:14" s="401" customFormat="1" ht="25" customHeight="1">
      <c r="A255" s="391"/>
      <c r="B255" s="392"/>
      <c r="H255" s="405"/>
      <c r="K255" s="400"/>
      <c r="M255" s="407"/>
    </row>
    <row r="256" spans="1:14" s="401" customFormat="1" ht="25" customHeight="1">
      <c r="A256" s="391"/>
      <c r="B256" s="392"/>
      <c r="H256" s="405"/>
      <c r="K256" s="400"/>
      <c r="M256" s="407"/>
    </row>
    <row r="257" spans="1:13" s="401" customFormat="1" ht="25" customHeight="1">
      <c r="A257" s="391"/>
      <c r="B257" s="392"/>
      <c r="H257" s="405"/>
      <c r="K257" s="400"/>
      <c r="M257" s="407"/>
    </row>
    <row r="258" spans="1:13" s="401" customFormat="1" ht="25" customHeight="1">
      <c r="A258" s="391"/>
      <c r="B258" s="392"/>
      <c r="H258" s="405"/>
      <c r="K258" s="400"/>
      <c r="M258" s="407"/>
    </row>
    <row r="259" spans="1:13" s="401" customFormat="1" ht="25" customHeight="1">
      <c r="A259" s="391"/>
      <c r="B259" s="392"/>
      <c r="H259" s="405"/>
      <c r="K259" s="400"/>
      <c r="M259" s="407"/>
    </row>
    <row r="260" spans="1:13" s="401" customFormat="1" ht="25" customHeight="1">
      <c r="A260" s="391"/>
      <c r="B260" s="392"/>
      <c r="H260" s="405"/>
      <c r="K260" s="400"/>
      <c r="M260" s="407"/>
    </row>
    <row r="261" spans="1:13" s="401" customFormat="1" ht="25" customHeight="1">
      <c r="A261" s="391"/>
      <c r="B261" s="392"/>
      <c r="H261" s="405"/>
      <c r="K261" s="400"/>
      <c r="M261" s="407"/>
    </row>
    <row r="262" spans="1:13" s="401" customFormat="1" ht="25" customHeight="1">
      <c r="A262" s="391"/>
      <c r="B262" s="392"/>
      <c r="H262" s="405"/>
      <c r="K262" s="400"/>
      <c r="M262" s="407"/>
    </row>
    <row r="263" spans="1:13" s="401" customFormat="1" ht="25" customHeight="1">
      <c r="A263" s="391"/>
      <c r="B263" s="392"/>
      <c r="H263" s="405"/>
      <c r="K263" s="400"/>
      <c r="M263" s="407"/>
    </row>
    <row r="264" spans="1:13" s="401" customFormat="1" ht="25" customHeight="1">
      <c r="A264" s="391"/>
      <c r="B264" s="392"/>
      <c r="H264" s="405"/>
      <c r="K264" s="400"/>
      <c r="M264" s="407"/>
    </row>
    <row r="265" spans="1:13" s="401" customFormat="1" ht="25" customHeight="1">
      <c r="A265" s="391"/>
      <c r="B265" s="392"/>
      <c r="H265" s="405"/>
      <c r="K265" s="400"/>
      <c r="M265" s="407"/>
    </row>
    <row r="266" spans="1:13" s="401" customFormat="1" ht="25" customHeight="1">
      <c r="A266" s="391"/>
      <c r="B266" s="392"/>
      <c r="H266" s="405"/>
      <c r="K266" s="400"/>
      <c r="M266" s="407"/>
    </row>
    <row r="267" spans="1:13" s="401" customFormat="1" ht="25" customHeight="1">
      <c r="A267" s="391"/>
      <c r="B267" s="392"/>
      <c r="H267" s="405"/>
      <c r="K267" s="400"/>
      <c r="M267" s="407"/>
    </row>
    <row r="268" spans="1:13" s="401" customFormat="1" ht="25" customHeight="1">
      <c r="A268" s="391"/>
      <c r="B268" s="392"/>
      <c r="H268" s="405"/>
      <c r="K268" s="400"/>
      <c r="M268" s="407"/>
    </row>
    <row r="269" spans="1:13" s="401" customFormat="1" ht="25" customHeight="1">
      <c r="A269" s="391"/>
      <c r="B269" s="392"/>
      <c r="H269" s="405"/>
      <c r="K269" s="400"/>
      <c r="M269" s="407"/>
    </row>
    <row r="270" spans="1:13" s="401" customFormat="1" ht="25" customHeight="1">
      <c r="A270" s="391"/>
      <c r="B270" s="392"/>
      <c r="H270" s="405"/>
      <c r="K270" s="400"/>
      <c r="M270" s="407"/>
    </row>
    <row r="271" spans="1:13" s="401" customFormat="1" ht="25" customHeight="1">
      <c r="A271" s="391"/>
      <c r="B271" s="392"/>
      <c r="H271" s="405"/>
      <c r="K271" s="400"/>
      <c r="M271" s="407"/>
    </row>
    <row r="272" spans="1:13" s="401" customFormat="1" ht="25" customHeight="1">
      <c r="A272" s="391"/>
      <c r="B272" s="392"/>
      <c r="H272" s="405"/>
      <c r="K272" s="400"/>
      <c r="M272" s="407"/>
    </row>
    <row r="273" spans="1:13" s="401" customFormat="1" ht="25" customHeight="1">
      <c r="A273" s="391"/>
      <c r="B273" s="392"/>
      <c r="H273" s="405"/>
      <c r="K273" s="400"/>
      <c r="M273" s="407"/>
    </row>
    <row r="274" spans="1:13" s="401" customFormat="1" ht="25" customHeight="1">
      <c r="A274" s="391"/>
      <c r="B274" s="392"/>
      <c r="H274" s="405"/>
      <c r="K274" s="400"/>
      <c r="M274" s="407"/>
    </row>
    <row r="275" spans="1:13" s="401" customFormat="1" ht="25" customHeight="1">
      <c r="A275" s="391"/>
      <c r="B275" s="392"/>
      <c r="H275" s="405"/>
      <c r="K275" s="400"/>
      <c r="M275" s="407"/>
    </row>
    <row r="276" spans="1:13" s="401" customFormat="1" ht="25" customHeight="1">
      <c r="A276" s="391"/>
      <c r="B276" s="392"/>
      <c r="H276" s="405"/>
      <c r="K276" s="400"/>
      <c r="M276" s="407"/>
    </row>
    <row r="277" spans="1:13" s="401" customFormat="1" ht="25" customHeight="1">
      <c r="A277" s="391"/>
      <c r="B277" s="392"/>
      <c r="H277" s="405"/>
      <c r="K277" s="400"/>
      <c r="M277" s="407"/>
    </row>
    <row r="278" spans="1:13" s="401" customFormat="1" ht="25" customHeight="1">
      <c r="A278" s="391"/>
      <c r="B278" s="392"/>
      <c r="H278" s="405"/>
      <c r="K278" s="400"/>
      <c r="M278" s="407"/>
    </row>
    <row r="279" spans="1:13" s="401" customFormat="1" ht="25" customHeight="1">
      <c r="A279" s="391"/>
      <c r="B279" s="392"/>
      <c r="H279" s="405"/>
      <c r="K279" s="400"/>
      <c r="M279" s="407"/>
    </row>
    <row r="280" spans="1:13" s="401" customFormat="1" ht="25" customHeight="1">
      <c r="A280" s="391"/>
      <c r="B280" s="392"/>
      <c r="H280" s="405"/>
      <c r="K280" s="400"/>
      <c r="M280" s="407"/>
    </row>
    <row r="281" spans="1:13" s="401" customFormat="1" ht="25" customHeight="1">
      <c r="A281" s="391"/>
      <c r="B281" s="392"/>
      <c r="H281" s="405"/>
      <c r="K281" s="400"/>
      <c r="M281" s="407"/>
    </row>
    <row r="282" spans="1:13" s="401" customFormat="1" ht="25" customHeight="1">
      <c r="A282" s="391"/>
      <c r="B282" s="392"/>
      <c r="H282" s="405"/>
      <c r="K282" s="400"/>
      <c r="M282" s="407"/>
    </row>
    <row r="283" spans="1:13" s="401" customFormat="1" ht="25" customHeight="1">
      <c r="A283" s="391"/>
      <c r="B283" s="392"/>
      <c r="H283" s="405"/>
      <c r="K283" s="400"/>
      <c r="M283" s="407"/>
    </row>
    <row r="284" spans="1:13" s="401" customFormat="1" ht="25" customHeight="1">
      <c r="A284" s="391"/>
      <c r="B284" s="392"/>
      <c r="H284" s="405"/>
      <c r="K284" s="400"/>
      <c r="M284" s="407"/>
    </row>
    <row r="285" spans="1:13" s="401" customFormat="1" ht="25" customHeight="1">
      <c r="A285" s="391"/>
      <c r="B285" s="392"/>
      <c r="H285" s="405"/>
      <c r="K285" s="400"/>
      <c r="M285" s="407"/>
    </row>
    <row r="286" spans="1:13" s="401" customFormat="1" ht="25" customHeight="1">
      <c r="A286" s="391"/>
      <c r="B286" s="392"/>
      <c r="H286" s="405"/>
      <c r="K286" s="400"/>
      <c r="M286" s="407"/>
    </row>
    <row r="287" spans="1:13" s="401" customFormat="1" ht="25" customHeight="1">
      <c r="A287" s="391"/>
      <c r="B287" s="392"/>
      <c r="H287" s="405"/>
      <c r="K287" s="400"/>
      <c r="M287" s="407"/>
    </row>
    <row r="288" spans="1:13" s="401" customFormat="1" ht="25" customHeight="1">
      <c r="A288" s="391"/>
      <c r="B288" s="392"/>
      <c r="H288" s="405"/>
      <c r="K288" s="400"/>
      <c r="M288" s="407"/>
    </row>
    <row r="289" spans="1:13" s="401" customFormat="1" ht="25" customHeight="1">
      <c r="A289" s="391"/>
      <c r="B289" s="392"/>
      <c r="H289" s="405"/>
      <c r="K289" s="400"/>
      <c r="M289" s="407"/>
    </row>
    <row r="290" spans="1:13" s="401" customFormat="1" ht="25" customHeight="1">
      <c r="A290" s="391"/>
      <c r="B290" s="392"/>
      <c r="H290" s="405"/>
      <c r="K290" s="400"/>
      <c r="M290" s="407"/>
    </row>
    <row r="291" spans="1:13" s="401" customFormat="1" ht="25" customHeight="1">
      <c r="A291" s="391"/>
      <c r="B291" s="392"/>
      <c r="H291" s="405"/>
      <c r="K291" s="400"/>
      <c r="M291" s="407"/>
    </row>
    <row r="292" spans="1:13" s="401" customFormat="1" ht="25" customHeight="1">
      <c r="A292" s="391"/>
      <c r="B292" s="392"/>
      <c r="H292" s="405"/>
      <c r="K292" s="400"/>
      <c r="M292" s="407"/>
    </row>
    <row r="293" spans="1:13" s="401" customFormat="1" ht="25" customHeight="1">
      <c r="A293" s="391"/>
      <c r="B293" s="392"/>
      <c r="H293" s="405"/>
      <c r="K293" s="400"/>
      <c r="M293" s="407"/>
    </row>
    <row r="294" spans="1:13" s="401" customFormat="1" ht="25" customHeight="1">
      <c r="A294" s="391"/>
      <c r="B294" s="392"/>
      <c r="H294" s="405"/>
      <c r="K294" s="400"/>
      <c r="M294" s="407"/>
    </row>
    <row r="295" spans="1:13" s="401" customFormat="1" ht="25" customHeight="1">
      <c r="A295" s="391"/>
      <c r="B295" s="392"/>
      <c r="H295" s="405"/>
      <c r="K295" s="400"/>
      <c r="M295" s="407"/>
    </row>
    <row r="296" spans="1:13" s="401" customFormat="1" ht="25" customHeight="1">
      <c r="A296" s="391"/>
      <c r="B296" s="392"/>
      <c r="H296" s="405"/>
      <c r="K296" s="400"/>
      <c r="M296" s="407"/>
    </row>
    <row r="297" spans="1:13" s="401" customFormat="1" ht="25" customHeight="1">
      <c r="A297" s="391"/>
      <c r="B297" s="392"/>
      <c r="H297" s="405"/>
      <c r="K297" s="400"/>
      <c r="M297" s="407"/>
    </row>
    <row r="298" spans="1:13" s="401" customFormat="1" ht="25" customHeight="1">
      <c r="A298" s="391"/>
      <c r="B298" s="392"/>
      <c r="H298" s="405"/>
      <c r="K298" s="400"/>
      <c r="M298" s="407"/>
    </row>
    <row r="299" spans="1:13" s="401" customFormat="1" ht="25" customHeight="1">
      <c r="A299" s="391"/>
      <c r="B299" s="392"/>
      <c r="H299" s="405"/>
      <c r="K299" s="400"/>
      <c r="M299" s="407"/>
    </row>
    <row r="300" spans="1:13" s="401" customFormat="1" ht="25" customHeight="1">
      <c r="A300" s="10"/>
      <c r="B300" s="392"/>
      <c r="H300" s="405"/>
      <c r="K300" s="400"/>
      <c r="M300" s="407"/>
    </row>
    <row r="301" spans="1:13" s="401" customFormat="1" ht="25" customHeight="1">
      <c r="A301" s="10"/>
      <c r="B301" s="392"/>
      <c r="H301" s="405"/>
      <c r="K301" s="400"/>
      <c r="M301" s="407"/>
    </row>
    <row r="313" spans="2:4" ht="25" customHeight="1">
      <c r="B313" s="408"/>
      <c r="C313" s="197"/>
      <c r="D313" s="170"/>
    </row>
  </sheetData>
  <sheetProtection algorithmName="SHA-512" hashValue="LMN6DgaI9w/gIRBKwuKGvq5r763n5wUprQRNzBgj3tC9xUoANGLFNaJO1vgpNPAP4bw5mSrQkn9x+bbjzEkP1g==" saltValue="TYabHIlv40EFIgCsgye5wg==" spinCount="100000" sheet="1" objects="1" scenarios="1" selectLockedCells="1"/>
  <mergeCells count="12">
    <mergeCell ref="B167:K169"/>
    <mergeCell ref="B170:F170"/>
    <mergeCell ref="B171:F171"/>
    <mergeCell ref="B204:G206"/>
    <mergeCell ref="B207:F207"/>
    <mergeCell ref="B127:G129"/>
    <mergeCell ref="B112:G114"/>
    <mergeCell ref="B4:C4"/>
    <mergeCell ref="B30:G32"/>
    <mergeCell ref="B98:G100"/>
    <mergeCell ref="B15:L17"/>
    <mergeCell ref="B23:E23"/>
  </mergeCells>
  <conditionalFormatting sqref="I41:I54 K41:K54 I62:I71 K62:K71 I91:I93 K91:K93 I106:I107 K106:K107 I120:I122 K120:K122 J121:J122">
    <cfRule type="cellIs" dxfId="67" priority="5" operator="greaterThan">
      <formula>0</formula>
    </cfRule>
  </conditionalFormatting>
  <conditionalFormatting sqref="I79:I83 K79:K83">
    <cfRule type="cellIs" dxfId="66" priority="3" operator="greaterThan">
      <formula>0</formula>
    </cfRule>
  </conditionalFormatting>
  <conditionalFormatting sqref="I25:I26 K25:K26">
    <cfRule type="cellIs" dxfId="65" priority="1" operator="greaterThan">
      <formula>0</formula>
    </cfRule>
  </conditionalFormatting>
  <hyperlinks>
    <hyperlink ref="B10" r:id="rId1" xr:uid="{00000000-0004-0000-0000-000000000000}"/>
    <hyperlink ref="B211" r:id="rId2" xr:uid="{00000000-0004-0000-0000-000003000000}"/>
    <hyperlink ref="B23" location="'SEK - Safesprings tjänster 2023'!I80" display="Central blocklagring kan köpas till instanserna. Se &quot;Central blocklagring&quot; i prislistan." xr:uid="{8A13AB83-657C-6144-8C5B-4B96F1330E6A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F311"/>
  <sheetViews>
    <sheetView showGridLines="0" tabSelected="1" zoomScaleNormal="100" workbookViewId="0">
      <selection activeCell="I25" sqref="I25"/>
    </sheetView>
  </sheetViews>
  <sheetFormatPr baseColWidth="10" defaultColWidth="15" defaultRowHeight="25" customHeight="1"/>
  <cols>
    <col min="1" max="1" width="11.83203125" style="10" customWidth="1"/>
    <col min="2" max="2" width="30.83203125" style="11" customWidth="1"/>
    <col min="3" max="10" width="14.83203125" style="12" customWidth="1"/>
    <col min="11" max="11" width="14.83203125" style="131" customWidth="1"/>
    <col min="12" max="12" width="14.83203125" style="12" customWidth="1"/>
    <col min="13" max="13" width="14.83203125" style="14" customWidth="1"/>
    <col min="14" max="14" width="30.83203125" style="11" customWidth="1"/>
    <col min="15" max="16384" width="15" style="12"/>
  </cols>
  <sheetData>
    <row r="1" spans="1:26" ht="25" customHeight="1">
      <c r="A1" s="15"/>
      <c r="B1" s="16"/>
      <c r="C1" s="9"/>
      <c r="D1" s="17"/>
      <c r="E1" s="17"/>
      <c r="F1" s="17"/>
      <c r="G1" s="17"/>
      <c r="H1" s="17"/>
      <c r="I1" s="17"/>
      <c r="J1" s="17"/>
      <c r="K1" s="409"/>
      <c r="L1" s="19"/>
      <c r="M1" s="20"/>
      <c r="N1" s="12"/>
    </row>
    <row r="2" spans="1:26" ht="25" customHeight="1">
      <c r="A2" s="15"/>
      <c r="B2" s="16"/>
      <c r="C2" s="9"/>
      <c r="D2" s="17"/>
      <c r="E2" s="17"/>
      <c r="F2" s="17"/>
      <c r="G2" s="17"/>
      <c r="H2" s="17"/>
      <c r="I2" s="17"/>
      <c r="J2" s="17"/>
      <c r="K2" s="409"/>
      <c r="L2" s="19"/>
      <c r="M2" s="20"/>
      <c r="N2" s="12"/>
    </row>
    <row r="3" spans="1:26" ht="25" customHeight="1">
      <c r="A3" s="15"/>
      <c r="B3" s="16"/>
      <c r="C3" s="9"/>
      <c r="D3" s="17"/>
      <c r="E3" s="17"/>
      <c r="F3" s="17"/>
      <c r="G3" s="17"/>
      <c r="H3" s="17"/>
      <c r="I3" s="17"/>
      <c r="J3" s="17"/>
      <c r="K3" s="409"/>
      <c r="L3" s="19"/>
      <c r="M3" s="20"/>
      <c r="N3" s="12"/>
    </row>
    <row r="4" spans="1:26" ht="25" customHeight="1">
      <c r="A4" s="15"/>
      <c r="B4" s="983"/>
      <c r="C4" s="983"/>
      <c r="D4" s="17"/>
      <c r="E4" s="17"/>
      <c r="F4" s="17"/>
      <c r="G4" s="17"/>
      <c r="H4" s="17"/>
      <c r="I4" s="17"/>
      <c r="J4" s="17"/>
      <c r="K4" s="409"/>
      <c r="L4" s="19"/>
      <c r="M4" s="20"/>
      <c r="N4" s="12"/>
    </row>
    <row r="5" spans="1:26" ht="25" customHeight="1">
      <c r="A5" s="15"/>
      <c r="B5" s="21" t="s">
        <v>729</v>
      </c>
      <c r="C5" s="22"/>
      <c r="D5" s="17"/>
      <c r="E5" s="17"/>
      <c r="F5" s="17"/>
      <c r="G5" s="17"/>
      <c r="H5" s="17"/>
      <c r="I5" s="17"/>
      <c r="J5" s="17"/>
      <c r="K5" s="409"/>
      <c r="L5" s="19"/>
      <c r="M5" s="20"/>
      <c r="N5" s="12"/>
    </row>
    <row r="6" spans="1:26" ht="25" customHeight="1">
      <c r="A6" s="15"/>
      <c r="B6" s="23"/>
      <c r="C6" s="9"/>
      <c r="D6" s="17"/>
      <c r="E6" s="17"/>
      <c r="F6" s="17"/>
      <c r="G6" s="17"/>
      <c r="H6" s="17"/>
      <c r="I6" s="17"/>
      <c r="J6" s="17"/>
      <c r="K6" s="409"/>
      <c r="L6" s="19"/>
      <c r="M6" s="20"/>
      <c r="N6" s="12"/>
    </row>
    <row r="7" spans="1:26" ht="25" customHeight="1">
      <c r="A7" s="15"/>
      <c r="B7" s="24"/>
      <c r="C7" s="9"/>
      <c r="D7" s="17"/>
      <c r="E7" s="17"/>
      <c r="F7" s="17"/>
      <c r="G7" s="17"/>
      <c r="H7" s="17"/>
      <c r="I7" s="17"/>
      <c r="J7" s="17"/>
      <c r="K7" s="409"/>
      <c r="L7" s="19"/>
      <c r="M7" s="20"/>
      <c r="N7" s="12"/>
    </row>
    <row r="8" spans="1:26" ht="25" customHeight="1">
      <c r="A8" s="15"/>
      <c r="B8" s="25" t="s">
        <v>188</v>
      </c>
      <c r="C8" s="9"/>
      <c r="D8" s="26" t="s">
        <v>189</v>
      </c>
      <c r="E8" s="17"/>
      <c r="F8" s="17"/>
      <c r="G8" s="17"/>
      <c r="H8" s="17"/>
      <c r="I8" s="17"/>
      <c r="J8" s="17"/>
      <c r="K8" s="409"/>
      <c r="L8" s="19"/>
      <c r="M8" s="20"/>
      <c r="N8" s="12"/>
    </row>
    <row r="9" spans="1:26" ht="25" customHeight="1">
      <c r="A9" s="15"/>
      <c r="B9" s="27" t="s">
        <v>190</v>
      </c>
      <c r="C9" s="9"/>
      <c r="D9" s="17"/>
      <c r="E9" s="17"/>
      <c r="F9" s="17"/>
      <c r="G9" s="17"/>
      <c r="H9" s="17"/>
      <c r="I9" s="17"/>
      <c r="J9" s="17"/>
      <c r="K9" s="409"/>
      <c r="L9" s="19"/>
      <c r="M9" s="20"/>
      <c r="N9" s="12"/>
    </row>
    <row r="10" spans="1:26" ht="25" customHeight="1">
      <c r="A10" s="15"/>
      <c r="B10" s="28" t="s">
        <v>3</v>
      </c>
      <c r="C10" s="29"/>
      <c r="D10" s="17"/>
      <c r="E10" s="17"/>
      <c r="F10" s="17"/>
      <c r="G10" s="17"/>
      <c r="H10" s="17"/>
      <c r="I10" s="17"/>
      <c r="J10" s="17"/>
      <c r="K10" s="409"/>
      <c r="L10" s="19"/>
      <c r="M10" s="20"/>
      <c r="N10" s="12"/>
    </row>
    <row r="11" spans="1:26" s="38" customFormat="1" ht="25" customHeight="1">
      <c r="A11" s="30"/>
      <c r="B11" s="31"/>
      <c r="C11" s="32"/>
      <c r="D11" s="33"/>
      <c r="E11" s="33"/>
      <c r="F11" s="33"/>
      <c r="G11" s="34"/>
      <c r="H11" s="34"/>
      <c r="I11" s="35"/>
      <c r="J11" s="33"/>
      <c r="K11" s="410"/>
      <c r="L11" s="37"/>
      <c r="M11" s="20"/>
      <c r="N11" s="12"/>
    </row>
    <row r="12" spans="1:26" s="38" customFormat="1" ht="25" customHeight="1">
      <c r="A12" s="39"/>
      <c r="B12" s="40"/>
      <c r="C12" s="41"/>
      <c r="D12" s="42"/>
      <c r="E12" s="42"/>
      <c r="F12" s="42"/>
      <c r="G12" s="43"/>
      <c r="H12" s="43"/>
      <c r="I12" s="44"/>
      <c r="J12" s="42"/>
      <c r="K12" s="411"/>
      <c r="L12" s="46"/>
      <c r="M12" s="20"/>
      <c r="N12" s="12"/>
    </row>
    <row r="13" spans="1:26" s="38" customFormat="1" ht="25" customHeight="1">
      <c r="A13" s="47"/>
      <c r="B13" s="48"/>
      <c r="G13" s="49"/>
      <c r="H13" s="49"/>
      <c r="I13" s="50"/>
      <c r="K13" s="412"/>
      <c r="L13" s="52"/>
      <c r="M13" s="20"/>
      <c r="N13" s="12"/>
    </row>
    <row r="14" spans="1:26" s="38" customFormat="1" ht="25" customHeight="1">
      <c r="A14" s="47"/>
      <c r="B14" s="48"/>
      <c r="G14" s="49"/>
      <c r="H14" s="49"/>
      <c r="I14" s="50"/>
      <c r="K14" s="412"/>
      <c r="L14" s="52"/>
      <c r="M14" s="20"/>
      <c r="N14" s="12"/>
    </row>
    <row r="15" spans="1:26" s="38" customFormat="1" ht="25" customHeight="1">
      <c r="A15" s="47"/>
      <c r="B15" s="982" t="s">
        <v>718</v>
      </c>
      <c r="C15" s="982"/>
      <c r="D15" s="982"/>
      <c r="E15" s="982"/>
      <c r="F15" s="982"/>
      <c r="G15" s="982"/>
      <c r="H15" s="982"/>
      <c r="I15" s="982"/>
      <c r="J15" s="982"/>
      <c r="K15" s="982"/>
      <c r="L15" s="986"/>
      <c r="M15" s="20"/>
      <c r="N15" s="12"/>
      <c r="S15" s="54"/>
      <c r="X15" s="54"/>
      <c r="Y15" s="54"/>
      <c r="Z15" s="54"/>
    </row>
    <row r="16" spans="1:26" s="38" customFormat="1" ht="25" customHeight="1">
      <c r="A16" s="47"/>
      <c r="B16" s="982"/>
      <c r="C16" s="982"/>
      <c r="D16" s="982"/>
      <c r="E16" s="982"/>
      <c r="F16" s="982"/>
      <c r="G16" s="982"/>
      <c r="H16" s="982"/>
      <c r="I16" s="982"/>
      <c r="J16" s="982"/>
      <c r="K16" s="982"/>
      <c r="L16" s="986"/>
      <c r="M16" s="20"/>
      <c r="N16" s="12"/>
      <c r="S16" s="54"/>
      <c r="X16" s="54"/>
      <c r="Y16" s="54"/>
      <c r="Z16" s="54"/>
    </row>
    <row r="17" spans="1:26" s="38" customFormat="1" ht="25" customHeight="1">
      <c r="A17" s="47"/>
      <c r="B17" s="982"/>
      <c r="C17" s="982"/>
      <c r="D17" s="982"/>
      <c r="E17" s="982"/>
      <c r="F17" s="982"/>
      <c r="G17" s="982"/>
      <c r="H17" s="982"/>
      <c r="I17" s="982"/>
      <c r="J17" s="982"/>
      <c r="K17" s="982"/>
      <c r="L17" s="986"/>
      <c r="M17" s="20"/>
      <c r="N17" s="12"/>
      <c r="S17" s="54"/>
      <c r="X17" s="54"/>
      <c r="Y17" s="54"/>
      <c r="Z17" s="54"/>
    </row>
    <row r="18" spans="1:26" s="38" customFormat="1" ht="25" customHeight="1">
      <c r="A18" s="47"/>
      <c r="B18" s="984" t="s">
        <v>193</v>
      </c>
      <c r="C18" s="984"/>
      <c r="D18" s="984"/>
      <c r="E18" s="984"/>
      <c r="F18" s="984"/>
      <c r="G18" s="57"/>
      <c r="H18" s="58"/>
      <c r="J18" s="59"/>
      <c r="K18" s="413"/>
      <c r="L18" s="61"/>
      <c r="M18" s="20"/>
      <c r="N18" s="12"/>
      <c r="S18" s="54"/>
      <c r="T18" s="54"/>
      <c r="U18" s="54"/>
      <c r="V18" s="54"/>
      <c r="W18" s="54"/>
      <c r="X18" s="54"/>
      <c r="Y18" s="54"/>
      <c r="Z18" s="54"/>
    </row>
    <row r="19" spans="1:26" s="38" customFormat="1" ht="25" customHeight="1">
      <c r="A19" s="47"/>
      <c r="B19" s="62" t="s">
        <v>194</v>
      </c>
      <c r="C19" s="63"/>
      <c r="D19" s="63"/>
      <c r="E19" s="64"/>
      <c r="F19" s="64"/>
      <c r="G19" s="57"/>
      <c r="H19" s="58"/>
      <c r="I19" s="57"/>
      <c r="J19" s="59"/>
      <c r="K19" s="413"/>
      <c r="L19" s="61"/>
      <c r="M19" s="20"/>
      <c r="N19" s="12"/>
      <c r="S19" s="54"/>
      <c r="T19" s="54"/>
      <c r="U19" s="54"/>
      <c r="V19" s="54"/>
      <c r="W19" s="66"/>
      <c r="X19" s="161"/>
      <c r="Y19" s="54"/>
      <c r="Z19" s="54"/>
    </row>
    <row r="20" spans="1:26" s="38" customFormat="1" ht="25" customHeight="1">
      <c r="A20" s="47"/>
      <c r="B20" s="8"/>
      <c r="C20" s="64"/>
      <c r="D20" s="64"/>
      <c r="E20" s="64"/>
      <c r="F20" s="64"/>
      <c r="G20" s="57"/>
      <c r="H20" s="58"/>
      <c r="I20" s="57"/>
      <c r="J20" s="59"/>
      <c r="K20" s="413"/>
      <c r="L20" s="61"/>
      <c r="M20" s="20"/>
      <c r="N20" s="12"/>
      <c r="P20" s="12"/>
      <c r="Q20" s="12"/>
      <c r="R20" s="12"/>
      <c r="S20" s="54"/>
      <c r="T20" s="54"/>
      <c r="U20" s="54"/>
      <c r="V20" s="54"/>
      <c r="W20" s="54"/>
      <c r="X20" s="54"/>
      <c r="Y20" s="66"/>
      <c r="Z20" s="54"/>
    </row>
    <row r="21" spans="1:26" s="38" customFormat="1" ht="25" customHeight="1">
      <c r="A21" s="47"/>
      <c r="B21" s="8"/>
      <c r="C21" s="64"/>
      <c r="D21" s="64"/>
      <c r="E21" s="64"/>
      <c r="F21" s="64"/>
      <c r="G21" s="57"/>
      <c r="H21" s="58"/>
      <c r="I21" s="57"/>
      <c r="J21" s="59"/>
      <c r="K21" s="413"/>
      <c r="L21" s="61"/>
      <c r="M21" s="20"/>
      <c r="N21" s="12"/>
      <c r="P21" s="12"/>
      <c r="Q21" s="12"/>
      <c r="R21" s="12"/>
      <c r="S21" s="54"/>
      <c r="T21" s="54"/>
      <c r="U21" s="54"/>
      <c r="V21" s="54"/>
      <c r="W21" s="54"/>
      <c r="X21" s="54"/>
      <c r="Y21" s="66"/>
      <c r="Z21" s="54"/>
    </row>
    <row r="22" spans="1:26" s="73" customFormat="1" ht="25" customHeight="1">
      <c r="A22" s="67"/>
      <c r="B22" s="68" t="s">
        <v>719</v>
      </c>
      <c r="C22" s="69"/>
      <c r="D22" s="69"/>
      <c r="E22" s="69"/>
      <c r="F22" s="69"/>
      <c r="G22" s="69"/>
      <c r="H22" s="70"/>
      <c r="I22" s="71"/>
      <c r="J22" s="71"/>
      <c r="K22" s="414"/>
      <c r="M22" s="20"/>
      <c r="N22" s="12"/>
      <c r="P22" s="74"/>
      <c r="Q22" s="74"/>
      <c r="R22" s="75"/>
    </row>
    <row r="23" spans="1:26" ht="25" customHeight="1">
      <c r="B23" s="985" t="s">
        <v>720</v>
      </c>
      <c r="C23" s="985"/>
      <c r="D23" s="985"/>
      <c r="E23" s="985"/>
      <c r="M23" s="20"/>
      <c r="N23" s="12"/>
    </row>
    <row r="24" spans="1:26" s="82" customFormat="1" ht="25" customHeight="1">
      <c r="A24" s="77"/>
      <c r="B24" s="78" t="s">
        <v>23</v>
      </c>
      <c r="C24" s="79"/>
      <c r="D24" s="79"/>
      <c r="E24" s="6"/>
      <c r="F24" s="6"/>
      <c r="G24" s="6" t="s">
        <v>31</v>
      </c>
      <c r="H24" s="6" t="s">
        <v>32</v>
      </c>
      <c r="I24" s="80" t="s">
        <v>33</v>
      </c>
      <c r="J24" s="79"/>
      <c r="K24" s="415" t="s">
        <v>27</v>
      </c>
      <c r="M24" s="20"/>
      <c r="N24" s="12"/>
      <c r="O24" s="12"/>
      <c r="P24" s="66"/>
      <c r="Q24" s="66"/>
      <c r="R24" s="83"/>
    </row>
    <row r="25" spans="1:26" s="54" customFormat="1" ht="25" customHeight="1">
      <c r="A25" s="47"/>
      <c r="B25" s="137" t="s">
        <v>716</v>
      </c>
      <c r="C25" s="85"/>
      <c r="D25" s="85"/>
      <c r="E25" s="86"/>
      <c r="F25" s="86"/>
      <c r="G25" s="141">
        <f t="shared" ref="G25:G26" si="0">H25/720</f>
        <v>6.8055555555555554</v>
      </c>
      <c r="H25" s="154">
        <v>4900</v>
      </c>
      <c r="I25" s="88"/>
      <c r="J25" s="32"/>
      <c r="K25" s="138">
        <f t="shared" ref="K25:K26" si="1">ROUNDUP(I25*H25,2)</f>
        <v>0</v>
      </c>
      <c r="M25" s="20"/>
      <c r="N25" s="12"/>
      <c r="O25" s="12"/>
      <c r="P25" s="66"/>
      <c r="R25" s="66"/>
    </row>
    <row r="26" spans="1:26" s="54" customFormat="1" ht="25" customHeight="1">
      <c r="A26" s="47"/>
      <c r="B26" s="139" t="s">
        <v>717</v>
      </c>
      <c r="C26" s="91"/>
      <c r="D26" s="91"/>
      <c r="E26" s="92"/>
      <c r="F26" s="92"/>
      <c r="G26" s="416">
        <f t="shared" si="0"/>
        <v>0</v>
      </c>
      <c r="H26" s="158">
        <v>0</v>
      </c>
      <c r="I26" s="88"/>
      <c r="J26" s="94"/>
      <c r="K26" s="140">
        <f t="shared" si="1"/>
        <v>0</v>
      </c>
      <c r="M26" s="20"/>
      <c r="N26" s="12"/>
      <c r="P26" s="66"/>
      <c r="R26" s="66"/>
    </row>
    <row r="27" spans="1:26" s="38" customFormat="1" ht="25" customHeight="1">
      <c r="A27" s="47"/>
      <c r="B27" s="97" t="s">
        <v>27</v>
      </c>
      <c r="C27" s="98" t="str" cm="1">
        <f t="array" ref="C27">SUM(C25:C26*I25:I26)&amp;" st"</f>
        <v>0 st</v>
      </c>
      <c r="D27" s="98" t="str" cm="1">
        <f t="array" ref="D27">SUM(D25:D26*I25:I26)&amp;" GB"</f>
        <v>0 GB</v>
      </c>
      <c r="E27" s="159" t="str" cm="1">
        <f t="array" ref="E27">SUM(E25:E26*I25:I26)&amp;" GB"</f>
        <v>0 GB</v>
      </c>
      <c r="F27" s="159"/>
      <c r="G27" s="98"/>
      <c r="H27" s="98"/>
      <c r="I27" s="98" t="str">
        <f>SUM(I14:I26)&amp;" st"</f>
        <v>0 st</v>
      </c>
      <c r="J27" s="98"/>
      <c r="K27" s="142">
        <f>SUM(K14:K26)</f>
        <v>0</v>
      </c>
      <c r="L27" s="52"/>
      <c r="M27" s="20"/>
      <c r="N27" s="12"/>
    </row>
    <row r="28" spans="1:26" s="38" customFormat="1" ht="25" customHeight="1">
      <c r="A28" s="47"/>
      <c r="B28" s="950"/>
      <c r="C28" s="258"/>
      <c r="D28" s="258"/>
      <c r="E28" s="981"/>
      <c r="F28" s="981"/>
      <c r="G28" s="258"/>
      <c r="H28" s="258"/>
      <c r="I28" s="258"/>
      <c r="J28" s="258"/>
      <c r="K28" s="980"/>
      <c r="L28" s="52"/>
      <c r="M28" s="20"/>
      <c r="N28" s="12"/>
    </row>
    <row r="29" spans="1:26" s="38" customFormat="1" ht="25" customHeight="1">
      <c r="A29" s="47"/>
      <c r="B29" s="48"/>
      <c r="G29" s="49"/>
      <c r="H29" s="49"/>
      <c r="I29" s="50"/>
      <c r="K29" s="412"/>
      <c r="L29" s="52"/>
      <c r="M29" s="20"/>
      <c r="N29" s="12"/>
    </row>
    <row r="30" spans="1:26" s="38" customFormat="1" ht="25" customHeight="1">
      <c r="A30" s="47"/>
      <c r="B30" s="982" t="s">
        <v>191</v>
      </c>
      <c r="C30" s="982"/>
      <c r="D30" s="982"/>
      <c r="E30" s="982"/>
      <c r="F30" s="982"/>
      <c r="G30" s="982"/>
      <c r="H30" s="50"/>
      <c r="J30" s="53"/>
      <c r="K30" s="412"/>
      <c r="L30" s="52"/>
      <c r="M30" s="20"/>
      <c r="N30" s="12"/>
      <c r="S30" s="54"/>
      <c r="X30" s="54"/>
      <c r="Y30" s="54"/>
      <c r="Z30" s="54"/>
    </row>
    <row r="31" spans="1:26" s="38" customFormat="1" ht="25" customHeight="1">
      <c r="A31" s="47"/>
      <c r="B31" s="982"/>
      <c r="C31" s="982"/>
      <c r="D31" s="982"/>
      <c r="E31" s="982"/>
      <c r="F31" s="982"/>
      <c r="G31" s="982"/>
      <c r="H31" s="50"/>
      <c r="J31" s="53"/>
      <c r="K31" s="412"/>
      <c r="L31" s="52"/>
      <c r="M31" s="20"/>
      <c r="N31" s="12"/>
      <c r="S31" s="54"/>
      <c r="X31" s="54"/>
      <c r="Y31" s="54"/>
      <c r="Z31" s="54"/>
    </row>
    <row r="32" spans="1:26" s="38" customFormat="1" ht="25" customHeight="1">
      <c r="A32" s="47"/>
      <c r="B32" s="982"/>
      <c r="C32" s="982"/>
      <c r="D32" s="982"/>
      <c r="E32" s="982"/>
      <c r="F32" s="982"/>
      <c r="G32" s="982"/>
      <c r="H32" s="50"/>
      <c r="J32" s="53"/>
      <c r="K32" s="412"/>
      <c r="L32" s="52"/>
      <c r="M32" s="20"/>
      <c r="N32" s="12"/>
      <c r="S32" s="54"/>
      <c r="X32" s="54"/>
      <c r="Y32" s="54"/>
      <c r="Z32" s="54"/>
    </row>
    <row r="33" spans="1:26" s="38" customFormat="1" ht="25" customHeight="1">
      <c r="A33" s="47"/>
      <c r="B33" s="55" t="s">
        <v>192</v>
      </c>
      <c r="C33" s="56"/>
      <c r="D33" s="56"/>
      <c r="E33" s="56"/>
      <c r="F33" s="56"/>
      <c r="H33" s="50"/>
      <c r="J33" s="53"/>
      <c r="K33" s="412"/>
      <c r="L33" s="52"/>
      <c r="M33" s="20"/>
      <c r="N33" s="12"/>
      <c r="S33" s="54"/>
      <c r="T33" s="54"/>
      <c r="U33" s="54"/>
      <c r="V33" s="54"/>
      <c r="W33" s="54"/>
      <c r="X33" s="54"/>
      <c r="Y33" s="54"/>
      <c r="Z33" s="54"/>
    </row>
    <row r="34" spans="1:26" s="38" customFormat="1" ht="25" customHeight="1">
      <c r="A34" s="47"/>
      <c r="B34" s="984" t="s">
        <v>193</v>
      </c>
      <c r="C34" s="984"/>
      <c r="D34" s="984"/>
      <c r="E34" s="984"/>
      <c r="F34" s="984"/>
      <c r="G34" s="57"/>
      <c r="H34" s="58"/>
      <c r="J34" s="59"/>
      <c r="K34" s="413"/>
      <c r="L34" s="61"/>
      <c r="M34" s="20"/>
      <c r="N34" s="12"/>
      <c r="S34" s="54"/>
      <c r="T34" s="54"/>
      <c r="U34" s="54"/>
      <c r="V34" s="54"/>
      <c r="W34" s="54"/>
      <c r="X34" s="54"/>
      <c r="Y34" s="54"/>
      <c r="Z34" s="54"/>
    </row>
    <row r="35" spans="1:26" s="38" customFormat="1" ht="25" customHeight="1">
      <c r="A35" s="47"/>
      <c r="B35" s="62" t="s">
        <v>194</v>
      </c>
      <c r="C35" s="63"/>
      <c r="D35" s="63"/>
      <c r="E35" s="64"/>
      <c r="F35" s="64"/>
      <c r="G35" s="57"/>
      <c r="H35" s="58"/>
      <c r="I35" s="57"/>
      <c r="J35" s="59"/>
      <c r="K35" s="413"/>
      <c r="L35" s="61"/>
      <c r="M35" s="20"/>
      <c r="N35" s="12"/>
      <c r="S35" s="54"/>
      <c r="T35" s="54"/>
      <c r="U35" s="54"/>
      <c r="V35" s="54"/>
      <c r="W35" s="66"/>
      <c r="X35" s="161"/>
      <c r="Y35" s="54"/>
      <c r="Z35" s="54"/>
    </row>
    <row r="36" spans="1:26" s="38" customFormat="1" ht="25" customHeight="1">
      <c r="A36" s="47"/>
      <c r="B36" s="8"/>
      <c r="C36" s="64"/>
      <c r="D36" s="64"/>
      <c r="E36" s="64"/>
      <c r="F36" s="64"/>
      <c r="G36" s="57"/>
      <c r="H36" s="58"/>
      <c r="I36" s="57"/>
      <c r="J36" s="59"/>
      <c r="K36" s="413"/>
      <c r="L36" s="61"/>
      <c r="M36" s="20"/>
      <c r="N36" s="12"/>
      <c r="P36" s="12"/>
      <c r="Q36" s="12"/>
      <c r="R36" s="12"/>
      <c r="S36" s="54"/>
      <c r="T36" s="54"/>
      <c r="U36" s="54"/>
      <c r="V36" s="54"/>
      <c r="W36" s="54"/>
      <c r="X36" s="54"/>
      <c r="Y36" s="66"/>
      <c r="Z36" s="54"/>
    </row>
    <row r="37" spans="1:26" s="38" customFormat="1" ht="25" customHeight="1">
      <c r="A37" s="47"/>
      <c r="B37" s="8"/>
      <c r="C37" s="64"/>
      <c r="D37" s="64"/>
      <c r="E37" s="64"/>
      <c r="F37" s="64"/>
      <c r="G37" s="57"/>
      <c r="H37" s="58"/>
      <c r="I37" s="57"/>
      <c r="J37" s="59"/>
      <c r="K37" s="413"/>
      <c r="L37" s="61"/>
      <c r="M37" s="20"/>
      <c r="N37" s="12"/>
      <c r="P37" s="12"/>
      <c r="Q37" s="12"/>
      <c r="R37" s="12"/>
      <c r="S37" s="54"/>
      <c r="T37" s="54"/>
      <c r="U37" s="54"/>
      <c r="V37" s="54"/>
      <c r="W37" s="54"/>
      <c r="X37" s="54"/>
      <c r="Y37" s="66"/>
      <c r="Z37" s="54"/>
    </row>
    <row r="38" spans="1:26" s="73" customFormat="1" ht="25" customHeight="1">
      <c r="A38" s="67"/>
      <c r="B38" s="68" t="s">
        <v>195</v>
      </c>
      <c r="C38" s="69"/>
      <c r="D38" s="69"/>
      <c r="E38" s="69"/>
      <c r="F38" s="69"/>
      <c r="G38" s="69"/>
      <c r="H38" s="70"/>
      <c r="I38" s="71"/>
      <c r="J38" s="71"/>
      <c r="K38" s="414"/>
      <c r="M38" s="20"/>
      <c r="N38" s="12"/>
      <c r="P38" s="74"/>
      <c r="Q38" s="74"/>
      <c r="R38" s="75"/>
    </row>
    <row r="39" spans="1:26" ht="25" customHeight="1">
      <c r="B39" s="985" t="s">
        <v>196</v>
      </c>
      <c r="C39" s="985"/>
      <c r="D39" s="985"/>
      <c r="E39" s="985"/>
      <c r="M39" s="20"/>
      <c r="N39" s="12"/>
    </row>
    <row r="40" spans="1:26" s="82" customFormat="1" ht="25" customHeight="1">
      <c r="A40" s="77"/>
      <c r="B40" s="78" t="s">
        <v>23</v>
      </c>
      <c r="C40" s="79" t="s">
        <v>11</v>
      </c>
      <c r="D40" s="79" t="s">
        <v>197</v>
      </c>
      <c r="E40" s="6" t="s">
        <v>198</v>
      </c>
      <c r="F40" s="6"/>
      <c r="G40" s="6" t="s">
        <v>31</v>
      </c>
      <c r="H40" s="6" t="s">
        <v>32</v>
      </c>
      <c r="I40" s="80" t="s">
        <v>33</v>
      </c>
      <c r="J40" s="79"/>
      <c r="K40" s="415" t="s">
        <v>34</v>
      </c>
      <c r="M40" s="20"/>
      <c r="N40" s="12"/>
      <c r="O40" s="12"/>
      <c r="P40" s="66"/>
      <c r="Q40" s="66"/>
      <c r="R40" s="83"/>
    </row>
    <row r="41" spans="1:26" s="54" customFormat="1" ht="25" customHeight="1">
      <c r="A41" s="47"/>
      <c r="B41" s="137" t="s">
        <v>199</v>
      </c>
      <c r="C41" s="85">
        <v>2</v>
      </c>
      <c r="D41" s="85">
        <v>4</v>
      </c>
      <c r="E41" s="86">
        <v>100</v>
      </c>
      <c r="F41" s="86"/>
      <c r="G41" s="141">
        <f t="shared" ref="G41:G54" si="2">H41/720</f>
        <v>0.66666666666666663</v>
      </c>
      <c r="H41" s="154">
        <f t="shared" ref="H41:H54" si="3">C41*IAAS_vcpu_SEK+D41*IAAS_ram_SEK+E41*IAAS_nvme_SEK</f>
        <v>480</v>
      </c>
      <c r="I41" s="88"/>
      <c r="J41" s="32"/>
      <c r="K41" s="138">
        <f t="shared" ref="K41:K54" si="4">ROUNDUP(I41*H41,2)</f>
        <v>0</v>
      </c>
      <c r="M41" s="20"/>
      <c r="N41" s="12"/>
      <c r="P41" s="66"/>
      <c r="R41" s="66"/>
    </row>
    <row r="42" spans="1:26" s="54" customFormat="1" ht="25" customHeight="1">
      <c r="A42" s="47"/>
      <c r="B42" s="139" t="s">
        <v>200</v>
      </c>
      <c r="C42" s="91">
        <v>2</v>
      </c>
      <c r="D42" s="91">
        <v>4</v>
      </c>
      <c r="E42" s="92">
        <v>500</v>
      </c>
      <c r="F42" s="92"/>
      <c r="G42" s="416">
        <f t="shared" si="2"/>
        <v>1.2222222222222223</v>
      </c>
      <c r="H42" s="158">
        <f t="shared" si="3"/>
        <v>880</v>
      </c>
      <c r="I42" s="88"/>
      <c r="J42" s="94"/>
      <c r="K42" s="140">
        <f t="shared" si="4"/>
        <v>0</v>
      </c>
      <c r="M42" s="20"/>
      <c r="N42" s="12"/>
      <c r="P42" s="66"/>
      <c r="R42" s="66"/>
    </row>
    <row r="43" spans="1:26" s="54" customFormat="1" ht="25" customHeight="1">
      <c r="A43" s="47"/>
      <c r="B43" s="137" t="s">
        <v>201</v>
      </c>
      <c r="C43" s="85">
        <v>2</v>
      </c>
      <c r="D43" s="85">
        <v>4</v>
      </c>
      <c r="E43" s="86">
        <v>1000</v>
      </c>
      <c r="F43" s="86"/>
      <c r="G43" s="141">
        <f t="shared" si="2"/>
        <v>1.9166666666666667</v>
      </c>
      <c r="H43" s="154">
        <f t="shared" si="3"/>
        <v>1380</v>
      </c>
      <c r="I43" s="88"/>
      <c r="J43" s="32"/>
      <c r="K43" s="138">
        <f t="shared" si="4"/>
        <v>0</v>
      </c>
      <c r="M43" s="20"/>
      <c r="N43" s="12"/>
      <c r="P43" s="66"/>
      <c r="R43" s="66"/>
    </row>
    <row r="44" spans="1:26" s="54" customFormat="1" ht="25" customHeight="1">
      <c r="A44" s="47"/>
      <c r="B44" s="139" t="s">
        <v>202</v>
      </c>
      <c r="C44" s="91">
        <v>4</v>
      </c>
      <c r="D44" s="91">
        <v>8</v>
      </c>
      <c r="E44" s="92">
        <v>100</v>
      </c>
      <c r="F44" s="92"/>
      <c r="G44" s="416">
        <f t="shared" si="2"/>
        <v>1.1944444444444444</v>
      </c>
      <c r="H44" s="158">
        <f t="shared" si="3"/>
        <v>860</v>
      </c>
      <c r="I44" s="88"/>
      <c r="J44" s="94"/>
      <c r="K44" s="140">
        <f t="shared" si="4"/>
        <v>0</v>
      </c>
      <c r="M44" s="20"/>
      <c r="N44" s="12"/>
      <c r="P44" s="66"/>
      <c r="R44" s="66"/>
    </row>
    <row r="45" spans="1:26" s="54" customFormat="1" ht="25" customHeight="1">
      <c r="A45" s="47"/>
      <c r="B45" s="137" t="s">
        <v>203</v>
      </c>
      <c r="C45" s="85">
        <v>4</v>
      </c>
      <c r="D45" s="85">
        <v>8</v>
      </c>
      <c r="E45" s="86">
        <v>500</v>
      </c>
      <c r="F45" s="86"/>
      <c r="G45" s="141">
        <f t="shared" si="2"/>
        <v>1.75</v>
      </c>
      <c r="H45" s="154">
        <f t="shared" si="3"/>
        <v>1260</v>
      </c>
      <c r="I45" s="88"/>
      <c r="J45" s="32"/>
      <c r="K45" s="138">
        <f t="shared" si="4"/>
        <v>0</v>
      </c>
      <c r="M45" s="20"/>
      <c r="N45" s="12"/>
      <c r="P45" s="66"/>
      <c r="R45" s="66"/>
    </row>
    <row r="46" spans="1:26" s="54" customFormat="1" ht="25" customHeight="1">
      <c r="A46" s="47"/>
      <c r="B46" s="139" t="s">
        <v>204</v>
      </c>
      <c r="C46" s="91">
        <v>4</v>
      </c>
      <c r="D46" s="91">
        <v>8</v>
      </c>
      <c r="E46" s="92">
        <v>1000</v>
      </c>
      <c r="F46" s="92"/>
      <c r="G46" s="416">
        <f t="shared" si="2"/>
        <v>2.4444444444444446</v>
      </c>
      <c r="H46" s="158">
        <f t="shared" si="3"/>
        <v>1760</v>
      </c>
      <c r="I46" s="88"/>
      <c r="J46" s="94"/>
      <c r="K46" s="140">
        <f t="shared" si="4"/>
        <v>0</v>
      </c>
      <c r="M46" s="20"/>
      <c r="N46" s="12"/>
      <c r="P46" s="66"/>
      <c r="R46" s="66"/>
    </row>
    <row r="47" spans="1:26" s="54" customFormat="1" ht="25" customHeight="1">
      <c r="A47" s="47"/>
      <c r="B47" s="137" t="s">
        <v>205</v>
      </c>
      <c r="C47" s="85">
        <v>8</v>
      </c>
      <c r="D47" s="85">
        <v>16</v>
      </c>
      <c r="E47" s="86">
        <v>100</v>
      </c>
      <c r="F47" s="86"/>
      <c r="G47" s="141">
        <f t="shared" si="2"/>
        <v>2.25</v>
      </c>
      <c r="H47" s="154">
        <f t="shared" si="3"/>
        <v>1620</v>
      </c>
      <c r="I47" s="88"/>
      <c r="J47" s="32"/>
      <c r="K47" s="138">
        <f t="shared" si="4"/>
        <v>0</v>
      </c>
      <c r="M47" s="20"/>
      <c r="N47" s="12"/>
      <c r="P47" s="66"/>
      <c r="R47" s="66"/>
    </row>
    <row r="48" spans="1:26" s="54" customFormat="1" ht="25" customHeight="1">
      <c r="A48" s="47"/>
      <c r="B48" s="139" t="s">
        <v>206</v>
      </c>
      <c r="C48" s="91">
        <v>8</v>
      </c>
      <c r="D48" s="91">
        <v>16</v>
      </c>
      <c r="E48" s="92">
        <v>500</v>
      </c>
      <c r="F48" s="92"/>
      <c r="G48" s="416">
        <f t="shared" si="2"/>
        <v>2.8055555555555554</v>
      </c>
      <c r="H48" s="158">
        <f t="shared" si="3"/>
        <v>2020</v>
      </c>
      <c r="I48" s="88"/>
      <c r="J48" s="94"/>
      <c r="K48" s="140">
        <f t="shared" si="4"/>
        <v>0</v>
      </c>
      <c r="M48" s="20"/>
      <c r="N48" s="12"/>
      <c r="P48" s="66"/>
      <c r="R48" s="66"/>
    </row>
    <row r="49" spans="1:19" s="54" customFormat="1" ht="25" customHeight="1">
      <c r="A49" s="47"/>
      <c r="B49" s="137" t="s">
        <v>207</v>
      </c>
      <c r="C49" s="85">
        <v>8</v>
      </c>
      <c r="D49" s="85">
        <v>16</v>
      </c>
      <c r="E49" s="86">
        <v>1000</v>
      </c>
      <c r="F49" s="86"/>
      <c r="G49" s="141">
        <f t="shared" si="2"/>
        <v>3.5</v>
      </c>
      <c r="H49" s="154">
        <f t="shared" si="3"/>
        <v>2520</v>
      </c>
      <c r="I49" s="88"/>
      <c r="J49" s="32"/>
      <c r="K49" s="138">
        <f t="shared" si="4"/>
        <v>0</v>
      </c>
      <c r="M49" s="20"/>
      <c r="N49" s="12"/>
      <c r="P49" s="66"/>
      <c r="R49" s="66"/>
    </row>
    <row r="50" spans="1:19" s="54" customFormat="1" ht="25" customHeight="1">
      <c r="A50" s="47"/>
      <c r="B50" s="139" t="s">
        <v>208</v>
      </c>
      <c r="C50" s="91">
        <v>16</v>
      </c>
      <c r="D50" s="91">
        <v>32</v>
      </c>
      <c r="E50" s="92">
        <v>100</v>
      </c>
      <c r="F50" s="92"/>
      <c r="G50" s="416">
        <f t="shared" si="2"/>
        <v>4.3611111111111107</v>
      </c>
      <c r="H50" s="158">
        <f t="shared" si="3"/>
        <v>3140</v>
      </c>
      <c r="I50" s="88"/>
      <c r="J50" s="94"/>
      <c r="K50" s="140">
        <f t="shared" si="4"/>
        <v>0</v>
      </c>
      <c r="M50" s="20"/>
      <c r="N50" s="12"/>
      <c r="P50" s="66"/>
      <c r="R50" s="66"/>
    </row>
    <row r="51" spans="1:19" s="54" customFormat="1" ht="25" customHeight="1">
      <c r="A51" s="47"/>
      <c r="B51" s="137" t="s">
        <v>209</v>
      </c>
      <c r="C51" s="85">
        <v>16</v>
      </c>
      <c r="D51" s="85">
        <v>32</v>
      </c>
      <c r="E51" s="86">
        <v>500</v>
      </c>
      <c r="F51" s="86"/>
      <c r="G51" s="141">
        <f t="shared" si="2"/>
        <v>4.916666666666667</v>
      </c>
      <c r="H51" s="154">
        <f t="shared" si="3"/>
        <v>3540</v>
      </c>
      <c r="I51" s="88"/>
      <c r="J51" s="32"/>
      <c r="K51" s="138">
        <f t="shared" si="4"/>
        <v>0</v>
      </c>
      <c r="M51" s="20"/>
      <c r="N51" s="12"/>
      <c r="P51" s="66"/>
      <c r="R51" s="66"/>
    </row>
    <row r="52" spans="1:19" s="54" customFormat="1" ht="25" customHeight="1">
      <c r="A52" s="47"/>
      <c r="B52" s="139" t="s">
        <v>210</v>
      </c>
      <c r="C52" s="91">
        <v>16</v>
      </c>
      <c r="D52" s="91">
        <v>32</v>
      </c>
      <c r="E52" s="92">
        <v>1000</v>
      </c>
      <c r="F52" s="92"/>
      <c r="G52" s="416">
        <f t="shared" si="2"/>
        <v>5.6111111111111107</v>
      </c>
      <c r="H52" s="158">
        <f t="shared" si="3"/>
        <v>4040</v>
      </c>
      <c r="I52" s="88"/>
      <c r="J52" s="94"/>
      <c r="K52" s="140">
        <f t="shared" si="4"/>
        <v>0</v>
      </c>
      <c r="M52" s="20"/>
      <c r="N52" s="12"/>
      <c r="P52" s="66"/>
      <c r="R52" s="66"/>
    </row>
    <row r="53" spans="1:19" s="54" customFormat="1" ht="25" customHeight="1">
      <c r="A53" s="47"/>
      <c r="B53" s="137" t="s">
        <v>712</v>
      </c>
      <c r="C53" s="85">
        <v>16</v>
      </c>
      <c r="D53" s="85">
        <v>64</v>
      </c>
      <c r="E53" s="86">
        <v>500</v>
      </c>
      <c r="F53" s="86"/>
      <c r="G53" s="141">
        <f t="shared" si="2"/>
        <v>7.3611111111111107</v>
      </c>
      <c r="H53" s="154">
        <f t="shared" si="3"/>
        <v>5300</v>
      </c>
      <c r="I53" s="88"/>
      <c r="J53" s="32"/>
      <c r="K53" s="138">
        <f t="shared" si="4"/>
        <v>0</v>
      </c>
      <c r="M53" s="20"/>
      <c r="N53" s="12"/>
      <c r="P53" s="66"/>
      <c r="R53" s="66"/>
    </row>
    <row r="54" spans="1:19" s="54" customFormat="1" ht="25" customHeight="1">
      <c r="A54" s="47"/>
      <c r="B54" s="139" t="s">
        <v>211</v>
      </c>
      <c r="C54" s="91">
        <v>32</v>
      </c>
      <c r="D54" s="91">
        <v>64</v>
      </c>
      <c r="E54" s="92">
        <v>1000</v>
      </c>
      <c r="F54" s="92"/>
      <c r="G54" s="416">
        <f t="shared" si="2"/>
        <v>9.8333333333333339</v>
      </c>
      <c r="H54" s="158">
        <f t="shared" si="3"/>
        <v>7080</v>
      </c>
      <c r="I54" s="88"/>
      <c r="J54" s="94"/>
      <c r="K54" s="140">
        <f t="shared" si="4"/>
        <v>0</v>
      </c>
      <c r="M54" s="20"/>
      <c r="N54" s="12"/>
      <c r="P54" s="66"/>
      <c r="R54" s="66"/>
    </row>
    <row r="55" spans="1:19" s="101" customFormat="1" ht="25" customHeight="1">
      <c r="A55" s="96"/>
      <c r="B55" s="97" t="s">
        <v>27</v>
      </c>
      <c r="C55" s="98" t="str">
        <f t="array" ref="C55">SUM(C41:C54*I41:I54)&amp;" st"</f>
        <v>0 st</v>
      </c>
      <c r="D55" s="98" t="str">
        <f t="array" ref="D55">SUM(D41:D54*I41:I54)&amp;" GB"</f>
        <v>0 GB</v>
      </c>
      <c r="E55" s="159" t="str">
        <f t="array" ref="E55">SUM(E41:E54*I41:I54)&amp;" GB"</f>
        <v>0 GB</v>
      </c>
      <c r="F55" s="159"/>
      <c r="G55" s="98"/>
      <c r="H55" s="98"/>
      <c r="I55" s="98" t="str">
        <f>SUM(I41:I54)&amp;" st"</f>
        <v>0 st</v>
      </c>
      <c r="J55" s="98"/>
      <c r="K55" s="142">
        <f>SUM(K41:K54)</f>
        <v>0</v>
      </c>
      <c r="M55" s="20"/>
      <c r="N55" s="12"/>
      <c r="P55" s="102"/>
      <c r="R55" s="102"/>
    </row>
    <row r="56" spans="1:19" s="54" customFormat="1" ht="25" customHeight="1">
      <c r="A56" s="47"/>
      <c r="B56" s="104"/>
      <c r="C56" s="104"/>
      <c r="D56" s="104"/>
      <c r="E56" s="105"/>
      <c r="F56" s="105"/>
      <c r="G56" s="106"/>
      <c r="H56" s="107"/>
      <c r="I56" s="109"/>
      <c r="J56" s="110"/>
      <c r="K56" s="128"/>
      <c r="M56" s="20"/>
      <c r="N56" s="12"/>
      <c r="P56" s="66"/>
      <c r="R56" s="66"/>
    </row>
    <row r="57" spans="1:19" s="54" customFormat="1" ht="25" customHeight="1">
      <c r="A57" s="47"/>
      <c r="B57" s="104"/>
      <c r="C57" s="104"/>
      <c r="D57" s="104"/>
      <c r="E57" s="105"/>
      <c r="F57" s="105"/>
      <c r="G57" s="106"/>
      <c r="H57" s="107"/>
      <c r="I57" s="109"/>
      <c r="J57" s="110"/>
      <c r="K57" s="128"/>
      <c r="M57" s="20"/>
      <c r="N57" s="12"/>
      <c r="P57" s="66"/>
      <c r="R57" s="66"/>
    </row>
    <row r="58" spans="1:19" ht="25" customHeight="1">
      <c r="B58" s="112"/>
      <c r="C58" s="113"/>
      <c r="D58" s="113"/>
      <c r="E58" s="113"/>
      <c r="F58" s="113"/>
      <c r="G58" s="113"/>
      <c r="H58" s="114"/>
      <c r="I58" s="115"/>
      <c r="J58" s="113"/>
      <c r="K58" s="129"/>
      <c r="M58" s="20"/>
      <c r="N58" s="12"/>
      <c r="P58" s="66"/>
      <c r="Q58" s="66"/>
      <c r="R58" s="83"/>
    </row>
    <row r="59" spans="1:19" s="82" customFormat="1" ht="25" customHeight="1">
      <c r="A59" s="77"/>
      <c r="B59" s="68" t="s">
        <v>212</v>
      </c>
      <c r="C59" s="117"/>
      <c r="D59" s="117"/>
      <c r="K59" s="130"/>
      <c r="M59" s="20"/>
      <c r="N59" s="12"/>
    </row>
    <row r="60" spans="1:19" ht="25" customHeight="1">
      <c r="B60" s="7" t="s">
        <v>196</v>
      </c>
      <c r="C60" s="417"/>
      <c r="D60" s="417"/>
      <c r="E60" s="417"/>
      <c r="F60" s="417"/>
      <c r="M60" s="20"/>
      <c r="N60" s="12"/>
    </row>
    <row r="61" spans="1:19" s="134" customFormat="1" ht="25" customHeight="1">
      <c r="A61" s="119"/>
      <c r="B61" s="78" t="s">
        <v>23</v>
      </c>
      <c r="C61" s="79" t="s">
        <v>11</v>
      </c>
      <c r="D61" s="79" t="s">
        <v>197</v>
      </c>
      <c r="E61" s="6" t="s">
        <v>198</v>
      </c>
      <c r="F61" s="6"/>
      <c r="G61" s="149" t="s">
        <v>31</v>
      </c>
      <c r="H61" s="6" t="s">
        <v>32</v>
      </c>
      <c r="I61" s="80" t="s">
        <v>33</v>
      </c>
      <c r="J61" s="79"/>
      <c r="K61" s="415" t="s">
        <v>34</v>
      </c>
      <c r="M61" s="20"/>
      <c r="N61" s="12"/>
      <c r="O61" s="135"/>
      <c r="P61" s="136"/>
      <c r="Q61" s="136"/>
      <c r="R61" s="136"/>
      <c r="S61" s="135"/>
    </row>
    <row r="62" spans="1:19" s="54" customFormat="1" ht="25" customHeight="1">
      <c r="A62" s="47"/>
      <c r="B62" s="137" t="s">
        <v>213</v>
      </c>
      <c r="C62" s="85">
        <v>1</v>
      </c>
      <c r="D62" s="85">
        <v>2</v>
      </c>
      <c r="E62" s="120">
        <v>0</v>
      </c>
      <c r="F62" s="120"/>
      <c r="G62" s="141">
        <f t="shared" ref="G62:G71" si="5">H62/720</f>
        <v>0.2638888888888889</v>
      </c>
      <c r="H62" s="154">
        <f t="shared" ref="H62:H71" si="6">C62*IAAS_vcpu_SEK+D62*IAAS_ram_SEK+E62*IAAS_ssd_SEK</f>
        <v>190</v>
      </c>
      <c r="I62" s="88"/>
      <c r="J62" s="32"/>
      <c r="K62" s="138">
        <f t="shared" ref="K62:K71" si="7">ROUNDUP(I62*H62,2)</f>
        <v>0</v>
      </c>
      <c r="M62" s="20"/>
      <c r="N62" s="12"/>
      <c r="O62" s="122"/>
    </row>
    <row r="63" spans="1:19" s="54" customFormat="1" ht="25" customHeight="1">
      <c r="A63" s="47"/>
      <c r="B63" s="139" t="s">
        <v>214</v>
      </c>
      <c r="C63" s="91">
        <v>1</v>
      </c>
      <c r="D63" s="91">
        <v>4</v>
      </c>
      <c r="E63" s="123">
        <v>0</v>
      </c>
      <c r="F63" s="123"/>
      <c r="G63" s="416">
        <f t="shared" si="5"/>
        <v>0.41666666666666669</v>
      </c>
      <c r="H63" s="158">
        <f t="shared" si="6"/>
        <v>300</v>
      </c>
      <c r="I63" s="88"/>
      <c r="J63" s="94"/>
      <c r="K63" s="140">
        <f t="shared" si="7"/>
        <v>0</v>
      </c>
      <c r="L63" s="124"/>
      <c r="M63" s="20"/>
      <c r="N63" s="12"/>
      <c r="O63" s="122"/>
    </row>
    <row r="64" spans="1:19" s="54" customFormat="1" ht="25" customHeight="1">
      <c r="A64" s="47"/>
      <c r="B64" s="137" t="s">
        <v>215</v>
      </c>
      <c r="C64" s="85">
        <v>2</v>
      </c>
      <c r="D64" s="85">
        <v>4</v>
      </c>
      <c r="E64" s="120">
        <v>0</v>
      </c>
      <c r="F64" s="120"/>
      <c r="G64" s="141">
        <f t="shared" si="5"/>
        <v>0.52777777777777779</v>
      </c>
      <c r="H64" s="154">
        <f t="shared" si="6"/>
        <v>380</v>
      </c>
      <c r="I64" s="88"/>
      <c r="J64" s="32"/>
      <c r="K64" s="138">
        <f t="shared" si="7"/>
        <v>0</v>
      </c>
      <c r="L64" s="124"/>
      <c r="M64" s="20"/>
      <c r="N64" s="12"/>
      <c r="O64" s="122"/>
    </row>
    <row r="65" spans="1:19" s="54" customFormat="1" ht="25" customHeight="1">
      <c r="A65" s="47"/>
      <c r="B65" s="139" t="s">
        <v>216</v>
      </c>
      <c r="C65" s="91">
        <v>2</v>
      </c>
      <c r="D65" s="91">
        <v>8</v>
      </c>
      <c r="E65" s="123">
        <v>0</v>
      </c>
      <c r="F65" s="123"/>
      <c r="G65" s="416">
        <f t="shared" si="5"/>
        <v>0.83333333333333337</v>
      </c>
      <c r="H65" s="158">
        <f t="shared" si="6"/>
        <v>600</v>
      </c>
      <c r="I65" s="88"/>
      <c r="J65" s="94"/>
      <c r="K65" s="140">
        <f t="shared" si="7"/>
        <v>0</v>
      </c>
      <c r="L65" s="124"/>
      <c r="M65" s="20"/>
      <c r="N65" s="12"/>
      <c r="O65" s="125"/>
    </row>
    <row r="66" spans="1:19" s="54" customFormat="1" ht="25" customHeight="1">
      <c r="A66" s="47"/>
      <c r="B66" s="137" t="s">
        <v>217</v>
      </c>
      <c r="C66" s="85">
        <v>4</v>
      </c>
      <c r="D66" s="85">
        <v>8</v>
      </c>
      <c r="E66" s="120">
        <v>0</v>
      </c>
      <c r="F66" s="120"/>
      <c r="G66" s="141">
        <f t="shared" si="5"/>
        <v>1.0555555555555556</v>
      </c>
      <c r="H66" s="154">
        <f t="shared" si="6"/>
        <v>760</v>
      </c>
      <c r="I66" s="88"/>
      <c r="J66" s="32"/>
      <c r="K66" s="138">
        <f t="shared" si="7"/>
        <v>0</v>
      </c>
      <c r="L66" s="124"/>
      <c r="M66" s="20"/>
      <c r="N66" s="12"/>
    </row>
    <row r="67" spans="1:19" s="54" customFormat="1" ht="25" customHeight="1">
      <c r="A67" s="47"/>
      <c r="B67" s="139" t="s">
        <v>218</v>
      </c>
      <c r="C67" s="91">
        <v>4</v>
      </c>
      <c r="D67" s="91">
        <v>16</v>
      </c>
      <c r="E67" s="123">
        <v>0</v>
      </c>
      <c r="F67" s="123"/>
      <c r="G67" s="416">
        <f t="shared" si="5"/>
        <v>1.6666666666666667</v>
      </c>
      <c r="H67" s="158">
        <f t="shared" si="6"/>
        <v>1200</v>
      </c>
      <c r="I67" s="88"/>
      <c r="J67" s="94"/>
      <c r="K67" s="140">
        <f t="shared" si="7"/>
        <v>0</v>
      </c>
      <c r="L67" s="124"/>
      <c r="M67" s="20"/>
      <c r="N67" s="12"/>
    </row>
    <row r="68" spans="1:19" s="54" customFormat="1" ht="25" customHeight="1">
      <c r="A68" s="47"/>
      <c r="B68" s="137" t="s">
        <v>219</v>
      </c>
      <c r="C68" s="85">
        <v>8</v>
      </c>
      <c r="D68" s="85">
        <v>16</v>
      </c>
      <c r="E68" s="120">
        <v>0</v>
      </c>
      <c r="F68" s="120"/>
      <c r="G68" s="141">
        <f t="shared" si="5"/>
        <v>2.1111111111111112</v>
      </c>
      <c r="H68" s="154">
        <f t="shared" si="6"/>
        <v>1520</v>
      </c>
      <c r="I68" s="88"/>
      <c r="J68" s="32"/>
      <c r="K68" s="138">
        <f t="shared" si="7"/>
        <v>0</v>
      </c>
      <c r="L68" s="124"/>
      <c r="M68" s="20"/>
      <c r="N68" s="12"/>
    </row>
    <row r="69" spans="1:19" s="54" customFormat="1" ht="25" customHeight="1">
      <c r="A69" s="47"/>
      <c r="B69" s="139" t="s">
        <v>220</v>
      </c>
      <c r="C69" s="91">
        <v>8</v>
      </c>
      <c r="D69" s="91">
        <v>32</v>
      </c>
      <c r="E69" s="123">
        <v>0</v>
      </c>
      <c r="F69" s="123"/>
      <c r="G69" s="416">
        <f t="shared" si="5"/>
        <v>3.3333333333333335</v>
      </c>
      <c r="H69" s="158">
        <f t="shared" si="6"/>
        <v>2400</v>
      </c>
      <c r="I69" s="88"/>
      <c r="J69" s="94"/>
      <c r="K69" s="140">
        <f t="shared" si="7"/>
        <v>0</v>
      </c>
      <c r="L69" s="124"/>
      <c r="M69" s="20"/>
      <c r="N69" s="12"/>
    </row>
    <row r="70" spans="1:19" s="54" customFormat="1" ht="25" customHeight="1">
      <c r="A70" s="47"/>
      <c r="B70" s="137" t="s">
        <v>221</v>
      </c>
      <c r="C70" s="85">
        <v>16</v>
      </c>
      <c r="D70" s="85">
        <v>32</v>
      </c>
      <c r="E70" s="120">
        <v>0</v>
      </c>
      <c r="F70" s="120"/>
      <c r="G70" s="141">
        <f t="shared" si="5"/>
        <v>4.2222222222222223</v>
      </c>
      <c r="H70" s="154">
        <f t="shared" si="6"/>
        <v>3040</v>
      </c>
      <c r="I70" s="88"/>
      <c r="J70" s="32"/>
      <c r="K70" s="138">
        <f t="shared" si="7"/>
        <v>0</v>
      </c>
      <c r="L70" s="124"/>
      <c r="M70" s="20"/>
      <c r="N70" s="12"/>
      <c r="P70" s="66"/>
      <c r="Q70" s="66"/>
      <c r="R70" s="66"/>
    </row>
    <row r="71" spans="1:19" s="54" customFormat="1" ht="25" customHeight="1">
      <c r="A71" s="47"/>
      <c r="B71" s="139" t="s">
        <v>222</v>
      </c>
      <c r="C71" s="91">
        <v>16</v>
      </c>
      <c r="D71" s="91">
        <v>64</v>
      </c>
      <c r="E71" s="123">
        <v>0</v>
      </c>
      <c r="F71" s="123"/>
      <c r="G71" s="416">
        <f t="shared" si="5"/>
        <v>6.666666666666667</v>
      </c>
      <c r="H71" s="158">
        <f t="shared" si="6"/>
        <v>4800</v>
      </c>
      <c r="I71" s="88"/>
      <c r="J71" s="94"/>
      <c r="K71" s="140">
        <f t="shared" si="7"/>
        <v>0</v>
      </c>
      <c r="L71" s="124"/>
      <c r="M71" s="20"/>
      <c r="N71" s="12"/>
      <c r="P71" s="66"/>
      <c r="Q71" s="66"/>
      <c r="R71" s="66"/>
    </row>
    <row r="72" spans="1:19" s="101" customFormat="1" ht="25" customHeight="1">
      <c r="A72" s="47"/>
      <c r="B72" s="97" t="s">
        <v>27</v>
      </c>
      <c r="C72" s="98">
        <f t="array" ref="C72">SUM(C62:C71*I62:I71)</f>
        <v>0</v>
      </c>
      <c r="D72" s="98">
        <f t="array" ref="D72">SUM(D62:D71*I62:I71)</f>
        <v>0</v>
      </c>
      <c r="E72" s="126"/>
      <c r="F72" s="126"/>
      <c r="G72" s="98"/>
      <c r="H72" s="98"/>
      <c r="I72" s="98" t="str">
        <f>SUM(I62:I71)&amp;" st"</f>
        <v>0 st</v>
      </c>
      <c r="J72" s="98"/>
      <c r="K72" s="142">
        <f>SUM(K62:K71)</f>
        <v>0</v>
      </c>
      <c r="M72" s="20"/>
      <c r="N72" s="12"/>
      <c r="P72" s="102"/>
      <c r="R72" s="102"/>
    </row>
    <row r="73" spans="1:19" s="54" customFormat="1" ht="25" customHeight="1">
      <c r="A73" s="47"/>
      <c r="B73" s="104"/>
      <c r="C73" s="104"/>
      <c r="D73" s="104"/>
      <c r="E73" s="105"/>
      <c r="F73" s="106"/>
      <c r="G73" s="107"/>
      <c r="H73" s="108"/>
      <c r="I73" s="109"/>
      <c r="J73" s="110"/>
      <c r="K73" s="128"/>
      <c r="M73" s="20"/>
      <c r="N73" s="12"/>
      <c r="P73" s="66"/>
      <c r="R73" s="66"/>
    </row>
    <row r="74" spans="1:19" s="54" customFormat="1" ht="25" customHeight="1">
      <c r="A74" s="47"/>
      <c r="B74" s="104"/>
      <c r="C74" s="104"/>
      <c r="D74" s="104"/>
      <c r="E74" s="105"/>
      <c r="F74" s="106"/>
      <c r="G74" s="107"/>
      <c r="H74" s="108"/>
      <c r="I74" s="109"/>
      <c r="J74" s="110"/>
      <c r="K74" s="128"/>
      <c r="M74" s="20"/>
      <c r="N74" s="12"/>
      <c r="P74" s="66"/>
      <c r="R74" s="66"/>
    </row>
    <row r="75" spans="1:19" ht="25" customHeight="1">
      <c r="B75" s="112"/>
      <c r="C75" s="113"/>
      <c r="D75" s="113"/>
      <c r="E75" s="113"/>
      <c r="F75" s="113"/>
      <c r="G75" s="114"/>
      <c r="H75" s="115"/>
      <c r="I75" s="115"/>
      <c r="J75" s="113"/>
      <c r="K75" s="129"/>
      <c r="M75" s="20"/>
      <c r="N75" s="12"/>
      <c r="P75" s="66"/>
      <c r="Q75" s="66"/>
      <c r="R75" s="83"/>
    </row>
    <row r="76" spans="1:19" s="82" customFormat="1" ht="25" customHeight="1">
      <c r="A76" s="77"/>
      <c r="B76" s="68" t="s">
        <v>223</v>
      </c>
      <c r="C76" s="117"/>
      <c r="D76" s="117"/>
      <c r="K76" s="130"/>
      <c r="M76" s="20"/>
      <c r="N76" s="12"/>
    </row>
    <row r="77" spans="1:19" ht="25" customHeight="1">
      <c r="B77" s="985" t="s">
        <v>196</v>
      </c>
      <c r="C77" s="985"/>
      <c r="D77" s="985"/>
      <c r="E77" s="985"/>
      <c r="M77" s="20"/>
      <c r="N77" s="12"/>
    </row>
    <row r="78" spans="1:19" s="134" customFormat="1" ht="25" customHeight="1">
      <c r="A78" s="119"/>
      <c r="B78" s="78" t="s">
        <v>23</v>
      </c>
      <c r="C78" s="79" t="s">
        <v>11</v>
      </c>
      <c r="D78" s="79" t="s">
        <v>197</v>
      </c>
      <c r="E78" s="6" t="s">
        <v>198</v>
      </c>
      <c r="F78" s="1" t="s">
        <v>709</v>
      </c>
      <c r="G78" s="149" t="s">
        <v>31</v>
      </c>
      <c r="H78" s="6" t="s">
        <v>32</v>
      </c>
      <c r="I78" s="80" t="s">
        <v>33</v>
      </c>
      <c r="J78" s="79"/>
      <c r="K78" s="415" t="s">
        <v>34</v>
      </c>
      <c r="M78" s="20"/>
      <c r="N78" s="12"/>
      <c r="O78" s="135"/>
      <c r="P78" s="136"/>
      <c r="Q78" s="136"/>
      <c r="R78" s="136"/>
      <c r="S78" s="135"/>
    </row>
    <row r="79" spans="1:19" s="54" customFormat="1" ht="25" customHeight="1">
      <c r="A79" s="47"/>
      <c r="B79" s="137" t="s">
        <v>24</v>
      </c>
      <c r="C79" s="85">
        <v>4</v>
      </c>
      <c r="D79" s="85">
        <v>16</v>
      </c>
      <c r="E79" s="120">
        <v>125</v>
      </c>
      <c r="F79" s="120" t="s">
        <v>710</v>
      </c>
      <c r="G79" s="141">
        <f>H79/720</f>
        <v>4.645833333333333</v>
      </c>
      <c r="H79" s="141">
        <f>C79*IAAS_vcpu_SEK+D79*IAAS_ram_SEK+E79*IAAS_nvme_SEK+1*IAAS_GPU_A2_SEK</f>
        <v>3345</v>
      </c>
      <c r="I79" s="88"/>
      <c r="J79" s="32"/>
      <c r="K79" s="138">
        <f>ROUNDUP(I79*H79,2)</f>
        <v>0</v>
      </c>
      <c r="M79" s="20"/>
      <c r="N79" s="12"/>
      <c r="O79" s="122"/>
    </row>
    <row r="80" spans="1:19" s="54" customFormat="1" ht="25" customHeight="1">
      <c r="A80" s="47"/>
      <c r="B80" s="139" t="s">
        <v>25</v>
      </c>
      <c r="C80" s="91">
        <v>8</v>
      </c>
      <c r="D80" s="91">
        <v>32</v>
      </c>
      <c r="E80" s="123">
        <v>250</v>
      </c>
      <c r="F80" s="123" t="s">
        <v>710</v>
      </c>
      <c r="G80" s="416">
        <f>H80/720</f>
        <v>6.4861111111111107</v>
      </c>
      <c r="H80" s="416">
        <f>C80*IAAS_vcpu_SEK+D80*IAAS_ram_SEK+E80*IAAS_nvme_SEK+1*IAAS_GPU_A2_SEK</f>
        <v>4670</v>
      </c>
      <c r="I80" s="88"/>
      <c r="J80" s="94"/>
      <c r="K80" s="140">
        <f>ROUNDUP(I80*H80,2)</f>
        <v>0</v>
      </c>
      <c r="L80" s="124"/>
      <c r="M80" s="20"/>
      <c r="N80" s="12"/>
      <c r="O80" s="122"/>
    </row>
    <row r="81" spans="1:20" s="54" customFormat="1" ht="25" customHeight="1">
      <c r="A81" s="47"/>
      <c r="B81" s="137" t="s">
        <v>26</v>
      </c>
      <c r="C81" s="85">
        <v>4</v>
      </c>
      <c r="D81" s="85">
        <v>8</v>
      </c>
      <c r="E81" s="120">
        <v>0</v>
      </c>
      <c r="F81" s="120" t="s">
        <v>710</v>
      </c>
      <c r="G81" s="141">
        <f>H81/720</f>
        <v>3.8611111111111112</v>
      </c>
      <c r="H81" s="141">
        <f>C81*IAAS_vcpu_SEK+D81*IAAS_ram_SEK+E81*IAAS_nvme_SEK+1*IAAS_GPU_A2_SEK</f>
        <v>2780</v>
      </c>
      <c r="I81" s="88"/>
      <c r="J81" s="32"/>
      <c r="K81" s="138">
        <f>ROUNDUP(I81*H81,2)</f>
        <v>0</v>
      </c>
      <c r="L81" s="124"/>
      <c r="M81" s="20"/>
      <c r="N81" s="12"/>
      <c r="O81" s="122"/>
    </row>
    <row r="82" spans="1:20" s="54" customFormat="1" ht="25" customHeight="1">
      <c r="A82" s="47"/>
      <c r="B82" s="418" t="s">
        <v>224</v>
      </c>
      <c r="C82" s="91">
        <v>8</v>
      </c>
      <c r="D82" s="91">
        <v>16</v>
      </c>
      <c r="E82" s="123">
        <v>0</v>
      </c>
      <c r="F82" s="123" t="s">
        <v>710</v>
      </c>
      <c r="G82" s="416">
        <f t="shared" ref="G82" si="8">H82/720</f>
        <v>4.916666666666667</v>
      </c>
      <c r="H82" s="416">
        <f>C82*IAAS_vcpu_SEK+D82*IAAS_ram_SEK+E82*IAAS_nvme_SEK+1*IAAS_GPU_A2_SEK</f>
        <v>3540</v>
      </c>
      <c r="I82" s="88"/>
      <c r="J82" s="94"/>
      <c r="K82" s="140">
        <v>0</v>
      </c>
      <c r="L82" s="124"/>
      <c r="M82" s="20"/>
      <c r="N82" s="12"/>
      <c r="O82" s="122"/>
    </row>
    <row r="83" spans="1:20" s="54" customFormat="1" ht="25" customHeight="1">
      <c r="A83" s="47"/>
      <c r="B83" s="137" t="s">
        <v>707</v>
      </c>
      <c r="C83" s="85">
        <v>32</v>
      </c>
      <c r="D83" s="85">
        <v>192</v>
      </c>
      <c r="E83" s="120">
        <v>0</v>
      </c>
      <c r="F83" s="120" t="s">
        <v>711</v>
      </c>
      <c r="G83" s="141">
        <f>H83/720</f>
        <v>33.366666666666667</v>
      </c>
      <c r="H83" s="141">
        <f>C83*IAAS_vcpu_SEK+D83*IAAS_ram_SEK+E83*IAAS_nvme_SEK+1*IAAS_GPU_H100_SEK</f>
        <v>24024</v>
      </c>
      <c r="I83" s="88"/>
      <c r="J83" s="32"/>
      <c r="K83" s="138">
        <v>0</v>
      </c>
      <c r="L83" s="124"/>
      <c r="M83" s="20"/>
      <c r="N83" s="12"/>
      <c r="O83" s="125"/>
    </row>
    <row r="84" spans="1:20" s="101" customFormat="1" ht="25" customHeight="1">
      <c r="A84" s="47"/>
      <c r="B84" s="97" t="s">
        <v>27</v>
      </c>
      <c r="C84" s="98" t="str">
        <f t="array" ref="C84">SUM(C79:C83*I79:I83)&amp;" st"</f>
        <v>0 st</v>
      </c>
      <c r="D84" s="98" t="str">
        <f t="array" ref="D84">SUM(D79:D83*I79:I83)&amp;" st"</f>
        <v>0 st</v>
      </c>
      <c r="E84" s="98" t="str">
        <f t="array" ref="E84">SUM(E79:E83*I79:I83)&amp;" st"</f>
        <v>0 st</v>
      </c>
      <c r="F84" s="98"/>
      <c r="G84" s="98"/>
      <c r="H84" s="98"/>
      <c r="I84" s="98" t="str">
        <f>SUM(I79:I83)&amp;" st"</f>
        <v>0 st</v>
      </c>
      <c r="J84" s="98"/>
      <c r="K84" s="142">
        <f>SUM(K79:K83)</f>
        <v>0</v>
      </c>
      <c r="M84" s="20"/>
      <c r="N84" s="12"/>
      <c r="P84" s="102"/>
      <c r="R84" s="102"/>
    </row>
    <row r="85" spans="1:20" ht="25" customHeight="1">
      <c r="A85" s="47"/>
      <c r="B85" s="103"/>
      <c r="C85" s="143"/>
      <c r="D85" s="143"/>
      <c r="E85" s="143"/>
      <c r="G85" s="143"/>
      <c r="H85" s="107"/>
      <c r="I85" s="144"/>
      <c r="J85" s="110"/>
      <c r="K85" s="128"/>
      <c r="M85" s="20"/>
      <c r="N85" s="12"/>
      <c r="P85" s="66"/>
      <c r="Q85" s="66"/>
      <c r="R85" s="83"/>
    </row>
    <row r="86" spans="1:20" ht="25" customHeight="1">
      <c r="B86" s="175"/>
      <c r="C86" s="176"/>
      <c r="D86" s="176"/>
      <c r="E86" s="176"/>
      <c r="F86" s="176"/>
      <c r="G86" s="176"/>
      <c r="H86" s="944"/>
      <c r="I86" s="109"/>
      <c r="J86" s="109"/>
      <c r="K86" s="420"/>
      <c r="L86" s="144"/>
      <c r="M86" s="20"/>
      <c r="N86" s="12"/>
    </row>
    <row r="87" spans="1:20" s="54" customFormat="1" ht="25" customHeight="1">
      <c r="A87" s="47"/>
      <c r="B87" s="177"/>
      <c r="C87" s="160"/>
      <c r="D87" s="160"/>
      <c r="E87" s="160"/>
      <c r="F87" s="160"/>
      <c r="G87" s="160"/>
      <c r="H87" s="943">
        <f>H83-24024</f>
        <v>0</v>
      </c>
      <c r="I87" s="161"/>
      <c r="J87" s="161"/>
      <c r="K87" s="419"/>
      <c r="L87" s="178"/>
      <c r="M87" s="20"/>
      <c r="N87" s="12"/>
      <c r="Q87" s="66"/>
      <c r="S87" s="66"/>
    </row>
    <row r="88" spans="1:20" ht="25" customHeight="1">
      <c r="B88" s="68" t="s">
        <v>225</v>
      </c>
      <c r="C88" s="163"/>
      <c r="D88" s="163"/>
      <c r="E88" s="163"/>
      <c r="F88" s="163"/>
      <c r="G88" s="163"/>
      <c r="H88" s="161"/>
      <c r="I88" s="161"/>
      <c r="J88" s="161"/>
      <c r="K88" s="419"/>
      <c r="L88" s="178"/>
      <c r="M88" s="20"/>
      <c r="N88" s="12"/>
      <c r="O88" s="54"/>
      <c r="P88" s="54"/>
      <c r="Q88" s="54"/>
      <c r="R88" s="66"/>
      <c r="S88" s="54"/>
      <c r="T88" s="83"/>
    </row>
    <row r="89" spans="1:20" ht="25" customHeight="1">
      <c r="B89" s="76" t="s">
        <v>226</v>
      </c>
      <c r="M89" s="20"/>
      <c r="N89" s="12"/>
    </row>
    <row r="90" spans="1:20" s="182" customFormat="1" ht="25" customHeight="1">
      <c r="A90" s="185"/>
      <c r="B90" s="78" t="s">
        <v>23</v>
      </c>
      <c r="C90" s="179" t="s">
        <v>227</v>
      </c>
      <c r="D90" s="179"/>
      <c r="E90" s="179"/>
      <c r="F90" s="179"/>
      <c r="G90" s="1" t="s">
        <v>31</v>
      </c>
      <c r="H90" s="6" t="s">
        <v>32</v>
      </c>
      <c r="I90" s="180" t="s">
        <v>228</v>
      </c>
      <c r="J90" s="179"/>
      <c r="K90" s="421" t="s">
        <v>229</v>
      </c>
      <c r="L90" s="136"/>
      <c r="M90" s="20"/>
      <c r="N90" s="12"/>
      <c r="R90" s="183"/>
      <c r="S90" s="183"/>
      <c r="T90" s="184"/>
    </row>
    <row r="91" spans="1:20" s="54" customFormat="1" ht="25" customHeight="1">
      <c r="A91" s="47"/>
      <c r="B91" s="137" t="s">
        <v>40</v>
      </c>
      <c r="C91" s="186" t="s">
        <v>41</v>
      </c>
      <c r="D91" s="187"/>
      <c r="E91" s="187"/>
      <c r="F91" s="187"/>
      <c r="G91" s="422">
        <f>H91/720</f>
        <v>1.6666666666666666E-3</v>
      </c>
      <c r="H91" s="166">
        <f>VOLUME_large_SEK</f>
        <v>1.2</v>
      </c>
      <c r="I91" s="190"/>
      <c r="J91" s="191"/>
      <c r="K91" s="423">
        <f>ROUNDUP(I91*H91,2)</f>
        <v>0</v>
      </c>
      <c r="L91" s="161"/>
      <c r="M91" s="20"/>
      <c r="N91" s="12"/>
    </row>
    <row r="92" spans="1:20" s="54" customFormat="1" ht="25" customHeight="1">
      <c r="A92" s="47"/>
      <c r="B92" s="139" t="s">
        <v>42</v>
      </c>
      <c r="C92" s="54" t="s">
        <v>43</v>
      </c>
      <c r="D92" s="174"/>
      <c r="E92" s="174"/>
      <c r="F92" s="174"/>
      <c r="G92" s="424">
        <f>H92/720</f>
        <v>5.0000000000000001E-3</v>
      </c>
      <c r="H92" s="169">
        <f>VOLUME_fast_SEK</f>
        <v>3.6</v>
      </c>
      <c r="I92" s="196"/>
      <c r="J92" s="197"/>
      <c r="K92" s="425">
        <f>ROUNDUP(I92*H92,2)</f>
        <v>0</v>
      </c>
      <c r="L92" s="161"/>
      <c r="M92" s="20"/>
      <c r="N92" s="12"/>
      <c r="T92" s="66"/>
    </row>
    <row r="93" spans="1:20" s="54" customFormat="1" ht="25" customHeight="1">
      <c r="A93" s="47"/>
      <c r="B93" s="137" t="s">
        <v>44</v>
      </c>
      <c r="C93" s="186" t="s">
        <v>45</v>
      </c>
      <c r="D93" s="187"/>
      <c r="E93" s="187"/>
      <c r="F93" s="187"/>
      <c r="G93" s="422">
        <f>H93/720</f>
        <v>1.6666666666666666E-3</v>
      </c>
      <c r="H93" s="166">
        <f>VOLUME_large_SEK</f>
        <v>1.2</v>
      </c>
      <c r="I93" s="190"/>
      <c r="J93" s="191"/>
      <c r="K93" s="423">
        <f>ROUNDUP(I93*H93,2)</f>
        <v>0</v>
      </c>
      <c r="L93" s="161"/>
      <c r="M93" s="20"/>
      <c r="N93" s="12"/>
    </row>
    <row r="94" spans="1:20" s="101" customFormat="1" ht="25" customHeight="1">
      <c r="A94" s="96"/>
      <c r="B94" s="97" t="s">
        <v>27</v>
      </c>
      <c r="C94" s="98"/>
      <c r="D94" s="98"/>
      <c r="E94" s="98"/>
      <c r="F94" s="98"/>
      <c r="G94" s="98"/>
      <c r="H94" s="98"/>
      <c r="I94" s="98" t="str">
        <f>SUM(I91:I93)&amp;" GB"</f>
        <v>0 GB</v>
      </c>
      <c r="J94" s="98"/>
      <c r="K94" s="142">
        <f>SUM(K91:K93)</f>
        <v>0</v>
      </c>
      <c r="M94" s="20"/>
      <c r="N94" s="12"/>
      <c r="P94" s="102"/>
      <c r="R94" s="102"/>
    </row>
    <row r="95" spans="1:20" ht="25" customHeight="1">
      <c r="B95" s="175"/>
      <c r="C95" s="175"/>
      <c r="D95" s="176"/>
      <c r="E95" s="176"/>
      <c r="F95" s="176"/>
      <c r="G95" s="176"/>
      <c r="H95" s="174"/>
      <c r="I95" s="199"/>
      <c r="J95" s="199"/>
      <c r="K95" s="426"/>
      <c r="L95" s="201"/>
      <c r="M95" s="20"/>
      <c r="N95" s="12"/>
    </row>
    <row r="96" spans="1:20" s="38" customFormat="1" ht="25" customHeight="1">
      <c r="A96" s="47"/>
      <c r="B96" s="175"/>
      <c r="C96" s="176"/>
      <c r="D96" s="176"/>
      <c r="E96" s="176"/>
      <c r="F96" s="176"/>
      <c r="G96" s="176"/>
      <c r="H96" s="199"/>
      <c r="I96" s="199"/>
      <c r="J96" s="199"/>
      <c r="K96" s="427"/>
      <c r="L96" s="202"/>
      <c r="M96" s="20"/>
      <c r="N96" s="12"/>
    </row>
    <row r="97" spans="1:20" s="38" customFormat="1" ht="25" customHeight="1">
      <c r="A97" s="47"/>
      <c r="B97" s="982" t="s">
        <v>230</v>
      </c>
      <c r="C97" s="982"/>
      <c r="D97" s="982"/>
      <c r="E97" s="982"/>
      <c r="F97" s="982"/>
      <c r="G97" s="982"/>
      <c r="H97" s="982"/>
      <c r="I97" s="982"/>
      <c r="J97" s="982"/>
      <c r="K97" s="982"/>
      <c r="M97" s="20"/>
      <c r="N97" s="12"/>
    </row>
    <row r="98" spans="1:20" s="38" customFormat="1" ht="25" customHeight="1">
      <c r="A98" s="47"/>
      <c r="B98" s="982"/>
      <c r="C98" s="982"/>
      <c r="D98" s="982"/>
      <c r="E98" s="982"/>
      <c r="F98" s="982"/>
      <c r="G98" s="982"/>
      <c r="H98" s="982"/>
      <c r="I98" s="982"/>
      <c r="J98" s="982"/>
      <c r="K98" s="982"/>
      <c r="M98" s="20"/>
      <c r="N98" s="12"/>
    </row>
    <row r="99" spans="1:20" s="38" customFormat="1" ht="25" customHeight="1">
      <c r="A99" s="47"/>
      <c r="B99" s="982"/>
      <c r="C99" s="982"/>
      <c r="D99" s="982"/>
      <c r="E99" s="982"/>
      <c r="F99" s="982"/>
      <c r="G99" s="982"/>
      <c r="H99" s="982"/>
      <c r="I99" s="982"/>
      <c r="J99" s="982"/>
      <c r="K99" s="982"/>
      <c r="M99" s="20"/>
      <c r="N99" s="12"/>
    </row>
    <row r="100" spans="1:20" s="38" customFormat="1" ht="25" customHeight="1">
      <c r="A100" s="47"/>
      <c r="B100" s="55" t="s">
        <v>231</v>
      </c>
      <c r="C100" s="55"/>
      <c r="D100" s="55"/>
      <c r="E100" s="55"/>
      <c r="F100" s="55"/>
      <c r="H100" s="50"/>
      <c r="J100" s="53"/>
      <c r="K100" s="412"/>
      <c r="M100" s="20"/>
      <c r="N100" s="12"/>
    </row>
    <row r="101" spans="1:20" s="207" customFormat="1" ht="25" customHeight="1">
      <c r="A101" s="208"/>
      <c r="B101" s="8" t="s">
        <v>193</v>
      </c>
      <c r="C101" s="8"/>
      <c r="D101" s="8"/>
      <c r="E101" s="8"/>
      <c r="F101" s="8"/>
      <c r="G101" s="203"/>
      <c r="H101" s="204"/>
      <c r="I101" s="203"/>
      <c r="J101" s="205"/>
      <c r="K101" s="428"/>
      <c r="L101" s="203"/>
      <c r="M101" s="20"/>
      <c r="N101" s="12"/>
    </row>
    <row r="102" spans="1:20" s="38" customFormat="1" ht="25" customHeight="1">
      <c r="A102" s="47"/>
      <c r="B102" s="62" t="s">
        <v>194</v>
      </c>
      <c r="C102" s="63"/>
      <c r="D102" s="63"/>
      <c r="E102" s="64"/>
      <c r="F102" s="64"/>
      <c r="G102" s="57"/>
      <c r="H102" s="58"/>
      <c r="I102" s="57"/>
      <c r="J102" s="59"/>
      <c r="K102" s="413"/>
      <c r="L102" s="65"/>
      <c r="M102" s="20"/>
      <c r="N102" s="12"/>
      <c r="O102" s="54"/>
      <c r="P102" s="54"/>
    </row>
    <row r="103" spans="1:20" s="54" customFormat="1" ht="25" customHeight="1">
      <c r="A103" s="47"/>
      <c r="B103" s="177"/>
      <c r="C103" s="160"/>
      <c r="D103" s="160"/>
      <c r="E103" s="160"/>
      <c r="F103" s="160"/>
      <c r="G103" s="160"/>
      <c r="H103" s="161"/>
      <c r="I103" s="161"/>
      <c r="J103" s="161"/>
      <c r="K103" s="419"/>
      <c r="L103" s="178"/>
      <c r="M103" s="20"/>
      <c r="N103" s="12"/>
      <c r="R103" s="66"/>
      <c r="T103" s="66"/>
    </row>
    <row r="104" spans="1:20" s="38" customFormat="1" ht="25" customHeight="1">
      <c r="A104" s="47"/>
      <c r="B104" s="78" t="s">
        <v>23</v>
      </c>
      <c r="C104" s="209"/>
      <c r="D104" s="6"/>
      <c r="E104" s="6"/>
      <c r="F104" s="179"/>
      <c r="G104" s="6" t="s">
        <v>232</v>
      </c>
      <c r="H104" s="179"/>
      <c r="I104" s="180" t="s">
        <v>53</v>
      </c>
      <c r="J104" s="6"/>
      <c r="K104" s="421" t="s">
        <v>39</v>
      </c>
      <c r="L104" s="61"/>
      <c r="M104" s="20"/>
      <c r="N104" s="12"/>
    </row>
    <row r="105" spans="1:20" s="216" customFormat="1" ht="25" customHeight="1">
      <c r="A105" s="217"/>
      <c r="B105" s="137" t="s">
        <v>50</v>
      </c>
      <c r="C105" s="429" t="s">
        <v>233</v>
      </c>
      <c r="D105" s="429"/>
      <c r="E105" s="210"/>
      <c r="F105" s="211"/>
      <c r="G105" s="430">
        <f>S3_archive.50_SEK</f>
        <v>350</v>
      </c>
      <c r="H105" s="211"/>
      <c r="I105" s="213"/>
      <c r="J105" s="214"/>
      <c r="K105" s="431">
        <f>I105*G105</f>
        <v>0</v>
      </c>
      <c r="L105" s="215"/>
      <c r="M105" s="20"/>
      <c r="N105" s="12"/>
    </row>
    <row r="106" spans="1:20" s="54" customFormat="1" ht="25" customHeight="1">
      <c r="A106" s="47"/>
      <c r="B106" s="139" t="s">
        <v>51</v>
      </c>
      <c r="C106" s="54" t="s">
        <v>234</v>
      </c>
      <c r="D106" s="174"/>
      <c r="E106" s="174"/>
      <c r="F106" s="195"/>
      <c r="G106" s="432">
        <f>S3_storage50_SEK</f>
        <v>500</v>
      </c>
      <c r="H106" s="219"/>
      <c r="I106" s="220"/>
      <c r="J106" s="197"/>
      <c r="K106" s="425">
        <f>I106*G106</f>
        <v>0</v>
      </c>
      <c r="L106" s="161"/>
      <c r="M106" s="20"/>
      <c r="N106" s="12"/>
      <c r="T106" s="66"/>
    </row>
    <row r="107" spans="1:20" s="101" customFormat="1" ht="25" customHeight="1">
      <c r="A107" s="96"/>
      <c r="B107" s="97" t="s">
        <v>27</v>
      </c>
      <c r="C107" s="98"/>
      <c r="D107" s="98"/>
      <c r="E107" s="98"/>
      <c r="F107" s="98"/>
      <c r="G107" s="98"/>
      <c r="H107" s="98"/>
      <c r="I107" s="98"/>
      <c r="J107" s="98"/>
      <c r="K107" s="142">
        <f>SUM(K105:K106)</f>
        <v>0</v>
      </c>
      <c r="M107" s="20"/>
      <c r="N107" s="12"/>
      <c r="P107" s="102"/>
      <c r="R107" s="102"/>
    </row>
    <row r="108" spans="1:20" s="150" customFormat="1" ht="25" customHeight="1">
      <c r="A108" s="151"/>
      <c r="B108" s="8"/>
      <c r="C108" s="143"/>
      <c r="D108" s="64"/>
      <c r="E108" s="64"/>
      <c r="F108" s="64"/>
      <c r="G108" s="57"/>
      <c r="H108" s="58"/>
      <c r="I108" s="108"/>
      <c r="J108" s="65"/>
      <c r="K108" s="413"/>
      <c r="L108" s="61"/>
      <c r="M108" s="20"/>
      <c r="N108" s="12"/>
      <c r="O108" s="182"/>
      <c r="P108" s="182"/>
      <c r="Q108" s="182"/>
      <c r="R108" s="182"/>
      <c r="S108" s="182"/>
    </row>
    <row r="109" spans="1:20" ht="25" customHeight="1">
      <c r="B109" s="238"/>
      <c r="C109" s="239"/>
      <c r="D109" s="239"/>
      <c r="E109" s="239"/>
      <c r="F109" s="240"/>
      <c r="G109" s="241"/>
      <c r="H109" s="199"/>
      <c r="I109" s="199"/>
      <c r="J109" s="199"/>
      <c r="K109" s="426"/>
      <c r="L109" s="201"/>
      <c r="M109" s="20"/>
      <c r="N109" s="12"/>
      <c r="Q109" s="38"/>
    </row>
    <row r="110" spans="1:20" s="38" customFormat="1" ht="25" customHeight="1">
      <c r="A110" s="47"/>
      <c r="B110" s="982" t="s">
        <v>235</v>
      </c>
      <c r="C110" s="982"/>
      <c r="D110" s="982"/>
      <c r="E110" s="982"/>
      <c r="F110" s="982"/>
      <c r="G110" s="982"/>
      <c r="H110" s="50"/>
      <c r="J110" s="53"/>
      <c r="K110" s="412"/>
      <c r="L110" s="53"/>
      <c r="M110" s="20"/>
      <c r="N110" s="12"/>
    </row>
    <row r="111" spans="1:20" s="38" customFormat="1" ht="25" customHeight="1">
      <c r="A111" s="47"/>
      <c r="B111" s="982"/>
      <c r="C111" s="982"/>
      <c r="D111" s="982"/>
      <c r="E111" s="982"/>
      <c r="F111" s="982"/>
      <c r="G111" s="982"/>
      <c r="H111" s="50"/>
      <c r="J111" s="53"/>
      <c r="K111" s="412"/>
      <c r="L111" s="53"/>
      <c r="M111" s="20"/>
      <c r="N111" s="12"/>
    </row>
    <row r="112" spans="1:20" s="38" customFormat="1" ht="25" customHeight="1">
      <c r="A112" s="47"/>
      <c r="B112" s="982"/>
      <c r="C112" s="982"/>
      <c r="D112" s="982"/>
      <c r="E112" s="982"/>
      <c r="F112" s="982"/>
      <c r="G112" s="982"/>
      <c r="H112" s="50"/>
      <c r="J112" s="53"/>
      <c r="K112" s="412"/>
      <c r="L112" s="53"/>
      <c r="M112" s="20"/>
      <c r="N112" s="12"/>
    </row>
    <row r="113" spans="1:32" s="38" customFormat="1" ht="25" customHeight="1">
      <c r="A113" s="47"/>
      <c r="B113" s="55" t="s">
        <v>236</v>
      </c>
      <c r="C113" s="55"/>
      <c r="D113" s="55"/>
      <c r="E113" s="55"/>
      <c r="F113" s="55"/>
      <c r="H113" s="50"/>
      <c r="J113" s="53"/>
      <c r="K113" s="412"/>
      <c r="L113" s="53"/>
      <c r="M113" s="20"/>
      <c r="N113" s="12"/>
    </row>
    <row r="114" spans="1:32" s="38" customFormat="1" ht="25" customHeight="1">
      <c r="A114" s="47"/>
      <c r="B114" s="8" t="s">
        <v>237</v>
      </c>
      <c r="C114" s="8"/>
      <c r="D114" s="8"/>
      <c r="E114" s="8"/>
      <c r="F114" s="8"/>
      <c r="G114" s="57"/>
      <c r="H114" s="58"/>
      <c r="I114" s="57"/>
      <c r="J114" s="59"/>
      <c r="K114" s="413"/>
      <c r="L114" s="65"/>
      <c r="M114" s="20"/>
      <c r="N114" s="12"/>
    </row>
    <row r="115" spans="1:32" s="161" customFormat="1" ht="25" customHeight="1">
      <c r="A115" s="242"/>
      <c r="B115" s="62" t="s">
        <v>238</v>
      </c>
      <c r="C115" s="63"/>
      <c r="D115" s="63"/>
      <c r="E115" s="64"/>
      <c r="F115" s="64"/>
      <c r="G115" s="57"/>
      <c r="H115" s="58"/>
      <c r="I115" s="57"/>
      <c r="J115" s="59"/>
      <c r="K115" s="413"/>
      <c r="L115" s="65"/>
      <c r="M115" s="20"/>
      <c r="N115" s="12"/>
      <c r="O115" s="54"/>
      <c r="P115" s="54"/>
      <c r="Q115" s="54"/>
      <c r="R115" s="54"/>
      <c r="S115" s="54"/>
      <c r="T115" s="54"/>
      <c r="U115" s="54"/>
      <c r="X115" s="12"/>
      <c r="Y115" s="12"/>
      <c r="Z115" s="12"/>
    </row>
    <row r="116" spans="1:32" s="150" customFormat="1" ht="25" customHeight="1">
      <c r="A116" s="151"/>
      <c r="B116" s="243"/>
      <c r="C116" s="161"/>
      <c r="D116" s="161"/>
      <c r="E116" s="161"/>
      <c r="F116" s="161"/>
      <c r="G116" s="161"/>
      <c r="H116" s="161"/>
      <c r="I116" s="161"/>
      <c r="J116" s="161"/>
      <c r="K116" s="419"/>
      <c r="L116" s="161"/>
      <c r="M116" s="20"/>
      <c r="N116" s="12"/>
      <c r="P116" s="182"/>
      <c r="Q116" s="182"/>
      <c r="R116" s="182"/>
      <c r="S116" s="182"/>
      <c r="T116" s="182"/>
      <c r="U116" s="182"/>
    </row>
    <row r="117" spans="1:32" ht="25" customHeight="1">
      <c r="B117" s="78" t="s">
        <v>23</v>
      </c>
      <c r="C117" s="244"/>
      <c r="D117" s="244"/>
      <c r="E117" s="179" t="s">
        <v>239</v>
      </c>
      <c r="F117" s="244"/>
      <c r="G117" s="179" t="s">
        <v>240</v>
      </c>
      <c r="H117" s="179"/>
      <c r="I117" s="180" t="s">
        <v>241</v>
      </c>
      <c r="J117" s="1" t="s">
        <v>242</v>
      </c>
      <c r="K117" s="421" t="s">
        <v>68</v>
      </c>
      <c r="L117" s="178"/>
      <c r="M117" s="20"/>
      <c r="N117" s="12"/>
    </row>
    <row r="118" spans="1:32" ht="25" customHeight="1">
      <c r="B118" s="137" t="s">
        <v>69</v>
      </c>
      <c r="C118" s="187"/>
      <c r="D118" s="187"/>
      <c r="E118" s="246" t="s">
        <v>20</v>
      </c>
      <c r="F118" s="191"/>
      <c r="G118" s="438">
        <f>BAAS_on.demand_SEK</f>
        <v>2.4500000000000002</v>
      </c>
      <c r="H118" s="191"/>
      <c r="I118" s="213"/>
      <c r="J118" s="248" t="s">
        <v>20</v>
      </c>
      <c r="K118" s="423">
        <f>ROUNDUP(I118*G118,2)</f>
        <v>0</v>
      </c>
      <c r="L118" s="178"/>
      <c r="M118" s="20"/>
      <c r="N118" s="12"/>
    </row>
    <row r="119" spans="1:32" ht="25" customHeight="1">
      <c r="B119" s="139" t="s">
        <v>70</v>
      </c>
      <c r="C119" s="174"/>
      <c r="D119" s="174"/>
      <c r="E119" s="299">
        <v>5500</v>
      </c>
      <c r="F119" s="197"/>
      <c r="G119" s="124">
        <f>BAAS_small_SEK</f>
        <v>1.75</v>
      </c>
      <c r="H119" s="197"/>
      <c r="I119" s="251"/>
      <c r="J119" s="252">
        <v>0.75</v>
      </c>
      <c r="K119" s="425">
        <f>IF(I119&gt;0,$E$119+($G$119*(I119*(1-$J$119))),0)</f>
        <v>0</v>
      </c>
      <c r="L119" s="178"/>
      <c r="M119" s="20"/>
      <c r="N119" s="12"/>
    </row>
    <row r="120" spans="1:32" s="256" customFormat="1" ht="25" customHeight="1">
      <c r="A120" s="257"/>
      <c r="B120" s="171" t="s">
        <v>71</v>
      </c>
      <c r="C120" s="225"/>
      <c r="D120" s="225"/>
      <c r="E120" s="384">
        <v>9500</v>
      </c>
      <c r="F120" s="229"/>
      <c r="G120" s="438">
        <f>BAAS_large_SEK</f>
        <v>0.92</v>
      </c>
      <c r="H120" s="229"/>
      <c r="I120" s="254"/>
      <c r="J120" s="255">
        <v>0.75</v>
      </c>
      <c r="K120" s="433">
        <f>IF(I120&gt;0,$E$120+($G$120*(I120*(1-$J$120))),0)</f>
        <v>0</v>
      </c>
      <c r="L120" s="178"/>
      <c r="M120" s="20"/>
      <c r="N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2" s="101" customFormat="1" ht="25" customHeight="1">
      <c r="A121" s="96"/>
      <c r="B121" s="97" t="s">
        <v>27</v>
      </c>
      <c r="C121" s="98"/>
      <c r="D121" s="98"/>
      <c r="E121" s="98"/>
      <c r="F121" s="98"/>
      <c r="G121" s="98"/>
      <c r="H121" s="98"/>
      <c r="I121" s="98" t="str">
        <f>SUM(I118:I120)&amp;" GB"</f>
        <v>0 GB</v>
      </c>
      <c r="J121" s="98"/>
      <c r="K121" s="142">
        <f>SUM(K118:K120)</f>
        <v>0</v>
      </c>
      <c r="M121" s="20"/>
      <c r="N121" s="12"/>
      <c r="P121" s="102"/>
      <c r="R121" s="102"/>
    </row>
    <row r="122" spans="1:32" s="256" customFormat="1" ht="25" customHeight="1">
      <c r="A122" s="257"/>
      <c r="B122" s="103"/>
      <c r="C122" s="143"/>
      <c r="D122" s="143"/>
      <c r="E122" s="143"/>
      <c r="F122" s="258"/>
      <c r="G122" s="108"/>
      <c r="H122" s="108"/>
      <c r="I122" s="108"/>
      <c r="J122" s="108"/>
      <c r="K122" s="439"/>
      <c r="L122" s="106"/>
      <c r="M122" s="20"/>
      <c r="N122" s="12"/>
      <c r="O122" s="260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</row>
    <row r="123" spans="1:32" ht="25" customHeight="1">
      <c r="B123" s="238"/>
      <c r="C123" s="239"/>
      <c r="D123" s="239"/>
      <c r="E123" s="239"/>
      <c r="F123" s="240"/>
      <c r="G123" s="241"/>
      <c r="H123" s="199"/>
      <c r="I123" s="199"/>
      <c r="J123" s="199"/>
      <c r="K123" s="426"/>
      <c r="L123" s="215"/>
      <c r="M123" s="20"/>
      <c r="N123" s="12"/>
    </row>
    <row r="124" spans="1:32" s="150" customFormat="1" ht="25" customHeight="1">
      <c r="A124" s="151"/>
      <c r="B124" s="8"/>
      <c r="C124" s="143"/>
      <c r="D124" s="64"/>
      <c r="E124" s="64"/>
      <c r="F124" s="64"/>
      <c r="G124" s="57"/>
      <c r="H124" s="58"/>
      <c r="I124" s="57"/>
      <c r="J124" s="65"/>
      <c r="K124" s="413"/>
      <c r="L124" s="61"/>
      <c r="M124" s="20"/>
      <c r="N124" s="12"/>
      <c r="O124" s="182"/>
      <c r="P124" s="182"/>
      <c r="Q124" s="182"/>
      <c r="R124" s="182"/>
      <c r="S124" s="182"/>
    </row>
    <row r="125" spans="1:32" s="38" customFormat="1" ht="25" customHeight="1">
      <c r="A125" s="47"/>
      <c r="B125" s="982" t="s">
        <v>243</v>
      </c>
      <c r="C125" s="982"/>
      <c r="D125" s="982"/>
      <c r="E125" s="982"/>
      <c r="F125" s="982"/>
      <c r="G125" s="982"/>
      <c r="H125" s="50"/>
      <c r="J125" s="53"/>
      <c r="K125" s="412"/>
      <c r="M125" s="20"/>
      <c r="N125" s="12"/>
    </row>
    <row r="126" spans="1:32" s="38" customFormat="1" ht="25" customHeight="1">
      <c r="A126" s="47"/>
      <c r="B126" s="982"/>
      <c r="C126" s="982"/>
      <c r="D126" s="982"/>
      <c r="E126" s="982"/>
      <c r="F126" s="982"/>
      <c r="G126" s="982"/>
      <c r="H126" s="50"/>
      <c r="J126" s="53"/>
      <c r="K126" s="412"/>
      <c r="M126" s="20"/>
      <c r="N126" s="12"/>
    </row>
    <row r="127" spans="1:32" s="38" customFormat="1" ht="25" customHeight="1">
      <c r="A127" s="47"/>
      <c r="B127" s="982"/>
      <c r="C127" s="982"/>
      <c r="D127" s="982"/>
      <c r="E127" s="982"/>
      <c r="F127" s="982"/>
      <c r="G127" s="982"/>
      <c r="H127" s="50"/>
      <c r="J127" s="53"/>
      <c r="K127" s="412"/>
      <c r="M127" s="20"/>
      <c r="N127" s="12"/>
    </row>
    <row r="128" spans="1:32" s="38" customFormat="1" ht="25" customHeight="1">
      <c r="A128" s="47"/>
      <c r="B128" s="8" t="s">
        <v>237</v>
      </c>
      <c r="C128" s="207"/>
      <c r="D128" s="207"/>
      <c r="E128" s="207"/>
      <c r="F128" s="207"/>
      <c r="H128" s="50"/>
      <c r="J128" s="53"/>
      <c r="K128" s="412"/>
      <c r="M128" s="20"/>
      <c r="N128" s="12"/>
    </row>
    <row r="129" spans="1:19" s="38" customFormat="1" ht="25" customHeight="1">
      <c r="A129" s="47"/>
      <c r="B129" s="8"/>
      <c r="C129" s="64"/>
      <c r="D129" s="64"/>
      <c r="E129" s="64"/>
      <c r="F129" s="64"/>
      <c r="G129" s="57"/>
      <c r="H129" s="58"/>
      <c r="I129" s="57"/>
      <c r="J129" s="59"/>
      <c r="K129" s="413"/>
      <c r="L129" s="57"/>
      <c r="M129" s="20"/>
      <c r="N129" s="12"/>
    </row>
    <row r="130" spans="1:19" s="161" customFormat="1" ht="25" customHeight="1">
      <c r="A130" s="242"/>
      <c r="B130" s="68" t="s">
        <v>244</v>
      </c>
      <c r="C130" s="64"/>
      <c r="D130" s="64"/>
      <c r="E130" s="64"/>
      <c r="F130" s="64"/>
      <c r="G130" s="57"/>
      <c r="H130" s="57"/>
      <c r="I130" s="57"/>
      <c r="J130" s="59"/>
      <c r="K130" s="413"/>
      <c r="L130" s="57"/>
      <c r="M130" s="20"/>
      <c r="N130" s="12"/>
      <c r="O130" s="54"/>
      <c r="P130" s="54"/>
      <c r="Q130" s="54"/>
      <c r="R130" s="54"/>
      <c r="S130" s="54"/>
    </row>
    <row r="131" spans="1:19" ht="25" customHeight="1">
      <c r="B131" s="76" t="s">
        <v>245</v>
      </c>
      <c r="M131" s="20"/>
      <c r="N131" s="12"/>
    </row>
    <row r="132" spans="1:19" ht="25" customHeight="1">
      <c r="B132" s="273" t="s">
        <v>23</v>
      </c>
      <c r="C132" s="262" t="s">
        <v>246</v>
      </c>
      <c r="D132" s="262"/>
      <c r="E132" s="179" t="s">
        <v>227</v>
      </c>
      <c r="F132" s="179"/>
      <c r="G132" s="179"/>
      <c r="H132" s="179"/>
      <c r="I132" s="179"/>
      <c r="J132" s="262" t="s">
        <v>247</v>
      </c>
      <c r="K132" s="421" t="s">
        <v>248</v>
      </c>
      <c r="L132" s="135"/>
      <c r="M132" s="20"/>
      <c r="N132" s="12"/>
      <c r="O132" s="161"/>
    </row>
    <row r="133" spans="1:19" ht="25" customHeight="1">
      <c r="B133" s="137" t="s">
        <v>90</v>
      </c>
      <c r="C133" s="274" t="s">
        <v>91</v>
      </c>
      <c r="D133" s="274"/>
      <c r="E133" s="186" t="s">
        <v>249</v>
      </c>
      <c r="F133" s="191"/>
      <c r="G133" s="191"/>
      <c r="H133" s="191"/>
      <c r="I133" s="191"/>
      <c r="J133" s="275" t="s">
        <v>250</v>
      </c>
      <c r="K133" s="423">
        <f>NET_publicv4_SEK</f>
        <v>25</v>
      </c>
      <c r="M133" s="20"/>
      <c r="N133" s="12"/>
      <c r="O133" s="161"/>
    </row>
    <row r="134" spans="1:19" ht="25" customHeight="1">
      <c r="B134" s="139" t="s">
        <v>94</v>
      </c>
      <c r="C134" s="277" t="s">
        <v>95</v>
      </c>
      <c r="D134" s="277"/>
      <c r="E134" s="54" t="s">
        <v>249</v>
      </c>
      <c r="F134" s="278"/>
      <c r="G134" s="278"/>
      <c r="H134" s="278"/>
      <c r="I134" s="278"/>
      <c r="J134" s="279" t="s">
        <v>20</v>
      </c>
      <c r="K134" s="425">
        <f>NET_publicv6_SEK</f>
        <v>0</v>
      </c>
      <c r="M134" s="20"/>
      <c r="N134" s="12"/>
      <c r="O134" s="161"/>
    </row>
    <row r="135" spans="1:19" ht="25" customHeight="1">
      <c r="B135" s="137" t="s">
        <v>96</v>
      </c>
      <c r="C135" s="274" t="s">
        <v>251</v>
      </c>
      <c r="D135" s="274"/>
      <c r="E135" s="281"/>
      <c r="F135" s="282"/>
      <c r="G135" s="282"/>
      <c r="H135" s="282"/>
      <c r="I135" s="282"/>
      <c r="J135" s="275" t="s">
        <v>98</v>
      </c>
      <c r="K135" s="423">
        <f>NET_ingress_SEK</f>
        <v>0</v>
      </c>
      <c r="M135" s="20"/>
      <c r="N135" s="12"/>
      <c r="O135" s="161"/>
    </row>
    <row r="136" spans="1:19" ht="25" customHeight="1">
      <c r="B136" s="139" t="s">
        <v>99</v>
      </c>
      <c r="C136" s="277" t="s">
        <v>251</v>
      </c>
      <c r="D136" s="277"/>
      <c r="E136" s="54"/>
      <c r="F136" s="278"/>
      <c r="G136" s="278"/>
      <c r="H136" s="278"/>
      <c r="I136" s="278"/>
      <c r="J136" s="283" t="s">
        <v>98</v>
      </c>
      <c r="K136" s="425">
        <f>NET_egress_SEK</f>
        <v>0</v>
      </c>
      <c r="M136" s="20"/>
      <c r="N136" s="12"/>
      <c r="O136" s="161"/>
    </row>
    <row r="137" spans="1:19" ht="25" customHeight="1">
      <c r="B137" s="137" t="s">
        <v>100</v>
      </c>
      <c r="C137" s="274" t="s">
        <v>101</v>
      </c>
      <c r="D137" s="274"/>
      <c r="E137" s="191" t="s">
        <v>252</v>
      </c>
      <c r="F137" s="282"/>
      <c r="G137" s="282"/>
      <c r="H137" s="282"/>
      <c r="I137" s="282"/>
      <c r="J137" s="275" t="s">
        <v>253</v>
      </c>
      <c r="K137" s="423">
        <f>NET_mgn.slb_SEK</f>
        <v>275</v>
      </c>
      <c r="M137" s="20"/>
      <c r="N137" s="12"/>
    </row>
    <row r="138" spans="1:19" ht="25" customHeight="1">
      <c r="B138" s="139" t="s">
        <v>104</v>
      </c>
      <c r="C138" s="277" t="s">
        <v>105</v>
      </c>
      <c r="D138" s="277"/>
      <c r="E138" s="54"/>
      <c r="F138" s="278"/>
      <c r="G138" s="278"/>
      <c r="H138" s="278"/>
      <c r="I138" s="278"/>
      <c r="J138" s="279" t="s">
        <v>20</v>
      </c>
      <c r="K138" s="425">
        <f>NET_rdns_SEK</f>
        <v>0</v>
      </c>
      <c r="M138" s="20"/>
      <c r="N138" s="12"/>
      <c r="O138" s="161"/>
    </row>
    <row r="139" spans="1:19" ht="25" customHeight="1">
      <c r="B139" s="137" t="s">
        <v>106</v>
      </c>
      <c r="C139" s="274" t="s">
        <v>107</v>
      </c>
      <c r="D139" s="274"/>
      <c r="E139" s="191"/>
      <c r="F139" s="282"/>
      <c r="G139" s="282"/>
      <c r="H139" s="282"/>
      <c r="I139" s="282"/>
      <c r="J139" s="285" t="s">
        <v>20</v>
      </c>
      <c r="K139" s="423">
        <v>0</v>
      </c>
      <c r="M139" s="20"/>
      <c r="N139" s="12"/>
      <c r="O139" s="161"/>
    </row>
    <row r="140" spans="1:19" ht="25" customHeight="1">
      <c r="B140" s="286"/>
      <c r="C140" s="287"/>
      <c r="D140" s="288"/>
      <c r="E140" s="288"/>
      <c r="F140" s="288"/>
      <c r="G140" s="288"/>
      <c r="H140" s="288"/>
      <c r="I140" s="288"/>
      <c r="J140" s="287"/>
      <c r="K140" s="442"/>
      <c r="M140" s="20"/>
      <c r="N140" s="12"/>
      <c r="O140" s="161"/>
    </row>
    <row r="141" spans="1:19" ht="25" customHeight="1">
      <c r="C141" s="290"/>
      <c r="J141" s="290"/>
      <c r="M141" s="20"/>
      <c r="N141" s="12"/>
      <c r="O141" s="161"/>
    </row>
    <row r="142" spans="1:19" ht="25" customHeight="1">
      <c r="C142" s="290"/>
      <c r="J142" s="290"/>
      <c r="M142" s="20"/>
      <c r="N142" s="12"/>
      <c r="O142" s="161"/>
    </row>
    <row r="143" spans="1:19" ht="25" customHeight="1">
      <c r="B143" s="68" t="s">
        <v>254</v>
      </c>
      <c r="C143" s="135"/>
      <c r="D143" s="135"/>
      <c r="E143" s="135"/>
      <c r="F143" s="135"/>
      <c r="G143" s="135"/>
      <c r="H143" s="135"/>
      <c r="I143" s="135"/>
      <c r="J143" s="291"/>
      <c r="M143" s="20"/>
      <c r="N143" s="12"/>
      <c r="O143" s="161"/>
    </row>
    <row r="144" spans="1:19" ht="25" customHeight="1">
      <c r="B144" s="76" t="s">
        <v>255</v>
      </c>
      <c r="M144" s="20"/>
      <c r="N144" s="12"/>
    </row>
    <row r="145" spans="1:18" ht="25" customHeight="1">
      <c r="B145" s="273" t="s">
        <v>23</v>
      </c>
      <c r="C145" s="262"/>
      <c r="D145" s="262"/>
      <c r="E145" s="262" t="s">
        <v>227</v>
      </c>
      <c r="F145" s="179"/>
      <c r="G145" s="179"/>
      <c r="H145" s="179"/>
      <c r="I145" s="179"/>
      <c r="J145" s="262" t="s">
        <v>247</v>
      </c>
      <c r="K145" s="421" t="s">
        <v>248</v>
      </c>
      <c r="M145" s="20"/>
      <c r="N145" s="12"/>
      <c r="O145" s="161"/>
    </row>
    <row r="146" spans="1:18" ht="25" customHeight="1">
      <c r="B146" s="137" t="s">
        <v>110</v>
      </c>
      <c r="C146" s="274"/>
      <c r="D146" s="191"/>
      <c r="E146" s="191" t="s">
        <v>111</v>
      </c>
      <c r="F146" s="191"/>
      <c r="G146" s="191"/>
      <c r="H146" s="191"/>
      <c r="I146" s="191"/>
      <c r="J146" s="275" t="s">
        <v>11</v>
      </c>
      <c r="K146" s="423">
        <f>SW_win.ser.201X_SEK</f>
        <v>175</v>
      </c>
      <c r="L146" s="199"/>
      <c r="M146" s="20"/>
      <c r="N146" s="12"/>
      <c r="O146" s="161"/>
      <c r="Q146" s="54"/>
      <c r="R146" s="54"/>
    </row>
    <row r="147" spans="1:18" s="38" customFormat="1" ht="25" customHeight="1">
      <c r="A147" s="47"/>
      <c r="B147" s="139" t="s">
        <v>112</v>
      </c>
      <c r="C147" s="277"/>
      <c r="D147" s="197"/>
      <c r="E147" s="197" t="s">
        <v>113</v>
      </c>
      <c r="F147" s="278"/>
      <c r="G147" s="278"/>
      <c r="H147" s="278"/>
      <c r="I147" s="278"/>
      <c r="J147" s="283" t="s">
        <v>11</v>
      </c>
      <c r="K147" s="425">
        <f>SW_ms.sql.ser_SEK</f>
        <v>1229</v>
      </c>
      <c r="M147" s="20"/>
      <c r="N147" s="12"/>
      <c r="O147" s="161"/>
    </row>
    <row r="148" spans="1:18" ht="25" customHeight="1">
      <c r="B148" s="137" t="s">
        <v>114</v>
      </c>
      <c r="C148" s="274"/>
      <c r="D148" s="191"/>
      <c r="E148" s="191" t="s">
        <v>115</v>
      </c>
      <c r="F148" s="191"/>
      <c r="G148" s="191"/>
      <c r="H148" s="191"/>
      <c r="I148" s="191"/>
      <c r="J148" s="275" t="s">
        <v>11</v>
      </c>
      <c r="K148" s="423">
        <f>SW_ms.sql.ser.ent_SEK</f>
        <v>3875</v>
      </c>
      <c r="L148" s="199"/>
      <c r="M148" s="20"/>
      <c r="N148" s="12"/>
      <c r="O148" s="161"/>
      <c r="Q148" s="54"/>
      <c r="R148" s="54"/>
    </row>
    <row r="149" spans="1:18" ht="25" customHeight="1">
      <c r="B149" s="292"/>
      <c r="C149" s="293"/>
      <c r="D149" s="294"/>
      <c r="E149" s="295"/>
      <c r="F149" s="296"/>
      <c r="G149" s="296"/>
      <c r="H149" s="296"/>
      <c r="I149" s="296"/>
      <c r="J149" s="297"/>
      <c r="K149" s="443"/>
      <c r="M149" s="20"/>
      <c r="N149" s="12"/>
      <c r="O149" s="161"/>
    </row>
    <row r="150" spans="1:18" ht="25" customHeight="1">
      <c r="B150" s="139"/>
      <c r="C150" s="277"/>
      <c r="D150" s="54"/>
      <c r="E150" s="299"/>
      <c r="F150" s="278"/>
      <c r="G150" s="278"/>
      <c r="H150" s="278"/>
      <c r="I150" s="278"/>
      <c r="J150" s="300"/>
      <c r="K150" s="444"/>
      <c r="M150" s="20"/>
      <c r="N150" s="12"/>
      <c r="O150" s="161"/>
    </row>
    <row r="151" spans="1:18" ht="25" customHeight="1">
      <c r="M151" s="20"/>
      <c r="N151" s="12"/>
      <c r="O151" s="161"/>
    </row>
    <row r="152" spans="1:18" ht="25" customHeight="1">
      <c r="B152" s="68" t="s">
        <v>256</v>
      </c>
      <c r="C152" s="135"/>
      <c r="D152" s="135"/>
      <c r="F152" s="135"/>
      <c r="G152" s="135"/>
      <c r="H152" s="135"/>
      <c r="I152" s="135"/>
      <c r="J152" s="135"/>
      <c r="M152" s="20"/>
      <c r="N152" s="12"/>
      <c r="O152" s="161"/>
    </row>
    <row r="153" spans="1:18" ht="25" customHeight="1">
      <c r="B153" s="76" t="s">
        <v>257</v>
      </c>
      <c r="M153" s="20"/>
      <c r="N153" s="12"/>
    </row>
    <row r="154" spans="1:18" ht="25" customHeight="1">
      <c r="B154" s="273" t="s">
        <v>23</v>
      </c>
      <c r="C154" s="262"/>
      <c r="E154" s="262" t="s">
        <v>227</v>
      </c>
      <c r="F154" s="179"/>
      <c r="G154" s="179"/>
      <c r="H154" s="179"/>
      <c r="I154" s="179"/>
      <c r="J154" s="6"/>
      <c r="K154" s="421" t="s">
        <v>248</v>
      </c>
      <c r="M154" s="20"/>
      <c r="N154" s="12"/>
      <c r="O154" s="161"/>
    </row>
    <row r="155" spans="1:18" ht="25" customHeight="1">
      <c r="B155" s="137" t="s">
        <v>122</v>
      </c>
      <c r="C155" s="274"/>
      <c r="D155" s="191"/>
      <c r="E155" s="191" t="s">
        <v>123</v>
      </c>
      <c r="F155" s="191"/>
      <c r="G155" s="191"/>
      <c r="H155" s="191"/>
      <c r="I155" s="191"/>
      <c r="J155" s="301"/>
      <c r="K155" s="423" t="str">
        <f>PAAS_man.kubernetes_SEK</f>
        <v>Begär offert</v>
      </c>
      <c r="M155" s="20"/>
      <c r="N155" s="12"/>
      <c r="O155" s="161"/>
    </row>
    <row r="156" spans="1:18" ht="25" customHeight="1">
      <c r="B156" s="139" t="s">
        <v>124</v>
      </c>
      <c r="C156" s="277"/>
      <c r="D156" s="197"/>
      <c r="E156" s="197" t="s">
        <v>125</v>
      </c>
      <c r="F156" s="278"/>
      <c r="G156" s="278"/>
      <c r="H156" s="278"/>
      <c r="I156" s="278"/>
      <c r="J156" s="300"/>
      <c r="K156" s="425" t="str">
        <f>PAAS_man.postgres.sql_SEK</f>
        <v>Begär offert</v>
      </c>
      <c r="M156" s="20"/>
      <c r="N156" s="12"/>
      <c r="O156" s="161"/>
    </row>
    <row r="157" spans="1:18" ht="25" customHeight="1">
      <c r="B157" s="137" t="s">
        <v>126</v>
      </c>
      <c r="C157" s="274"/>
      <c r="D157" s="191"/>
      <c r="E157" s="191" t="s">
        <v>127</v>
      </c>
      <c r="F157" s="191"/>
      <c r="G157" s="191"/>
      <c r="H157" s="191"/>
      <c r="I157" s="191"/>
      <c r="J157" s="301"/>
      <c r="K157" s="423" t="str">
        <f>PAAS_man.kubernetes_SEK</f>
        <v>Begär offert</v>
      </c>
      <c r="M157" s="20"/>
      <c r="N157" s="12"/>
      <c r="O157" s="161"/>
    </row>
    <row r="158" spans="1:18" ht="25" customHeight="1">
      <c r="B158" s="139" t="s">
        <v>128</v>
      </c>
      <c r="C158" s="277"/>
      <c r="D158" s="197"/>
      <c r="E158" s="197" t="s">
        <v>129</v>
      </c>
      <c r="F158" s="278"/>
      <c r="G158" s="278"/>
      <c r="H158" s="278"/>
      <c r="I158" s="278"/>
      <c r="J158" s="300"/>
      <c r="K158" s="425" t="str">
        <f>PAAS_man.postgres.sql_SEK</f>
        <v>Begär offert</v>
      </c>
      <c r="M158" s="20"/>
      <c r="N158" s="12"/>
      <c r="O158" s="161"/>
    </row>
    <row r="159" spans="1:18" ht="25" customHeight="1">
      <c r="B159" s="137" t="s">
        <v>130</v>
      </c>
      <c r="C159" s="274"/>
      <c r="D159" s="191"/>
      <c r="E159" s="191" t="s">
        <v>131</v>
      </c>
      <c r="F159" s="191"/>
      <c r="G159" s="191"/>
      <c r="H159" s="191"/>
      <c r="I159" s="191"/>
      <c r="J159" s="301"/>
      <c r="K159" s="423" t="str">
        <f>PAAS_man.kubernetes_SEK</f>
        <v>Begär offert</v>
      </c>
      <c r="M159" s="20"/>
      <c r="N159" s="12"/>
      <c r="O159" s="161"/>
    </row>
    <row r="160" spans="1:18" ht="25" customHeight="1">
      <c r="B160" s="139" t="s">
        <v>132</v>
      </c>
      <c r="C160" s="277"/>
      <c r="D160" s="197"/>
      <c r="E160" s="197" t="s">
        <v>133</v>
      </c>
      <c r="F160" s="278"/>
      <c r="G160" s="278"/>
      <c r="H160" s="278"/>
      <c r="I160" s="278"/>
      <c r="J160" s="300"/>
      <c r="K160" s="425" t="str">
        <f>PAAS_man.postgres.sql_SEK</f>
        <v>Begär offert</v>
      </c>
      <c r="M160" s="20"/>
      <c r="N160" s="12"/>
      <c r="O160" s="161"/>
    </row>
    <row r="161" spans="1:20" ht="25" customHeight="1">
      <c r="B161" s="302" t="s">
        <v>134</v>
      </c>
      <c r="C161" s="274"/>
      <c r="D161" s="191"/>
      <c r="E161" s="191" t="s">
        <v>135</v>
      </c>
      <c r="F161" s="191"/>
      <c r="G161" s="191"/>
      <c r="H161" s="191"/>
      <c r="I161" s="191"/>
      <c r="J161" s="301"/>
      <c r="K161" s="423" t="s">
        <v>258</v>
      </c>
      <c r="M161" s="20"/>
      <c r="N161" s="12"/>
      <c r="O161" s="161"/>
    </row>
    <row r="162" spans="1:20" ht="25" customHeight="1">
      <c r="B162" s="292"/>
      <c r="C162" s="293"/>
      <c r="D162" s="303"/>
      <c r="E162" s="295"/>
      <c r="F162" s="296"/>
      <c r="G162" s="296"/>
      <c r="H162" s="296"/>
      <c r="I162" s="296"/>
      <c r="J162" s="297"/>
      <c r="K162" s="443"/>
      <c r="M162" s="20"/>
      <c r="N162" s="12"/>
      <c r="O162" s="161"/>
    </row>
    <row r="163" spans="1:20" ht="25" customHeight="1">
      <c r="B163" s="139"/>
      <c r="C163" s="277"/>
      <c r="D163" s="197"/>
      <c r="E163" s="299"/>
      <c r="F163" s="278"/>
      <c r="G163" s="300"/>
      <c r="H163" s="283"/>
      <c r="I163" s="304"/>
      <c r="M163" s="20"/>
      <c r="N163" s="12"/>
    </row>
    <row r="164" spans="1:20" ht="25" customHeight="1">
      <c r="B164" s="305"/>
      <c r="C164" s="239"/>
      <c r="D164" s="239"/>
      <c r="E164" s="239"/>
      <c r="F164" s="240"/>
      <c r="G164" s="241"/>
      <c r="H164" s="239"/>
      <c r="I164" s="199"/>
      <c r="K164" s="426"/>
      <c r="L164" s="201"/>
      <c r="M164" s="20"/>
      <c r="N164" s="12"/>
      <c r="O164" s="54"/>
    </row>
    <row r="165" spans="1:20" s="38" customFormat="1" ht="25" customHeight="1">
      <c r="A165" s="47"/>
      <c r="B165" s="982" t="s">
        <v>259</v>
      </c>
      <c r="C165" s="982"/>
      <c r="D165" s="982"/>
      <c r="E165" s="982"/>
      <c r="F165" s="982"/>
      <c r="G165" s="982"/>
      <c r="H165" s="306"/>
      <c r="J165" s="53"/>
      <c r="K165" s="412"/>
      <c r="M165" s="20"/>
      <c r="N165" s="12"/>
    </row>
    <row r="166" spans="1:20" s="38" customFormat="1" ht="25" customHeight="1">
      <c r="A166" s="47"/>
      <c r="B166" s="982"/>
      <c r="C166" s="982"/>
      <c r="D166" s="982"/>
      <c r="E166" s="982"/>
      <c r="F166" s="982"/>
      <c r="G166" s="982"/>
      <c r="H166" s="306"/>
      <c r="J166" s="53"/>
      <c r="K166" s="412"/>
      <c r="M166" s="20"/>
      <c r="N166" s="12"/>
    </row>
    <row r="167" spans="1:20" s="38" customFormat="1" ht="25" customHeight="1">
      <c r="A167" s="47"/>
      <c r="B167" s="982"/>
      <c r="C167" s="982"/>
      <c r="D167" s="982"/>
      <c r="E167" s="982"/>
      <c r="F167" s="982"/>
      <c r="G167" s="982"/>
      <c r="H167" s="306"/>
      <c r="J167" s="53"/>
      <c r="K167" s="412"/>
      <c r="M167" s="20"/>
      <c r="N167" s="12"/>
    </row>
    <row r="168" spans="1:20" s="38" customFormat="1" ht="25" customHeight="1">
      <c r="A168" s="47"/>
      <c r="B168" s="987" t="s">
        <v>260</v>
      </c>
      <c r="C168" s="987"/>
      <c r="D168" s="987"/>
      <c r="E168" s="987"/>
      <c r="F168" s="987"/>
      <c r="H168" s="306"/>
      <c r="J168" s="53"/>
      <c r="K168" s="412"/>
      <c r="M168" s="20"/>
      <c r="N168" s="12"/>
    </row>
    <row r="169" spans="1:20" s="38" customFormat="1" ht="25" customHeight="1">
      <c r="A169" s="47"/>
      <c r="B169" s="984" t="s">
        <v>237</v>
      </c>
      <c r="C169" s="984"/>
      <c r="D169" s="984"/>
      <c r="E169" s="984"/>
      <c r="F169" s="984"/>
      <c r="G169" s="57"/>
      <c r="H169" s="58"/>
      <c r="I169" s="57"/>
      <c r="J169" s="59"/>
      <c r="K169" s="413"/>
      <c r="L169" s="57"/>
      <c r="M169" s="20"/>
      <c r="N169" s="12"/>
    </row>
    <row r="170" spans="1:20" s="38" customFormat="1" ht="25" customHeight="1">
      <c r="A170" s="47"/>
      <c r="B170" s="8"/>
      <c r="C170" s="64"/>
      <c r="D170" s="64"/>
      <c r="E170" s="64"/>
      <c r="F170" s="64"/>
      <c r="G170" s="57"/>
      <c r="H170" s="58"/>
      <c r="I170" s="57"/>
      <c r="J170" s="59"/>
      <c r="K170" s="413"/>
      <c r="L170" s="57"/>
      <c r="M170" s="20"/>
      <c r="N170" s="12"/>
    </row>
    <row r="171" spans="1:20" ht="25" customHeight="1">
      <c r="B171" s="68" t="s">
        <v>139</v>
      </c>
      <c r="C171" s="135"/>
      <c r="D171" s="135"/>
      <c r="F171" s="135"/>
      <c r="G171" s="135"/>
      <c r="H171" s="135"/>
      <c r="I171" s="135"/>
      <c r="J171" s="135"/>
      <c r="K171" s="446"/>
      <c r="L171" s="135"/>
      <c r="M171" s="20"/>
      <c r="N171" s="12"/>
      <c r="O171" s="201"/>
      <c r="P171" s="201"/>
      <c r="Q171" s="161"/>
      <c r="S171" s="54"/>
      <c r="T171" s="54"/>
    </row>
    <row r="172" spans="1:20" ht="25" customHeight="1">
      <c r="B172" s="76" t="s">
        <v>261</v>
      </c>
      <c r="M172" s="20"/>
      <c r="N172" s="12"/>
    </row>
    <row r="173" spans="1:20" ht="25" customHeight="1">
      <c r="B173" s="273" t="s">
        <v>23</v>
      </c>
      <c r="C173" s="262"/>
      <c r="D173" s="262" t="s">
        <v>227</v>
      </c>
      <c r="E173" s="1"/>
      <c r="F173" s="179"/>
      <c r="G173" s="6"/>
      <c r="H173" s="6"/>
      <c r="I173" s="262" t="s">
        <v>247</v>
      </c>
      <c r="J173" s="262"/>
      <c r="K173" s="421" t="s">
        <v>77</v>
      </c>
      <c r="L173" s="199"/>
      <c r="M173" s="20"/>
      <c r="N173" s="12"/>
      <c r="O173" s="161"/>
      <c r="Q173" s="54"/>
      <c r="R173" s="54"/>
    </row>
    <row r="174" spans="1:20" ht="25" customHeight="1">
      <c r="B174" s="137" t="s">
        <v>141</v>
      </c>
      <c r="C174" s="274"/>
      <c r="D174" s="191" t="s">
        <v>262</v>
      </c>
      <c r="E174" s="301"/>
      <c r="F174" s="191"/>
      <c r="G174" s="301"/>
      <c r="H174" s="301"/>
      <c r="I174" s="285" t="s">
        <v>20</v>
      </c>
      <c r="J174" s="285"/>
      <c r="K174" s="447">
        <v>0</v>
      </c>
      <c r="L174" s="199"/>
      <c r="M174" s="20"/>
      <c r="N174" s="12"/>
      <c r="O174" s="161"/>
      <c r="Q174" s="54"/>
      <c r="R174" s="54"/>
    </row>
    <row r="175" spans="1:20" ht="25" customHeight="1">
      <c r="B175" s="139" t="s">
        <v>143</v>
      </c>
      <c r="C175" s="277"/>
      <c r="D175" s="197" t="s">
        <v>263</v>
      </c>
      <c r="E175" s="299"/>
      <c r="F175" s="278"/>
      <c r="G175" s="300"/>
      <c r="H175" s="300"/>
      <c r="I175" s="283" t="s">
        <v>264</v>
      </c>
      <c r="J175" s="283"/>
      <c r="K175" s="445" t="s">
        <v>258</v>
      </c>
      <c r="L175" s="199"/>
      <c r="M175" s="20"/>
      <c r="N175" s="12"/>
      <c r="O175" s="161"/>
      <c r="Q175" s="54"/>
      <c r="R175" s="54"/>
    </row>
    <row r="176" spans="1:20" ht="25" customHeight="1">
      <c r="B176" s="292"/>
      <c r="C176" s="293"/>
      <c r="D176" s="293"/>
      <c r="E176" s="295"/>
      <c r="F176" s="296"/>
      <c r="G176" s="297"/>
      <c r="H176" s="297"/>
      <c r="I176" s="308"/>
      <c r="J176" s="308"/>
      <c r="K176" s="443"/>
      <c r="L176" s="199"/>
      <c r="M176" s="20"/>
      <c r="N176" s="12"/>
      <c r="O176" s="161"/>
      <c r="Q176" s="54"/>
      <c r="R176" s="54"/>
    </row>
    <row r="177" spans="1:18" ht="25" customHeight="1">
      <c r="B177" s="139"/>
      <c r="C177" s="277"/>
      <c r="D177" s="197"/>
      <c r="E177" s="299"/>
      <c r="F177" s="278"/>
      <c r="G177" s="300"/>
      <c r="H177" s="300"/>
      <c r="I177" s="283"/>
      <c r="J177" s="283"/>
      <c r="K177" s="444"/>
      <c r="L177" s="199"/>
      <c r="M177" s="20"/>
      <c r="N177" s="12"/>
      <c r="O177" s="161"/>
      <c r="Q177" s="54"/>
      <c r="R177" s="54"/>
    </row>
    <row r="178" spans="1:18" s="82" customFormat="1" ht="25" customHeight="1">
      <c r="A178" s="77"/>
      <c r="B178" s="68" t="s">
        <v>265</v>
      </c>
      <c r="C178" s="309"/>
      <c r="D178" s="309"/>
      <c r="F178" s="309"/>
      <c r="G178" s="309"/>
      <c r="H178" s="309"/>
      <c r="I178" s="310"/>
      <c r="J178" s="310"/>
      <c r="K178" s="448"/>
      <c r="L178" s="312"/>
      <c r="M178" s="20"/>
      <c r="N178" s="12"/>
      <c r="O178" s="314"/>
      <c r="Q178" s="314"/>
      <c r="R178" s="314"/>
    </row>
    <row r="179" spans="1:18" ht="25" customHeight="1">
      <c r="B179" s="76" t="s">
        <v>266</v>
      </c>
      <c r="M179" s="20"/>
      <c r="N179" s="12"/>
    </row>
    <row r="180" spans="1:18" ht="25" customHeight="1">
      <c r="B180" s="273" t="s">
        <v>23</v>
      </c>
      <c r="C180" s="262"/>
      <c r="D180" s="262" t="s">
        <v>227</v>
      </c>
      <c r="E180" s="1"/>
      <c r="F180" s="179"/>
      <c r="G180" s="6"/>
      <c r="H180" s="6"/>
      <c r="I180" s="262" t="s">
        <v>247</v>
      </c>
      <c r="J180" s="262"/>
      <c r="K180" s="421" t="s">
        <v>77</v>
      </c>
      <c r="L180" s="199"/>
      <c r="M180" s="20"/>
      <c r="N180" s="12"/>
      <c r="O180" s="161"/>
      <c r="Q180" s="54"/>
      <c r="R180" s="54"/>
    </row>
    <row r="181" spans="1:18" ht="25" customHeight="1">
      <c r="B181" s="137" t="s">
        <v>149</v>
      </c>
      <c r="C181" s="274"/>
      <c r="D181" s="191" t="s">
        <v>150</v>
      </c>
      <c r="E181" s="301"/>
      <c r="F181" s="191"/>
      <c r="G181" s="301"/>
      <c r="H181" s="301"/>
      <c r="I181" s="275" t="s">
        <v>264</v>
      </c>
      <c r="J181" s="275"/>
      <c r="K181" s="431">
        <f>PS_consult.jun_SEK</f>
        <v>1127</v>
      </c>
      <c r="L181" s="199"/>
      <c r="M181" s="20"/>
      <c r="N181" s="12"/>
      <c r="O181" s="161"/>
      <c r="Q181" s="54"/>
      <c r="R181" s="54"/>
    </row>
    <row r="182" spans="1:18" ht="25" customHeight="1">
      <c r="B182" s="139" t="s">
        <v>151</v>
      </c>
      <c r="C182" s="277"/>
      <c r="D182" s="197" t="s">
        <v>152</v>
      </c>
      <c r="E182" s="299"/>
      <c r="F182" s="278"/>
      <c r="G182" s="300"/>
      <c r="H182" s="300"/>
      <c r="I182" s="283" t="s">
        <v>264</v>
      </c>
      <c r="J182" s="283"/>
      <c r="K182" s="445">
        <f>PS_consult.sen_SEK</f>
        <v>1374</v>
      </c>
      <c r="L182" s="199"/>
      <c r="M182" s="20"/>
      <c r="N182" s="12"/>
      <c r="O182" s="161"/>
      <c r="Q182" s="54"/>
      <c r="R182" s="54"/>
    </row>
    <row r="183" spans="1:18" ht="25" customHeight="1">
      <c r="B183" s="137" t="s">
        <v>153</v>
      </c>
      <c r="C183" s="274"/>
      <c r="D183" s="191" t="s">
        <v>154</v>
      </c>
      <c r="E183" s="301"/>
      <c r="F183" s="191"/>
      <c r="G183" s="301"/>
      <c r="H183" s="301"/>
      <c r="I183" s="275" t="s">
        <v>264</v>
      </c>
      <c r="J183" s="275"/>
      <c r="K183" s="431">
        <f>PS_cloudarch.jun_SEK</f>
        <v>1277</v>
      </c>
      <c r="L183" s="199"/>
      <c r="M183" s="20"/>
      <c r="N183" s="12"/>
      <c r="O183" s="161"/>
      <c r="Q183" s="54"/>
      <c r="R183" s="54"/>
    </row>
    <row r="184" spans="1:18" ht="25" customHeight="1">
      <c r="B184" s="139" t="s">
        <v>155</v>
      </c>
      <c r="C184" s="277"/>
      <c r="D184" s="197" t="s">
        <v>156</v>
      </c>
      <c r="E184" s="197"/>
      <c r="F184" s="197"/>
      <c r="G184" s="300"/>
      <c r="H184" s="300"/>
      <c r="I184" s="283" t="s">
        <v>264</v>
      </c>
      <c r="J184" s="283"/>
      <c r="K184" s="445">
        <f>PS_cloudarch.sen_SEK</f>
        <v>1374</v>
      </c>
      <c r="L184" s="199"/>
      <c r="M184" s="20"/>
      <c r="N184" s="12"/>
      <c r="O184" s="161"/>
      <c r="Q184" s="54"/>
      <c r="R184" s="54"/>
    </row>
    <row r="185" spans="1:18" ht="25" customHeight="1">
      <c r="B185" s="137" t="s">
        <v>157</v>
      </c>
      <c r="C185" s="274"/>
      <c r="D185" s="191" t="s">
        <v>158</v>
      </c>
      <c r="E185" s="301"/>
      <c r="F185" s="191"/>
      <c r="G185" s="301"/>
      <c r="H185" s="301"/>
      <c r="I185" s="275" t="s">
        <v>264</v>
      </c>
      <c r="J185" s="275"/>
      <c r="K185" s="431">
        <f>PS_pm.jun_SEK</f>
        <v>1139</v>
      </c>
      <c r="L185" s="199"/>
      <c r="M185" s="20"/>
      <c r="N185" s="12"/>
      <c r="O185" s="161"/>
      <c r="Q185" s="54"/>
      <c r="R185" s="54"/>
    </row>
    <row r="186" spans="1:18" ht="25" customHeight="1">
      <c r="B186" s="139" t="s">
        <v>159</v>
      </c>
      <c r="C186" s="277"/>
      <c r="D186" s="197" t="s">
        <v>160</v>
      </c>
      <c r="E186" s="299"/>
      <c r="F186" s="278"/>
      <c r="G186" s="300"/>
      <c r="H186" s="300"/>
      <c r="I186" s="283" t="s">
        <v>264</v>
      </c>
      <c r="J186" s="283"/>
      <c r="K186" s="445">
        <f>PS_pm.sen_SEK</f>
        <v>1374</v>
      </c>
      <c r="L186" s="199"/>
      <c r="M186" s="20"/>
      <c r="N186" s="12"/>
      <c r="O186" s="161"/>
      <c r="Q186" s="54"/>
      <c r="R186" s="54"/>
    </row>
    <row r="187" spans="1:18" ht="25" customHeight="1">
      <c r="B187" s="292"/>
      <c r="C187" s="293"/>
      <c r="D187" s="303"/>
      <c r="E187" s="295"/>
      <c r="F187" s="296"/>
      <c r="G187" s="297"/>
      <c r="H187" s="297"/>
      <c r="I187" s="308"/>
      <c r="J187" s="308"/>
      <c r="K187" s="443"/>
      <c r="L187" s="199"/>
      <c r="M187" s="20"/>
      <c r="N187" s="12"/>
      <c r="O187" s="161"/>
      <c r="Q187" s="54"/>
      <c r="R187" s="54"/>
    </row>
    <row r="188" spans="1:18" ht="25" customHeight="1">
      <c r="B188" s="139"/>
      <c r="C188" s="277"/>
      <c r="D188" s="197"/>
      <c r="E188" s="299"/>
      <c r="F188" s="278"/>
      <c r="G188" s="300"/>
      <c r="H188" s="300"/>
      <c r="I188" s="283"/>
      <c r="J188" s="283"/>
      <c r="K188" s="444"/>
      <c r="M188" s="20"/>
      <c r="N188" s="12"/>
      <c r="O188" s="161"/>
    </row>
    <row r="189" spans="1:18" ht="25" customHeight="1">
      <c r="B189" s="68" t="s">
        <v>267</v>
      </c>
      <c r="C189" s="135"/>
      <c r="D189" s="135"/>
      <c r="F189" s="135"/>
      <c r="G189" s="135"/>
      <c r="H189" s="135"/>
      <c r="I189" s="291"/>
      <c r="J189" s="291"/>
      <c r="L189" s="199"/>
      <c r="M189" s="20"/>
      <c r="N189" s="12"/>
      <c r="O189" s="161"/>
      <c r="Q189" s="54"/>
      <c r="R189" s="54"/>
    </row>
    <row r="190" spans="1:18" ht="25" customHeight="1">
      <c r="B190" s="76" t="s">
        <v>268</v>
      </c>
      <c r="M190" s="20"/>
      <c r="N190" s="12"/>
    </row>
    <row r="191" spans="1:18" ht="25" customHeight="1">
      <c r="B191" s="273" t="s">
        <v>23</v>
      </c>
      <c r="C191" s="262"/>
      <c r="D191" s="262" t="s">
        <v>227</v>
      </c>
      <c r="E191" s="1"/>
      <c r="F191" s="179"/>
      <c r="G191" s="262" t="s">
        <v>269</v>
      </c>
      <c r="H191" s="262"/>
      <c r="I191" s="262" t="s">
        <v>247</v>
      </c>
      <c r="J191" s="262"/>
      <c r="K191" s="421" t="s">
        <v>77</v>
      </c>
      <c r="L191" s="199"/>
      <c r="M191" s="20"/>
      <c r="N191" s="12"/>
      <c r="O191" s="161"/>
      <c r="Q191" s="54"/>
      <c r="R191" s="54"/>
    </row>
    <row r="192" spans="1:18" ht="25" customHeight="1">
      <c r="B192" s="137" t="s">
        <v>165</v>
      </c>
      <c r="C192" s="274"/>
      <c r="D192" s="191" t="s">
        <v>270</v>
      </c>
      <c r="E192" s="301"/>
      <c r="F192" s="191"/>
      <c r="G192" s="275" t="s">
        <v>271</v>
      </c>
      <c r="H192" s="275"/>
      <c r="I192" s="275" t="s">
        <v>272</v>
      </c>
      <c r="J192" s="275"/>
      <c r="K192" s="447" t="s">
        <v>258</v>
      </c>
      <c r="L192" s="199"/>
      <c r="M192" s="20"/>
      <c r="N192" s="12"/>
      <c r="O192" s="161"/>
      <c r="Q192" s="54"/>
      <c r="R192" s="54"/>
    </row>
    <row r="193" spans="1:18" ht="25" customHeight="1">
      <c r="B193" s="139" t="s">
        <v>170</v>
      </c>
      <c r="C193" s="277"/>
      <c r="D193" s="197" t="s">
        <v>273</v>
      </c>
      <c r="E193" s="299"/>
      <c r="F193" s="278"/>
      <c r="G193" s="283" t="s">
        <v>271</v>
      </c>
      <c r="H193" s="283"/>
      <c r="I193" s="283" t="s">
        <v>272</v>
      </c>
      <c r="J193" s="283"/>
      <c r="K193" s="444" t="s">
        <v>258</v>
      </c>
      <c r="L193" s="199"/>
      <c r="M193" s="20"/>
      <c r="N193" s="12"/>
      <c r="O193" s="161"/>
      <c r="Q193" s="54"/>
      <c r="R193" s="54"/>
    </row>
    <row r="194" spans="1:18" ht="25" customHeight="1">
      <c r="B194" s="137" t="s">
        <v>172</v>
      </c>
      <c r="C194" s="274"/>
      <c r="D194" s="191" t="s">
        <v>274</v>
      </c>
      <c r="E194" s="301"/>
      <c r="F194" s="191"/>
      <c r="G194" s="275" t="s">
        <v>275</v>
      </c>
      <c r="H194" s="275"/>
      <c r="I194" s="275" t="s">
        <v>272</v>
      </c>
      <c r="J194" s="275"/>
      <c r="K194" s="447" t="s">
        <v>258</v>
      </c>
      <c r="L194" s="199"/>
      <c r="M194" s="20"/>
      <c r="N194" s="12"/>
      <c r="O194" s="161"/>
      <c r="Q194" s="54"/>
      <c r="R194" s="54"/>
    </row>
    <row r="195" spans="1:18" ht="25" customHeight="1">
      <c r="B195" s="139" t="s">
        <v>175</v>
      </c>
      <c r="C195" s="277"/>
      <c r="D195" s="197" t="s">
        <v>276</v>
      </c>
      <c r="E195" s="299"/>
      <c r="F195" s="278"/>
      <c r="G195" s="283" t="s">
        <v>275</v>
      </c>
      <c r="H195" s="283"/>
      <c r="I195" s="283" t="s">
        <v>272</v>
      </c>
      <c r="J195" s="283"/>
      <c r="K195" s="444" t="s">
        <v>258</v>
      </c>
      <c r="L195" s="199"/>
      <c r="M195" s="20"/>
      <c r="N195" s="12"/>
      <c r="O195" s="161"/>
      <c r="Q195" s="54"/>
      <c r="R195" s="54"/>
    </row>
    <row r="196" spans="1:18" ht="25" customHeight="1">
      <c r="B196" s="292"/>
      <c r="C196" s="293"/>
      <c r="D196" s="303"/>
      <c r="E196" s="295"/>
      <c r="F196" s="296"/>
      <c r="G196" s="297"/>
      <c r="H196" s="297"/>
      <c r="I196" s="297"/>
      <c r="J196" s="297"/>
      <c r="K196" s="443"/>
      <c r="L196" s="199"/>
      <c r="M196" s="20"/>
      <c r="N196" s="12"/>
      <c r="O196" s="161"/>
      <c r="Q196" s="54"/>
      <c r="R196" s="54"/>
    </row>
    <row r="197" spans="1:18" ht="25" customHeight="1">
      <c r="B197" s="305"/>
      <c r="C197" s="239"/>
      <c r="D197" s="239"/>
      <c r="E197" s="239"/>
      <c r="F197" s="240"/>
      <c r="G197" s="241"/>
      <c r="H197" s="199"/>
      <c r="I197" s="199"/>
      <c r="J197" s="199"/>
      <c r="K197" s="427"/>
      <c r="L197" s="201"/>
      <c r="M197" s="20"/>
      <c r="N197" s="12"/>
      <c r="O197" s="54"/>
    </row>
    <row r="198" spans="1:18" ht="25" customHeight="1">
      <c r="A198" s="317"/>
      <c r="B198" s="318"/>
      <c r="C198" s="319"/>
      <c r="D198" s="319"/>
      <c r="E198" s="319"/>
      <c r="F198" s="320"/>
      <c r="G198" s="321"/>
      <c r="H198" s="322"/>
      <c r="I198" s="322"/>
      <c r="J198" s="323"/>
      <c r="K198" s="449"/>
      <c r="L198" s="325"/>
      <c r="M198" s="20"/>
      <c r="N198" s="12"/>
      <c r="O198" s="54"/>
    </row>
    <row r="199" spans="1:18" s="38" customFormat="1" ht="25" customHeight="1">
      <c r="A199" s="30"/>
      <c r="B199" s="326"/>
      <c r="C199" s="327"/>
      <c r="D199" s="327"/>
      <c r="E199" s="327"/>
      <c r="F199" s="328"/>
      <c r="G199" s="329"/>
      <c r="H199" s="330"/>
      <c r="I199" s="330"/>
      <c r="J199" s="331"/>
      <c r="K199" s="450"/>
      <c r="L199" s="33"/>
      <c r="M199" s="20"/>
      <c r="N199" s="12"/>
    </row>
    <row r="200" spans="1:18" s="38" customFormat="1" ht="25" customHeight="1">
      <c r="A200" s="30"/>
      <c r="B200" s="326"/>
      <c r="C200" s="327"/>
      <c r="D200" s="327"/>
      <c r="E200" s="327"/>
      <c r="F200" s="328"/>
      <c r="G200" s="329"/>
      <c r="H200" s="330"/>
      <c r="I200" s="330"/>
      <c r="J200" s="331"/>
      <c r="K200" s="450"/>
      <c r="L200" s="33"/>
      <c r="M200" s="20"/>
      <c r="N200" s="12"/>
    </row>
    <row r="201" spans="1:18" s="38" customFormat="1" ht="25" customHeight="1">
      <c r="A201" s="30"/>
      <c r="B201" s="326"/>
      <c r="C201" s="327"/>
      <c r="D201" s="327"/>
      <c r="E201" s="327"/>
      <c r="F201" s="328"/>
      <c r="G201" s="329"/>
      <c r="H201" s="330"/>
      <c r="I201" s="330"/>
      <c r="J201" s="331"/>
      <c r="K201" s="450"/>
      <c r="L201" s="33"/>
      <c r="M201" s="20"/>
      <c r="N201" s="12"/>
    </row>
    <row r="202" spans="1:18" s="38" customFormat="1" ht="25" customHeight="1">
      <c r="A202" s="30"/>
      <c r="B202" s="988" t="s">
        <v>277</v>
      </c>
      <c r="C202" s="988"/>
      <c r="D202" s="988"/>
      <c r="E202" s="988"/>
      <c r="F202" s="988"/>
      <c r="G202" s="988"/>
      <c r="H202" s="35"/>
      <c r="I202" s="155"/>
      <c r="J202" s="33"/>
      <c r="K202" s="410"/>
      <c r="L202" s="33"/>
      <c r="M202" s="20"/>
      <c r="N202" s="12"/>
    </row>
    <row r="203" spans="1:18" s="38" customFormat="1" ht="25" customHeight="1">
      <c r="A203" s="30"/>
      <c r="B203" s="988"/>
      <c r="C203" s="988"/>
      <c r="D203" s="988"/>
      <c r="E203" s="988"/>
      <c r="F203" s="988"/>
      <c r="G203" s="988"/>
      <c r="H203" s="35"/>
      <c r="I203" s="155"/>
      <c r="J203" s="33"/>
      <c r="K203" s="410"/>
      <c r="L203" s="33"/>
      <c r="M203" s="20"/>
      <c r="N203" s="12"/>
    </row>
    <row r="204" spans="1:18" s="38" customFormat="1" ht="25" customHeight="1">
      <c r="A204" s="30"/>
      <c r="B204" s="988"/>
      <c r="C204" s="988"/>
      <c r="D204" s="988"/>
      <c r="E204" s="988"/>
      <c r="F204" s="988"/>
      <c r="G204" s="988"/>
      <c r="H204" s="35"/>
      <c r="I204" s="155"/>
      <c r="J204" s="33"/>
      <c r="K204" s="410"/>
      <c r="L204" s="33"/>
      <c r="M204" s="20"/>
      <c r="N204" s="12"/>
    </row>
    <row r="205" spans="1:18" s="38" customFormat="1" ht="25" customHeight="1">
      <c r="A205" s="30"/>
      <c r="B205" s="989" t="s">
        <v>237</v>
      </c>
      <c r="C205" s="989"/>
      <c r="D205" s="989"/>
      <c r="E205" s="989"/>
      <c r="F205" s="989"/>
      <c r="G205" s="33"/>
      <c r="H205" s="35"/>
      <c r="I205" s="155"/>
      <c r="J205" s="33"/>
      <c r="K205" s="410"/>
      <c r="L205" s="334"/>
      <c r="M205" s="20"/>
      <c r="N205" s="12"/>
    </row>
    <row r="206" spans="1:18" s="38" customFormat="1" ht="25" customHeight="1">
      <c r="A206" s="30"/>
      <c r="B206" s="31"/>
      <c r="C206" s="32"/>
      <c r="D206" s="32"/>
      <c r="E206" s="32"/>
      <c r="F206" s="32"/>
      <c r="G206" s="33"/>
      <c r="H206" s="35"/>
      <c r="I206" s="155"/>
      <c r="J206" s="33"/>
      <c r="K206" s="410"/>
      <c r="L206" s="334"/>
      <c r="M206" s="20"/>
      <c r="N206" s="12"/>
    </row>
    <row r="207" spans="1:18" s="38" customFormat="1" ht="25" customHeight="1">
      <c r="A207" s="30"/>
      <c r="B207" s="25" t="s">
        <v>278</v>
      </c>
      <c r="C207" s="32"/>
      <c r="D207" s="32"/>
      <c r="E207" s="32"/>
      <c r="F207" s="32"/>
      <c r="G207" s="33"/>
      <c r="H207" s="35"/>
      <c r="I207" s="155"/>
      <c r="J207" s="33"/>
      <c r="K207" s="410"/>
      <c r="L207" s="334"/>
      <c r="M207" s="20"/>
      <c r="N207" s="12"/>
    </row>
    <row r="208" spans="1:18" s="38" customFormat="1" ht="25" customHeight="1">
      <c r="A208" s="30"/>
      <c r="B208" s="27" t="s">
        <v>190</v>
      </c>
      <c r="C208" s="32"/>
      <c r="D208" s="32"/>
      <c r="E208" s="32"/>
      <c r="F208" s="32"/>
      <c r="G208" s="33"/>
      <c r="H208" s="35"/>
      <c r="I208" s="33"/>
      <c r="J208" s="37"/>
      <c r="K208" s="410"/>
      <c r="L208" s="334"/>
      <c r="M208" s="20"/>
      <c r="N208" s="12"/>
    </row>
    <row r="209" spans="1:20" s="38" customFormat="1" ht="25" customHeight="1">
      <c r="A209" s="30"/>
      <c r="B209" s="28" t="s">
        <v>3</v>
      </c>
      <c r="C209" s="335"/>
      <c r="D209" s="335"/>
      <c r="E209" s="335"/>
      <c r="F209" s="335"/>
      <c r="G209" s="334"/>
      <c r="H209" s="336"/>
      <c r="I209" s="334"/>
      <c r="J209" s="337"/>
      <c r="K209" s="451"/>
      <c r="L209" s="334"/>
      <c r="M209" s="20"/>
      <c r="N209" s="12"/>
    </row>
    <row r="210" spans="1:20" s="150" customFormat="1" ht="25" customHeight="1">
      <c r="A210" s="339"/>
      <c r="B210" s="333"/>
      <c r="C210" s="340"/>
      <c r="D210" s="340"/>
      <c r="E210" s="340"/>
      <c r="F210" s="340"/>
      <c r="G210" s="334"/>
      <c r="H210" s="336"/>
      <c r="I210" s="334"/>
      <c r="J210" s="337"/>
      <c r="K210" s="451"/>
      <c r="L210" s="341"/>
      <c r="M210" s="20"/>
      <c r="N210" s="12"/>
      <c r="O210" s="182"/>
      <c r="P210" s="182"/>
      <c r="Q210" s="182"/>
      <c r="R210" s="182"/>
      <c r="S210" s="182"/>
      <c r="T210" s="182"/>
    </row>
    <row r="211" spans="1:20" ht="25" customHeight="1">
      <c r="A211" s="15"/>
      <c r="B211" s="343" t="s">
        <v>279</v>
      </c>
      <c r="C211" s="344"/>
      <c r="D211" s="345"/>
      <c r="E211" s="344"/>
      <c r="F211" s="346"/>
      <c r="G211" s="346"/>
      <c r="H211" s="346"/>
      <c r="I211" s="344"/>
      <c r="J211" s="346" t="s">
        <v>277</v>
      </c>
      <c r="K211" s="452"/>
      <c r="L211" s="348"/>
      <c r="M211" s="20"/>
      <c r="N211" s="12"/>
    </row>
    <row r="212" spans="1:20" ht="25" customHeight="1">
      <c r="A212" s="15"/>
      <c r="B212" s="349" t="s">
        <v>181</v>
      </c>
      <c r="C212" s="350"/>
      <c r="D212" s="351"/>
      <c r="E212" s="350"/>
      <c r="F212" s="350"/>
      <c r="G212" s="352"/>
      <c r="H212" s="353"/>
      <c r="I212" s="351"/>
      <c r="J212" s="453">
        <f>K72+K94+K84+K55</f>
        <v>0</v>
      </c>
      <c r="K212" s="423"/>
      <c r="L212" s="17"/>
      <c r="M212" s="20"/>
      <c r="N212" s="12"/>
    </row>
    <row r="213" spans="1:20" ht="25" customHeight="1">
      <c r="A213" s="15"/>
      <c r="B213" s="355" t="s">
        <v>182</v>
      </c>
      <c r="C213" s="356" t="str">
        <f>K106&amp;" TB - Storage"&amp;"     /     "&amp;K105&amp;" TB - Archive"</f>
        <v>0 TB - Storage     /     0 TB - Archive</v>
      </c>
      <c r="D213" s="357"/>
      <c r="E213" s="357"/>
      <c r="F213" s="358"/>
      <c r="G213" s="359"/>
      <c r="H213" s="359"/>
      <c r="I213" s="360"/>
      <c r="J213" s="454">
        <f>K107</f>
        <v>0</v>
      </c>
      <c r="K213" s="423"/>
      <c r="L213" s="17"/>
      <c r="M213" s="20"/>
      <c r="N213" s="12"/>
    </row>
    <row r="214" spans="1:20" ht="25" customHeight="1">
      <c r="A214" s="15"/>
      <c r="B214" s="355" t="s">
        <v>183</v>
      </c>
      <c r="C214" s="362"/>
      <c r="D214" s="363"/>
      <c r="E214" s="364"/>
      <c r="F214" s="358"/>
      <c r="G214" s="359"/>
      <c r="H214" s="359"/>
      <c r="I214" s="360"/>
      <c r="J214" s="454">
        <f>K121</f>
        <v>0</v>
      </c>
      <c r="K214" s="423"/>
      <c r="L214" s="17"/>
      <c r="M214" s="20"/>
      <c r="N214" s="12"/>
    </row>
    <row r="215" spans="1:20" s="371" customFormat="1" ht="25" customHeight="1">
      <c r="A215" s="365"/>
      <c r="B215" s="455" t="s">
        <v>27</v>
      </c>
      <c r="C215" s="456"/>
      <c r="D215" s="456"/>
      <c r="E215" s="456"/>
      <c r="F215" s="456"/>
      <c r="G215" s="456"/>
      <c r="H215" s="456"/>
      <c r="I215" s="456"/>
      <c r="J215" s="457">
        <f>SUM(J212:J214)</f>
        <v>0</v>
      </c>
      <c r="K215" s="458"/>
      <c r="L215" s="370"/>
      <c r="M215" s="20"/>
      <c r="N215" s="12"/>
    </row>
    <row r="216" spans="1:20" ht="25" customHeight="1">
      <c r="A216" s="15"/>
      <c r="B216" s="372"/>
      <c r="C216" s="373"/>
      <c r="D216" s="373"/>
      <c r="E216" s="373"/>
      <c r="F216" s="374"/>
      <c r="G216" s="375"/>
      <c r="H216" s="375"/>
      <c r="I216" s="376"/>
      <c r="J216" s="376"/>
      <c r="K216" s="459"/>
      <c r="L216" s="17"/>
      <c r="M216" s="20"/>
      <c r="N216" s="12"/>
    </row>
    <row r="217" spans="1:20" ht="25" customHeight="1">
      <c r="A217" s="15"/>
      <c r="B217" s="24"/>
      <c r="C217" s="191"/>
      <c r="D217" s="378"/>
      <c r="E217" s="282"/>
      <c r="F217" s="301"/>
      <c r="G217" s="379"/>
      <c r="H217" s="191"/>
      <c r="I217" s="380"/>
      <c r="J217" s="381"/>
      <c r="K217" s="423"/>
      <c r="L217" s="17"/>
      <c r="M217" s="20"/>
      <c r="N217" s="12"/>
    </row>
    <row r="218" spans="1:20" ht="25" customHeight="1">
      <c r="A218" s="382"/>
      <c r="B218" s="383"/>
      <c r="C218" s="229"/>
      <c r="D218" s="384"/>
      <c r="E218" s="385"/>
      <c r="F218" s="386"/>
      <c r="G218" s="387"/>
      <c r="H218" s="229"/>
      <c r="I218" s="388"/>
      <c r="J218" s="389"/>
      <c r="K218" s="433"/>
      <c r="L218" s="390"/>
      <c r="M218" s="20"/>
      <c r="N218" s="12"/>
    </row>
    <row r="219" spans="1:20" s="401" customFormat="1" ht="25" customHeight="1">
      <c r="A219" s="391"/>
      <c r="B219" s="392"/>
      <c r="C219" s="393"/>
      <c r="D219" s="394"/>
      <c r="E219" s="395"/>
      <c r="F219" s="396"/>
      <c r="G219" s="397"/>
      <c r="H219" s="393"/>
      <c r="I219" s="398"/>
      <c r="J219" s="399"/>
      <c r="K219" s="460"/>
      <c r="N219" s="12"/>
    </row>
    <row r="220" spans="1:20" s="401" customFormat="1" ht="25" customHeight="1">
      <c r="A220" s="391"/>
      <c r="B220" s="402" t="s">
        <v>280</v>
      </c>
      <c r="C220" s="393"/>
      <c r="D220" s="393"/>
      <c r="E220" s="393"/>
      <c r="F220" s="403"/>
      <c r="G220" s="404"/>
      <c r="H220" s="405"/>
      <c r="I220" s="405"/>
      <c r="J220" s="405"/>
      <c r="K220" s="461"/>
      <c r="L220" s="399"/>
      <c r="M220" s="399"/>
      <c r="N220" s="12"/>
    </row>
    <row r="221" spans="1:20" s="401" customFormat="1" ht="25" customHeight="1">
      <c r="A221" s="391"/>
      <c r="B221" s="402" t="s">
        <v>281</v>
      </c>
      <c r="C221" s="393"/>
      <c r="D221" s="393"/>
      <c r="E221" s="393"/>
      <c r="F221" s="403"/>
      <c r="G221" s="404"/>
      <c r="H221" s="405"/>
      <c r="I221" s="405"/>
      <c r="J221" s="405"/>
      <c r="K221" s="461"/>
      <c r="L221" s="399"/>
      <c r="M221" s="399"/>
      <c r="N221" s="12"/>
    </row>
    <row r="222" spans="1:20" s="401" customFormat="1" ht="25" customHeight="1">
      <c r="A222" s="391"/>
      <c r="B222" s="402" t="s">
        <v>282</v>
      </c>
      <c r="C222" s="393"/>
      <c r="D222" s="393"/>
      <c r="E222" s="393"/>
      <c r="F222" s="403"/>
      <c r="G222" s="404"/>
      <c r="H222" s="405"/>
      <c r="I222" s="405"/>
      <c r="J222" s="405"/>
      <c r="K222" s="461"/>
      <c r="L222" s="399"/>
      <c r="M222" s="399"/>
      <c r="N222" s="12"/>
    </row>
    <row r="223" spans="1:20" s="401" customFormat="1" ht="25" customHeight="1">
      <c r="A223" s="391"/>
      <c r="B223" s="402" t="s">
        <v>283</v>
      </c>
      <c r="C223" s="393"/>
      <c r="D223" s="393"/>
      <c r="E223" s="393"/>
      <c r="F223" s="403"/>
      <c r="G223" s="404"/>
      <c r="H223" s="405"/>
      <c r="I223" s="405"/>
      <c r="J223" s="405"/>
      <c r="K223" s="461"/>
      <c r="L223" s="399"/>
      <c r="M223" s="399"/>
      <c r="N223" s="12"/>
    </row>
    <row r="224" spans="1:20" s="401" customFormat="1" ht="25" customHeight="1">
      <c r="A224" s="391"/>
      <c r="B224" s="402"/>
      <c r="C224" s="393"/>
      <c r="D224" s="393"/>
      <c r="E224" s="393"/>
      <c r="F224" s="403"/>
      <c r="G224" s="404"/>
      <c r="H224" s="405"/>
      <c r="I224" s="405"/>
      <c r="J224" s="405"/>
      <c r="K224" s="461"/>
      <c r="L224" s="399"/>
      <c r="M224" s="399"/>
      <c r="N224" s="12"/>
    </row>
    <row r="225" spans="1:23" s="401" customFormat="1" ht="25" customHeight="1">
      <c r="A225" s="391"/>
      <c r="B225" s="392"/>
      <c r="C225" s="393"/>
      <c r="D225" s="393"/>
      <c r="E225" s="393"/>
      <c r="F225" s="403"/>
      <c r="G225" s="404"/>
      <c r="H225" s="405"/>
      <c r="I225" s="405"/>
      <c r="J225" s="405"/>
      <c r="K225" s="461"/>
      <c r="L225" s="399"/>
      <c r="M225" s="399"/>
      <c r="N225" s="12"/>
    </row>
    <row r="226" spans="1:23" s="401" customFormat="1" ht="25" customHeight="1">
      <c r="A226" s="391"/>
      <c r="B226" s="392"/>
      <c r="C226" s="393"/>
      <c r="D226" s="393"/>
      <c r="E226" s="393"/>
      <c r="F226" s="403"/>
      <c r="G226" s="404"/>
      <c r="H226" s="405"/>
      <c r="I226" s="405"/>
      <c r="J226" s="405"/>
      <c r="K226" s="461"/>
      <c r="L226" s="399"/>
      <c r="M226" s="399"/>
      <c r="N226" s="12"/>
    </row>
    <row r="227" spans="1:23" s="401" customFormat="1" ht="25" customHeight="1">
      <c r="A227" s="391"/>
      <c r="B227" s="392"/>
      <c r="C227" s="393"/>
      <c r="D227" s="393"/>
      <c r="E227" s="393"/>
      <c r="F227" s="403"/>
      <c r="G227" s="404"/>
      <c r="H227" s="405"/>
      <c r="I227" s="405"/>
      <c r="J227" s="405"/>
      <c r="K227" s="461"/>
      <c r="L227" s="399"/>
      <c r="M227" s="399"/>
      <c r="N227" s="12"/>
    </row>
    <row r="228" spans="1:23" s="401" customFormat="1" ht="25" customHeight="1">
      <c r="A228" s="391"/>
      <c r="B228" s="392"/>
      <c r="C228" s="393"/>
      <c r="D228" s="393"/>
      <c r="E228" s="393"/>
      <c r="F228" s="403"/>
      <c r="G228" s="404"/>
      <c r="H228" s="405"/>
      <c r="I228" s="405"/>
      <c r="J228" s="405"/>
      <c r="K228" s="461"/>
      <c r="L228" s="399"/>
      <c r="M228" s="399"/>
      <c r="N228" s="12"/>
    </row>
    <row r="229" spans="1:23" s="406" customFormat="1" ht="25" customHeight="1">
      <c r="A229" s="391"/>
      <c r="B229" s="392"/>
      <c r="C229" s="393"/>
      <c r="D229" s="393"/>
      <c r="E229" s="393"/>
      <c r="F229" s="403"/>
      <c r="G229" s="404"/>
      <c r="H229" s="405"/>
      <c r="I229" s="405"/>
      <c r="J229" s="405"/>
      <c r="K229" s="461"/>
      <c r="L229" s="399"/>
      <c r="M229" s="399"/>
      <c r="N229" s="12"/>
      <c r="O229" s="401"/>
      <c r="P229" s="401"/>
      <c r="Q229" s="401"/>
      <c r="R229" s="401"/>
      <c r="S229" s="401"/>
      <c r="T229" s="401"/>
      <c r="U229" s="401"/>
      <c r="V229" s="401"/>
      <c r="W229" s="401"/>
    </row>
    <row r="230" spans="1:23" s="401" customFormat="1" ht="25" customHeight="1">
      <c r="A230" s="391"/>
      <c r="B230" s="392"/>
      <c r="C230" s="393"/>
      <c r="D230" s="393"/>
      <c r="E230" s="393"/>
      <c r="F230" s="403"/>
      <c r="G230" s="404"/>
      <c r="H230" s="405"/>
      <c r="I230" s="405"/>
      <c r="J230" s="405"/>
      <c r="K230" s="461"/>
      <c r="L230" s="399"/>
      <c r="M230" s="399"/>
      <c r="N230" s="12"/>
    </row>
    <row r="231" spans="1:23" s="401" customFormat="1" ht="25" customHeight="1">
      <c r="A231" s="391"/>
      <c r="B231" s="392"/>
      <c r="C231" s="393"/>
      <c r="D231" s="393"/>
      <c r="E231" s="393"/>
      <c r="F231" s="403"/>
      <c r="G231" s="404"/>
      <c r="H231" s="405"/>
      <c r="I231" s="405"/>
      <c r="J231" s="405"/>
      <c r="K231" s="461"/>
      <c r="L231" s="399"/>
      <c r="M231" s="399"/>
      <c r="N231" s="12"/>
    </row>
    <row r="232" spans="1:23" s="401" customFormat="1" ht="25" customHeight="1">
      <c r="A232" s="391"/>
      <c r="B232" s="392"/>
      <c r="C232" s="393"/>
      <c r="D232" s="393"/>
      <c r="E232" s="393"/>
      <c r="F232" s="403"/>
      <c r="G232" s="404"/>
      <c r="H232" s="405"/>
      <c r="I232" s="405"/>
      <c r="J232" s="405"/>
      <c r="K232" s="461"/>
      <c r="L232" s="399"/>
      <c r="M232" s="399"/>
      <c r="N232" s="12"/>
    </row>
    <row r="233" spans="1:23" s="401" customFormat="1" ht="25" customHeight="1">
      <c r="A233" s="391"/>
      <c r="B233" s="392"/>
      <c r="C233" s="393"/>
      <c r="D233" s="393"/>
      <c r="E233" s="393"/>
      <c r="F233" s="403"/>
      <c r="G233" s="404"/>
      <c r="H233" s="405"/>
      <c r="I233" s="405"/>
      <c r="J233" s="405"/>
      <c r="K233" s="461"/>
      <c r="L233" s="399"/>
      <c r="M233" s="399"/>
      <c r="N233" s="12"/>
    </row>
    <row r="234" spans="1:23" s="401" customFormat="1" ht="25" customHeight="1">
      <c r="A234" s="391"/>
      <c r="B234" s="392"/>
      <c r="C234" s="393"/>
      <c r="D234" s="393"/>
      <c r="E234" s="393"/>
      <c r="F234" s="403"/>
      <c r="G234" s="404"/>
      <c r="H234" s="405"/>
      <c r="I234" s="405"/>
      <c r="J234" s="405"/>
      <c r="K234" s="461"/>
      <c r="L234" s="399"/>
      <c r="M234" s="399"/>
      <c r="N234" s="12"/>
    </row>
    <row r="235" spans="1:23" s="401" customFormat="1" ht="25" customHeight="1">
      <c r="A235" s="391"/>
      <c r="B235" s="392"/>
      <c r="C235" s="393"/>
      <c r="D235" s="393"/>
      <c r="E235" s="393"/>
      <c r="F235" s="403"/>
      <c r="G235" s="404"/>
      <c r="H235" s="405"/>
      <c r="I235" s="405"/>
      <c r="J235" s="405"/>
      <c r="K235" s="461"/>
      <c r="L235" s="399"/>
      <c r="M235" s="399"/>
      <c r="N235" s="12"/>
    </row>
    <row r="236" spans="1:23" s="401" customFormat="1" ht="25" customHeight="1">
      <c r="A236" s="391"/>
      <c r="B236" s="392"/>
      <c r="C236" s="393"/>
      <c r="D236" s="393"/>
      <c r="E236" s="393"/>
      <c r="F236" s="403"/>
      <c r="G236" s="404"/>
      <c r="H236" s="405"/>
      <c r="I236" s="405"/>
      <c r="J236" s="405"/>
      <c r="K236" s="461"/>
      <c r="L236" s="399"/>
      <c r="M236" s="399"/>
      <c r="N236" s="12"/>
    </row>
    <row r="237" spans="1:23" s="401" customFormat="1" ht="25" customHeight="1">
      <c r="A237" s="391"/>
      <c r="B237" s="392"/>
      <c r="C237" s="393"/>
      <c r="D237" s="393"/>
      <c r="E237" s="393"/>
      <c r="F237" s="403"/>
      <c r="G237" s="404"/>
      <c r="H237" s="405"/>
      <c r="I237" s="405"/>
      <c r="J237" s="405"/>
      <c r="K237" s="461"/>
      <c r="L237" s="399"/>
      <c r="M237" s="399"/>
      <c r="N237" s="12"/>
    </row>
    <row r="238" spans="1:23" s="401" customFormat="1" ht="25" customHeight="1">
      <c r="A238" s="391"/>
      <c r="B238" s="392"/>
      <c r="C238" s="393"/>
      <c r="D238" s="393"/>
      <c r="E238" s="393"/>
      <c r="F238" s="403"/>
      <c r="G238" s="404"/>
      <c r="H238" s="405"/>
      <c r="I238" s="405"/>
      <c r="J238" s="405"/>
      <c r="K238" s="461"/>
      <c r="L238" s="399"/>
      <c r="M238" s="399"/>
      <c r="N238" s="12"/>
    </row>
    <row r="239" spans="1:23" s="401" customFormat="1" ht="25" customHeight="1">
      <c r="A239" s="391"/>
      <c r="B239" s="392"/>
      <c r="C239" s="393"/>
      <c r="D239" s="393"/>
      <c r="E239" s="393"/>
      <c r="F239" s="403"/>
      <c r="G239" s="404"/>
      <c r="H239" s="405"/>
      <c r="I239" s="405"/>
      <c r="J239" s="405"/>
      <c r="K239" s="461"/>
      <c r="L239" s="399"/>
      <c r="M239" s="399"/>
      <c r="N239" s="12"/>
    </row>
    <row r="240" spans="1:23" s="401" customFormat="1" ht="25" customHeight="1">
      <c r="A240" s="391"/>
      <c r="B240" s="392"/>
      <c r="C240" s="393"/>
      <c r="D240" s="393"/>
      <c r="E240" s="393"/>
      <c r="F240" s="403"/>
      <c r="G240" s="404"/>
      <c r="H240" s="405"/>
      <c r="I240" s="405"/>
      <c r="J240" s="405"/>
      <c r="K240" s="461"/>
      <c r="L240" s="399"/>
      <c r="M240" s="399"/>
      <c r="N240" s="12"/>
    </row>
    <row r="241" spans="1:14" s="401" customFormat="1" ht="25" customHeight="1">
      <c r="A241" s="391"/>
      <c r="B241" s="392"/>
      <c r="C241" s="393"/>
      <c r="D241" s="393"/>
      <c r="E241" s="393"/>
      <c r="F241" s="403"/>
      <c r="G241" s="404"/>
      <c r="H241" s="405"/>
      <c r="I241" s="405"/>
      <c r="J241" s="405"/>
      <c r="K241" s="461"/>
      <c r="L241" s="399"/>
      <c r="M241" s="399"/>
      <c r="N241" s="12"/>
    </row>
    <row r="242" spans="1:14" s="401" customFormat="1" ht="25" customHeight="1">
      <c r="A242" s="391"/>
      <c r="B242" s="392"/>
      <c r="C242" s="393"/>
      <c r="D242" s="393"/>
      <c r="E242" s="393"/>
      <c r="F242" s="403"/>
      <c r="G242" s="404"/>
      <c r="H242" s="405"/>
      <c r="I242" s="405"/>
      <c r="J242" s="405"/>
      <c r="K242" s="461"/>
      <c r="L242" s="399"/>
      <c r="M242" s="399"/>
      <c r="N242" s="12"/>
    </row>
    <row r="243" spans="1:14" s="401" customFormat="1" ht="25" customHeight="1">
      <c r="A243" s="391"/>
      <c r="B243" s="392"/>
      <c r="C243" s="393"/>
      <c r="D243" s="393"/>
      <c r="E243" s="393"/>
      <c r="F243" s="403"/>
      <c r="G243" s="404"/>
      <c r="H243" s="405"/>
      <c r="I243" s="405"/>
      <c r="J243" s="405"/>
      <c r="K243" s="461"/>
      <c r="L243" s="399"/>
      <c r="M243" s="399"/>
      <c r="N243" s="12"/>
    </row>
    <row r="244" spans="1:14" s="401" customFormat="1" ht="25" customHeight="1">
      <c r="A244" s="391"/>
      <c r="B244" s="392"/>
      <c r="C244" s="393"/>
      <c r="D244" s="393"/>
      <c r="E244" s="393"/>
      <c r="F244" s="403"/>
      <c r="G244" s="404"/>
      <c r="H244" s="405"/>
      <c r="I244" s="405"/>
      <c r="J244" s="405"/>
      <c r="K244" s="461"/>
      <c r="L244" s="399"/>
      <c r="M244" s="399"/>
      <c r="N244" s="12"/>
    </row>
    <row r="245" spans="1:14" s="401" customFormat="1" ht="25" customHeight="1">
      <c r="A245" s="391"/>
      <c r="B245" s="392"/>
      <c r="C245" s="393"/>
      <c r="D245" s="393"/>
      <c r="E245" s="393"/>
      <c r="F245" s="403"/>
      <c r="G245" s="404"/>
      <c r="H245" s="405"/>
      <c r="I245" s="405"/>
      <c r="J245" s="405"/>
      <c r="K245" s="461"/>
      <c r="L245" s="399"/>
      <c r="M245" s="399"/>
      <c r="N245" s="12"/>
    </row>
    <row r="246" spans="1:14" s="401" customFormat="1" ht="25" customHeight="1">
      <c r="A246" s="391"/>
      <c r="B246" s="392"/>
      <c r="C246" s="393"/>
      <c r="D246" s="393"/>
      <c r="E246" s="393"/>
      <c r="F246" s="403"/>
      <c r="G246" s="404"/>
      <c r="H246" s="405"/>
      <c r="I246" s="405"/>
      <c r="J246" s="405"/>
      <c r="K246" s="461"/>
      <c r="L246" s="399"/>
      <c r="M246" s="399"/>
      <c r="N246" s="12"/>
    </row>
    <row r="247" spans="1:14" s="401" customFormat="1" ht="25" customHeight="1">
      <c r="A247" s="391"/>
      <c r="B247" s="392"/>
      <c r="C247" s="393"/>
      <c r="D247" s="393"/>
      <c r="E247" s="393"/>
      <c r="F247" s="403"/>
      <c r="G247" s="404"/>
      <c r="H247" s="405"/>
      <c r="I247" s="405"/>
      <c r="J247" s="405"/>
      <c r="K247" s="461"/>
      <c r="L247" s="399"/>
      <c r="M247" s="399"/>
      <c r="N247" s="12"/>
    </row>
    <row r="248" spans="1:14" s="401" customFormat="1" ht="25" customHeight="1">
      <c r="A248" s="391"/>
      <c r="B248" s="392"/>
      <c r="C248" s="393"/>
      <c r="D248" s="393"/>
      <c r="E248" s="393"/>
      <c r="F248" s="403"/>
      <c r="G248" s="404"/>
      <c r="H248" s="405"/>
      <c r="I248" s="405"/>
      <c r="J248" s="405"/>
      <c r="K248" s="461"/>
      <c r="L248" s="399"/>
      <c r="M248" s="399"/>
      <c r="N248" s="12"/>
    </row>
    <row r="249" spans="1:14" s="401" customFormat="1" ht="25" customHeight="1">
      <c r="A249" s="391"/>
      <c r="B249" s="392"/>
      <c r="K249" s="461"/>
      <c r="M249" s="407"/>
      <c r="N249" s="12"/>
    </row>
    <row r="250" spans="1:14" s="401" customFormat="1" ht="25" customHeight="1">
      <c r="A250" s="391"/>
      <c r="B250" s="392"/>
      <c r="K250" s="461"/>
      <c r="M250" s="407"/>
      <c r="N250" s="12"/>
    </row>
    <row r="251" spans="1:14" s="401" customFormat="1" ht="25" customHeight="1">
      <c r="A251" s="391"/>
      <c r="B251" s="392"/>
      <c r="K251" s="461"/>
      <c r="M251" s="407"/>
      <c r="N251" s="12"/>
    </row>
    <row r="252" spans="1:14" s="401" customFormat="1" ht="25" customHeight="1">
      <c r="A252" s="391"/>
      <c r="B252" s="392"/>
      <c r="K252" s="461"/>
      <c r="M252" s="407"/>
      <c r="N252" s="12"/>
    </row>
    <row r="253" spans="1:14" s="401" customFormat="1" ht="25" customHeight="1">
      <c r="A253" s="391"/>
      <c r="B253" s="392"/>
      <c r="K253" s="461"/>
      <c r="M253" s="407"/>
      <c r="N253" s="12"/>
    </row>
    <row r="254" spans="1:14" s="401" customFormat="1" ht="25" customHeight="1">
      <c r="A254" s="391"/>
      <c r="B254" s="392"/>
      <c r="K254" s="461"/>
      <c r="M254" s="407"/>
      <c r="N254" s="12"/>
    </row>
    <row r="255" spans="1:14" s="401" customFormat="1" ht="25" customHeight="1">
      <c r="A255" s="391"/>
      <c r="B255" s="392"/>
      <c r="K255" s="461"/>
      <c r="M255" s="407"/>
      <c r="N255" s="12"/>
    </row>
    <row r="256" spans="1:14" s="401" customFormat="1" ht="25" customHeight="1">
      <c r="A256" s="391"/>
      <c r="B256" s="392"/>
      <c r="K256" s="461"/>
      <c r="M256" s="407"/>
      <c r="N256" s="12"/>
    </row>
    <row r="257" spans="1:14" s="401" customFormat="1" ht="25" customHeight="1">
      <c r="A257" s="391"/>
      <c r="B257" s="392"/>
      <c r="K257" s="461"/>
      <c r="M257" s="407"/>
      <c r="N257" s="12"/>
    </row>
    <row r="258" spans="1:14" s="401" customFormat="1" ht="25" customHeight="1">
      <c r="A258" s="391"/>
      <c r="B258" s="392"/>
      <c r="K258" s="461"/>
      <c r="M258" s="407"/>
      <c r="N258" s="12"/>
    </row>
    <row r="259" spans="1:14" s="401" customFormat="1" ht="25" customHeight="1">
      <c r="A259" s="391"/>
      <c r="B259" s="392"/>
      <c r="K259" s="461"/>
      <c r="M259" s="407"/>
      <c r="N259" s="12"/>
    </row>
    <row r="260" spans="1:14" s="401" customFormat="1" ht="25" customHeight="1">
      <c r="A260" s="391"/>
      <c r="B260" s="392"/>
      <c r="K260" s="461"/>
      <c r="M260" s="407"/>
      <c r="N260" s="12"/>
    </row>
    <row r="261" spans="1:14" s="401" customFormat="1" ht="25" customHeight="1">
      <c r="A261" s="391"/>
      <c r="B261" s="392"/>
      <c r="K261" s="461"/>
      <c r="M261" s="407"/>
      <c r="N261" s="12"/>
    </row>
    <row r="262" spans="1:14" s="401" customFormat="1" ht="25" customHeight="1">
      <c r="A262" s="391"/>
      <c r="B262" s="392"/>
      <c r="K262" s="461"/>
      <c r="M262" s="407"/>
      <c r="N262" s="12"/>
    </row>
    <row r="263" spans="1:14" s="401" customFormat="1" ht="25" customHeight="1">
      <c r="A263" s="391"/>
      <c r="B263" s="392"/>
      <c r="K263" s="461"/>
      <c r="M263" s="407"/>
      <c r="N263" s="12"/>
    </row>
    <row r="264" spans="1:14" s="401" customFormat="1" ht="25" customHeight="1">
      <c r="A264" s="391"/>
      <c r="B264" s="392"/>
      <c r="K264" s="461"/>
      <c r="M264" s="407"/>
      <c r="N264" s="12"/>
    </row>
    <row r="265" spans="1:14" s="401" customFormat="1" ht="25" customHeight="1">
      <c r="A265" s="391"/>
      <c r="B265" s="392"/>
      <c r="K265" s="461"/>
      <c r="M265" s="407"/>
      <c r="N265" s="12"/>
    </row>
    <row r="266" spans="1:14" s="401" customFormat="1" ht="25" customHeight="1">
      <c r="A266" s="391"/>
      <c r="B266" s="392"/>
      <c r="K266" s="461"/>
      <c r="M266" s="407"/>
      <c r="N266" s="12"/>
    </row>
    <row r="267" spans="1:14" s="401" customFormat="1" ht="25" customHeight="1">
      <c r="A267" s="391"/>
      <c r="B267" s="392"/>
      <c r="K267" s="461"/>
      <c r="M267" s="407"/>
      <c r="N267" s="12"/>
    </row>
    <row r="268" spans="1:14" s="401" customFormat="1" ht="25" customHeight="1">
      <c r="A268" s="391"/>
      <c r="B268" s="392"/>
      <c r="K268" s="461"/>
      <c r="M268" s="407"/>
      <c r="N268" s="12"/>
    </row>
    <row r="269" spans="1:14" s="401" customFormat="1" ht="25" customHeight="1">
      <c r="A269" s="391"/>
      <c r="B269" s="392"/>
      <c r="K269" s="461"/>
      <c r="M269" s="407"/>
      <c r="N269" s="12"/>
    </row>
    <row r="270" spans="1:14" s="401" customFormat="1" ht="25" customHeight="1">
      <c r="A270" s="391"/>
      <c r="B270" s="392"/>
      <c r="K270" s="461"/>
      <c r="M270" s="407"/>
      <c r="N270" s="12"/>
    </row>
    <row r="271" spans="1:14" s="401" customFormat="1" ht="25" customHeight="1">
      <c r="A271" s="391"/>
      <c r="B271" s="392"/>
      <c r="K271" s="461"/>
      <c r="M271" s="407"/>
      <c r="N271" s="12"/>
    </row>
    <row r="272" spans="1:14" s="401" customFormat="1" ht="25" customHeight="1">
      <c r="A272" s="391"/>
      <c r="B272" s="392"/>
      <c r="K272" s="461"/>
      <c r="M272" s="407"/>
      <c r="N272" s="392"/>
    </row>
    <row r="273" spans="1:14" s="401" customFormat="1" ht="25" customHeight="1">
      <c r="A273" s="391"/>
      <c r="B273" s="392"/>
      <c r="K273" s="461"/>
      <c r="M273" s="407"/>
      <c r="N273" s="392"/>
    </row>
    <row r="274" spans="1:14" s="401" customFormat="1" ht="25" customHeight="1">
      <c r="A274" s="391"/>
      <c r="B274" s="392"/>
      <c r="K274" s="461"/>
      <c r="M274" s="407"/>
      <c r="N274" s="392"/>
    </row>
    <row r="275" spans="1:14" s="401" customFormat="1" ht="25" customHeight="1">
      <c r="A275" s="391"/>
      <c r="B275" s="392"/>
      <c r="K275" s="461"/>
      <c r="M275" s="407"/>
      <c r="N275" s="392"/>
    </row>
    <row r="276" spans="1:14" s="401" customFormat="1" ht="25" customHeight="1">
      <c r="A276" s="391"/>
      <c r="B276" s="392"/>
      <c r="K276" s="461"/>
      <c r="M276" s="407"/>
      <c r="N276" s="392"/>
    </row>
    <row r="277" spans="1:14" s="401" customFormat="1" ht="25" customHeight="1">
      <c r="A277" s="391"/>
      <c r="B277" s="392"/>
      <c r="K277" s="461"/>
      <c r="M277" s="407"/>
      <c r="N277" s="392"/>
    </row>
    <row r="278" spans="1:14" s="401" customFormat="1" ht="25" customHeight="1">
      <c r="A278" s="391"/>
      <c r="B278" s="392"/>
      <c r="K278" s="461"/>
      <c r="M278" s="407"/>
      <c r="N278" s="392"/>
    </row>
    <row r="279" spans="1:14" s="401" customFormat="1" ht="25" customHeight="1">
      <c r="A279" s="391"/>
      <c r="B279" s="392"/>
      <c r="K279" s="461"/>
      <c r="M279" s="407"/>
      <c r="N279" s="392"/>
    </row>
    <row r="280" spans="1:14" s="401" customFormat="1" ht="25" customHeight="1">
      <c r="A280" s="391"/>
      <c r="B280" s="392"/>
      <c r="K280" s="461"/>
      <c r="M280" s="407"/>
      <c r="N280" s="392"/>
    </row>
    <row r="281" spans="1:14" s="401" customFormat="1" ht="25" customHeight="1">
      <c r="A281" s="391"/>
      <c r="B281" s="392"/>
      <c r="K281" s="461"/>
      <c r="M281" s="407"/>
      <c r="N281" s="392"/>
    </row>
    <row r="282" spans="1:14" s="401" customFormat="1" ht="25" customHeight="1">
      <c r="A282" s="391"/>
      <c r="B282" s="392"/>
      <c r="K282" s="461"/>
      <c r="M282" s="407"/>
      <c r="N282" s="392"/>
    </row>
    <row r="283" spans="1:14" s="401" customFormat="1" ht="25" customHeight="1">
      <c r="A283" s="391"/>
      <c r="B283" s="392"/>
      <c r="K283" s="461"/>
      <c r="M283" s="407"/>
      <c r="N283" s="392"/>
    </row>
    <row r="284" spans="1:14" s="401" customFormat="1" ht="25" customHeight="1">
      <c r="A284" s="391"/>
      <c r="B284" s="392"/>
      <c r="K284" s="461"/>
      <c r="M284" s="407"/>
      <c r="N284" s="392"/>
    </row>
    <row r="285" spans="1:14" s="401" customFormat="1" ht="25" customHeight="1">
      <c r="A285" s="391"/>
      <c r="B285" s="392"/>
      <c r="K285" s="461"/>
      <c r="M285" s="407"/>
      <c r="N285" s="392"/>
    </row>
    <row r="286" spans="1:14" s="401" customFormat="1" ht="25" customHeight="1">
      <c r="A286" s="391"/>
      <c r="B286" s="392"/>
      <c r="K286" s="461"/>
      <c r="M286" s="407"/>
      <c r="N286" s="392"/>
    </row>
    <row r="287" spans="1:14" s="401" customFormat="1" ht="25" customHeight="1">
      <c r="A287" s="391"/>
      <c r="B287" s="392"/>
      <c r="K287" s="461"/>
      <c r="M287" s="407"/>
      <c r="N287" s="392"/>
    </row>
    <row r="288" spans="1:14" s="401" customFormat="1" ht="25" customHeight="1">
      <c r="A288" s="391"/>
      <c r="B288" s="392"/>
      <c r="K288" s="461"/>
      <c r="M288" s="407"/>
      <c r="N288" s="392"/>
    </row>
    <row r="289" spans="1:14" s="401" customFormat="1" ht="25" customHeight="1">
      <c r="A289" s="391"/>
      <c r="B289" s="392"/>
      <c r="K289" s="461"/>
      <c r="M289" s="407"/>
      <c r="N289" s="392"/>
    </row>
    <row r="290" spans="1:14" s="401" customFormat="1" ht="25" customHeight="1">
      <c r="A290" s="391"/>
      <c r="B290" s="392"/>
      <c r="K290" s="461"/>
      <c r="M290" s="407"/>
      <c r="N290" s="392"/>
    </row>
    <row r="291" spans="1:14" s="401" customFormat="1" ht="25" customHeight="1">
      <c r="A291" s="391"/>
      <c r="B291" s="392"/>
      <c r="K291" s="461"/>
      <c r="M291" s="407"/>
      <c r="N291" s="392"/>
    </row>
    <row r="292" spans="1:14" s="401" customFormat="1" ht="25" customHeight="1">
      <c r="A292" s="391"/>
      <c r="B292" s="392"/>
      <c r="K292" s="461"/>
      <c r="M292" s="407"/>
      <c r="N292" s="392"/>
    </row>
    <row r="293" spans="1:14" s="401" customFormat="1" ht="25" customHeight="1">
      <c r="A293" s="391"/>
      <c r="B293" s="392"/>
      <c r="K293" s="461"/>
      <c r="M293" s="407"/>
      <c r="N293" s="392"/>
    </row>
    <row r="294" spans="1:14" s="401" customFormat="1" ht="25" customHeight="1">
      <c r="A294" s="391"/>
      <c r="B294" s="392"/>
      <c r="K294" s="461"/>
      <c r="M294" s="407"/>
      <c r="N294" s="392"/>
    </row>
    <row r="295" spans="1:14" s="401" customFormat="1" ht="25" customHeight="1">
      <c r="A295" s="391"/>
      <c r="B295" s="392"/>
      <c r="K295" s="461"/>
      <c r="M295" s="407"/>
      <c r="N295" s="392"/>
    </row>
    <row r="296" spans="1:14" s="401" customFormat="1" ht="25" customHeight="1">
      <c r="A296" s="391"/>
      <c r="B296" s="392"/>
      <c r="K296" s="461"/>
      <c r="M296" s="407"/>
      <c r="N296" s="392"/>
    </row>
    <row r="297" spans="1:14" s="401" customFormat="1" ht="25" customHeight="1">
      <c r="A297" s="391"/>
      <c r="B297" s="392"/>
      <c r="K297" s="461"/>
      <c r="M297" s="407"/>
      <c r="N297" s="392"/>
    </row>
    <row r="298" spans="1:14" s="401" customFormat="1" ht="25" customHeight="1">
      <c r="A298" s="391"/>
      <c r="B298" s="392"/>
      <c r="K298" s="461"/>
      <c r="M298" s="407"/>
      <c r="N298" s="392"/>
    </row>
    <row r="299" spans="1:14" s="401" customFormat="1" ht="25" customHeight="1">
      <c r="A299" s="391"/>
      <c r="B299" s="392"/>
      <c r="K299" s="461"/>
      <c r="M299" s="407"/>
      <c r="N299" s="392"/>
    </row>
    <row r="311" spans="2:14" ht="25" customHeight="1">
      <c r="B311" s="408"/>
      <c r="C311" s="197"/>
      <c r="D311" s="170"/>
      <c r="N311" s="408"/>
    </row>
  </sheetData>
  <sheetProtection algorithmName="SHA-512" hashValue="yzHTbIcFoVMEnucK+7HrgSa6W90LSxEExwDxG2+TH7k1RkceNIfjkUaH0QUqxVDoQEVdpty56s5qoMfM126HGw==" saltValue="Q/88+nc+V73gYhG/j6RHxA==" spinCount="100000" sheet="1" selectLockedCells="1"/>
  <mergeCells count="16">
    <mergeCell ref="B168:F168"/>
    <mergeCell ref="B169:F169"/>
    <mergeCell ref="B202:G204"/>
    <mergeCell ref="B205:F205"/>
    <mergeCell ref="B125:G127"/>
    <mergeCell ref="B165:G167"/>
    <mergeCell ref="B110:G112"/>
    <mergeCell ref="B97:K99"/>
    <mergeCell ref="B4:C4"/>
    <mergeCell ref="B30:G32"/>
    <mergeCell ref="B34:F34"/>
    <mergeCell ref="B39:E39"/>
    <mergeCell ref="B77:E77"/>
    <mergeCell ref="B18:F18"/>
    <mergeCell ref="B23:E23"/>
    <mergeCell ref="B15:L17"/>
  </mergeCells>
  <conditionalFormatting sqref="I25:I26 K25:K26">
    <cfRule type="cellIs" dxfId="64" priority="1" operator="greaterThan">
      <formula>0</formula>
    </cfRule>
  </conditionalFormatting>
  <conditionalFormatting sqref="I41:I54 K41:K54 I79:I83 K79:K83 I91:I93 K91:K93 I105:I106 K105:K106 I118:I120 K118:K120 J119:J120">
    <cfRule type="cellIs" dxfId="63" priority="4" operator="greaterThan">
      <formula>0</formula>
    </cfRule>
  </conditionalFormatting>
  <conditionalFormatting sqref="I62:I71 K62:K71">
    <cfRule type="cellIs" dxfId="62" priority="3" operator="greaterThan">
      <formula>0</formula>
    </cfRule>
  </conditionalFormatting>
  <hyperlinks>
    <hyperlink ref="B10" r:id="rId1" xr:uid="{00000000-0004-0000-0100-000000000000}"/>
    <hyperlink ref="B39" location="'SEK - Safesprings tjänster 2023'!I80" display="Central blocklagring kan köpas till instanserna. Se &quot;Central blocklagring&quot; i prislistan." xr:uid="{00000000-0004-0000-0100-000001000000}"/>
    <hyperlink ref="B60" location="'SEK - Safesprings tjänster 2023'!I80" display="Central blocklagring kan köpas till instanserna. Se &quot;Central blocklagring&quot; i prislistan." xr:uid="{00000000-0004-0000-0100-000002000000}"/>
    <hyperlink ref="B77" location="'SEK - Safesprings tjänster 2023'!I80" display="Central blocklagring kan köpas till instanserna. Se &quot;Central blocklagring&quot; i prislistan." xr:uid="{00000000-0004-0000-0100-000003000000}"/>
    <hyperlink ref="B209" r:id="rId2" xr:uid="{00000000-0004-0000-0100-000006000000}"/>
    <hyperlink ref="B23" location="'SEK - Safesprings tjänster 2023'!I80" display="Central blocklagring kan köpas till instanserna. Se &quot;Central blocklagring&quot; i prislistan." xr:uid="{F000A49E-F1AC-AD44-B645-11DC08A896B4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F336"/>
  <sheetViews>
    <sheetView showGridLines="0" zoomScaleNormal="100" workbookViewId="0">
      <selection activeCell="I25" sqref="I25"/>
    </sheetView>
  </sheetViews>
  <sheetFormatPr baseColWidth="10" defaultColWidth="15" defaultRowHeight="25" customHeight="1"/>
  <cols>
    <col min="1" max="1" width="11.83203125" style="10" customWidth="1"/>
    <col min="2" max="2" width="30.83203125" style="11" customWidth="1"/>
    <col min="3" max="10" width="14.83203125" style="12" customWidth="1"/>
    <col min="11" max="11" width="14.83203125" style="131" customWidth="1"/>
    <col min="12" max="12" width="14.83203125" style="12" customWidth="1"/>
    <col min="13" max="13" width="14.83203125" style="462" customWidth="1"/>
    <col min="14" max="14" width="14.83203125" style="12" customWidth="1"/>
    <col min="15" max="16384" width="15" style="12"/>
  </cols>
  <sheetData>
    <row r="1" spans="1:26" ht="25" customHeight="1">
      <c r="A1" s="15"/>
      <c r="B1" s="16"/>
      <c r="C1" s="9"/>
      <c r="D1" s="17"/>
      <c r="E1" s="17"/>
      <c r="F1" s="17"/>
      <c r="G1" s="17"/>
      <c r="H1" s="17"/>
      <c r="I1" s="17"/>
      <c r="J1" s="17"/>
      <c r="K1" s="409"/>
      <c r="L1" s="19"/>
      <c r="M1" s="463"/>
    </row>
    <row r="2" spans="1:26" ht="25" customHeight="1">
      <c r="A2" s="15"/>
      <c r="B2" s="16"/>
      <c r="C2" s="9"/>
      <c r="D2" s="17"/>
      <c r="E2" s="17"/>
      <c r="F2" s="17"/>
      <c r="G2" s="17"/>
      <c r="H2" s="17"/>
      <c r="I2" s="17"/>
      <c r="J2" s="17"/>
      <c r="K2" s="409"/>
      <c r="L2" s="19"/>
      <c r="M2" s="463"/>
    </row>
    <row r="3" spans="1:26" ht="25" customHeight="1">
      <c r="A3" s="15"/>
      <c r="B3" s="16"/>
      <c r="C3" s="9"/>
      <c r="D3" s="17"/>
      <c r="E3" s="17"/>
      <c r="F3" s="17"/>
      <c r="G3" s="17"/>
      <c r="H3" s="17"/>
      <c r="I3" s="17"/>
      <c r="J3" s="17"/>
      <c r="K3" s="409"/>
      <c r="L3" s="19"/>
      <c r="M3" s="463"/>
    </row>
    <row r="4" spans="1:26" ht="25" customHeight="1">
      <c r="A4" s="15"/>
      <c r="B4" s="983"/>
      <c r="C4" s="983"/>
      <c r="D4" s="17"/>
      <c r="E4" s="17"/>
      <c r="F4" s="17"/>
      <c r="G4" s="17"/>
      <c r="H4" s="17"/>
      <c r="I4" s="17"/>
      <c r="J4" s="17"/>
      <c r="K4" s="409"/>
      <c r="L4" s="19"/>
      <c r="M4" s="463"/>
    </row>
    <row r="5" spans="1:26" ht="25" customHeight="1">
      <c r="A5" s="15"/>
      <c r="B5" s="21" t="s">
        <v>728</v>
      </c>
      <c r="C5" s="22"/>
      <c r="D5" s="17"/>
      <c r="E5" s="17"/>
      <c r="F5" s="17"/>
      <c r="G5" s="17"/>
      <c r="H5" s="17"/>
      <c r="I5" s="17"/>
      <c r="J5" s="17"/>
      <c r="K5" s="409"/>
      <c r="L5" s="19"/>
      <c r="M5" s="463"/>
    </row>
    <row r="6" spans="1:26" ht="25" customHeight="1">
      <c r="A6" s="15"/>
      <c r="B6" s="23"/>
      <c r="C6" s="9"/>
      <c r="D6" s="17"/>
      <c r="E6" s="17"/>
      <c r="F6" s="17"/>
      <c r="G6" s="17"/>
      <c r="H6" s="17"/>
      <c r="I6" s="17"/>
      <c r="J6" s="17"/>
      <c r="K6" s="409"/>
      <c r="L6" s="19"/>
      <c r="M6" s="463"/>
    </row>
    <row r="7" spans="1:26" ht="25" customHeight="1">
      <c r="A7" s="15"/>
      <c r="B7" s="24"/>
      <c r="C7" s="9"/>
      <c r="D7" s="17"/>
      <c r="E7" s="17"/>
      <c r="F7" s="17"/>
      <c r="G7" s="17"/>
      <c r="H7" s="17"/>
      <c r="I7" s="17"/>
      <c r="J7" s="17"/>
      <c r="K7" s="409"/>
      <c r="L7" s="19"/>
      <c r="M7" s="463"/>
    </row>
    <row r="8" spans="1:26" ht="25" customHeight="1">
      <c r="A8" s="15"/>
      <c r="B8" s="25" t="s">
        <v>284</v>
      </c>
      <c r="C8" s="9"/>
      <c r="D8" s="26" t="s">
        <v>189</v>
      </c>
      <c r="E8" s="17"/>
      <c r="F8" s="17"/>
      <c r="G8" s="17"/>
      <c r="H8" s="17"/>
      <c r="I8" s="17"/>
      <c r="J8" s="17"/>
      <c r="K8" s="409"/>
      <c r="L8" s="19"/>
      <c r="M8" s="463"/>
    </row>
    <row r="9" spans="1:26" ht="25" customHeight="1">
      <c r="A9" s="15"/>
      <c r="B9" s="27" t="s">
        <v>285</v>
      </c>
      <c r="C9" s="9"/>
      <c r="D9" s="17"/>
      <c r="E9" s="17"/>
      <c r="F9" s="17"/>
      <c r="G9" s="17"/>
      <c r="H9" s="17"/>
      <c r="I9" s="17"/>
      <c r="J9" s="17"/>
      <c r="K9" s="409"/>
      <c r="L9" s="19"/>
      <c r="M9" s="463"/>
    </row>
    <row r="10" spans="1:26" ht="25" customHeight="1">
      <c r="A10" s="15"/>
      <c r="B10" s="28" t="s">
        <v>3</v>
      </c>
      <c r="C10" s="29"/>
      <c r="D10" s="17"/>
      <c r="E10" s="17"/>
      <c r="F10" s="17"/>
      <c r="G10" s="17"/>
      <c r="H10" s="17"/>
      <c r="I10" s="17"/>
      <c r="J10" s="17"/>
      <c r="K10" s="409"/>
      <c r="L10" s="19"/>
      <c r="M10" s="463"/>
    </row>
    <row r="11" spans="1:26" s="38" customFormat="1" ht="25" customHeight="1">
      <c r="A11" s="30"/>
      <c r="B11" s="31"/>
      <c r="C11" s="32"/>
      <c r="D11" s="33"/>
      <c r="E11" s="33"/>
      <c r="F11" s="33"/>
      <c r="G11" s="34"/>
      <c r="H11" s="34"/>
      <c r="I11" s="35"/>
      <c r="J11" s="33"/>
      <c r="K11" s="410"/>
      <c r="L11" s="37"/>
      <c r="M11" s="463"/>
    </row>
    <row r="12" spans="1:26" s="38" customFormat="1" ht="25" customHeight="1">
      <c r="A12" s="39"/>
      <c r="B12" s="40"/>
      <c r="C12" s="41"/>
      <c r="D12" s="42"/>
      <c r="E12" s="42"/>
      <c r="F12" s="42"/>
      <c r="G12" s="43"/>
      <c r="H12" s="43"/>
      <c r="I12" s="44"/>
      <c r="J12" s="42"/>
      <c r="K12" s="411"/>
      <c r="L12" s="46"/>
      <c r="M12" s="463"/>
    </row>
    <row r="13" spans="1:26" s="38" customFormat="1" ht="25" customHeight="1">
      <c r="A13" s="47"/>
      <c r="B13" s="48"/>
      <c r="G13" s="49"/>
      <c r="H13" s="49"/>
      <c r="I13" s="50"/>
      <c r="K13" s="412"/>
      <c r="L13" s="52"/>
      <c r="M13" s="463"/>
    </row>
    <row r="14" spans="1:26" s="38" customFormat="1" ht="25" customHeight="1">
      <c r="A14" s="47"/>
      <c r="B14" s="48"/>
      <c r="G14" s="49"/>
      <c r="H14" s="49"/>
      <c r="I14" s="50"/>
      <c r="K14" s="51"/>
      <c r="L14" s="52"/>
      <c r="M14" s="20"/>
    </row>
    <row r="15" spans="1:26" s="38" customFormat="1" ht="25" customHeight="1">
      <c r="A15" s="47"/>
      <c r="B15" s="982" t="s">
        <v>718</v>
      </c>
      <c r="C15" s="982"/>
      <c r="D15" s="982"/>
      <c r="E15" s="982"/>
      <c r="F15" s="982"/>
      <c r="G15" s="982"/>
      <c r="H15" s="982"/>
      <c r="I15" s="982"/>
      <c r="J15" s="982"/>
      <c r="K15" s="982"/>
      <c r="L15" s="986"/>
      <c r="M15" s="20"/>
      <c r="N15" s="12"/>
      <c r="S15" s="54"/>
      <c r="X15" s="54"/>
      <c r="Y15" s="54"/>
      <c r="Z15" s="54"/>
    </row>
    <row r="16" spans="1:26" s="38" customFormat="1" ht="25" customHeight="1">
      <c r="A16" s="47"/>
      <c r="B16" s="982"/>
      <c r="C16" s="982"/>
      <c r="D16" s="982"/>
      <c r="E16" s="982"/>
      <c r="F16" s="982"/>
      <c r="G16" s="982"/>
      <c r="H16" s="982"/>
      <c r="I16" s="982"/>
      <c r="J16" s="982"/>
      <c r="K16" s="982"/>
      <c r="L16" s="986"/>
      <c r="M16" s="20"/>
      <c r="N16" s="12"/>
      <c r="S16" s="54"/>
      <c r="X16" s="54"/>
      <c r="Y16" s="54"/>
      <c r="Z16" s="54"/>
    </row>
    <row r="17" spans="1:26" s="38" customFormat="1" ht="25" customHeight="1">
      <c r="A17" s="47"/>
      <c r="B17" s="982"/>
      <c r="C17" s="982"/>
      <c r="D17" s="982"/>
      <c r="E17" s="982"/>
      <c r="F17" s="982"/>
      <c r="G17" s="982"/>
      <c r="H17" s="982"/>
      <c r="I17" s="982"/>
      <c r="J17" s="982"/>
      <c r="K17" s="982"/>
      <c r="L17" s="986"/>
      <c r="M17" s="20"/>
      <c r="N17" s="12"/>
      <c r="S17" s="54"/>
      <c r="X17" s="54"/>
      <c r="Y17" s="54"/>
      <c r="Z17" s="54"/>
    </row>
    <row r="18" spans="1:26" s="38" customFormat="1" ht="25" customHeight="1">
      <c r="A18" s="47"/>
      <c r="B18" s="984" t="s">
        <v>287</v>
      </c>
      <c r="C18" s="984"/>
      <c r="D18" s="984"/>
      <c r="E18" s="984"/>
      <c r="F18" s="984"/>
      <c r="G18" s="57"/>
      <c r="H18" s="58"/>
      <c r="J18" s="59"/>
      <c r="K18" s="413"/>
      <c r="L18" s="61"/>
      <c r="M18" s="20"/>
      <c r="N18" s="12"/>
      <c r="S18" s="54"/>
      <c r="T18" s="54"/>
      <c r="U18" s="54"/>
      <c r="V18" s="54"/>
      <c r="W18" s="54"/>
      <c r="X18" s="54"/>
      <c r="Y18" s="54"/>
      <c r="Z18" s="54"/>
    </row>
    <row r="19" spans="1:26" s="38" customFormat="1" ht="25" customHeight="1">
      <c r="A19" s="47"/>
      <c r="B19" s="62" t="s">
        <v>288</v>
      </c>
      <c r="C19" s="62"/>
      <c r="D19" s="62"/>
      <c r="E19" s="62"/>
      <c r="F19" s="62"/>
      <c r="G19" s="57"/>
      <c r="H19" s="58"/>
      <c r="I19" s="57"/>
      <c r="J19" s="59"/>
      <c r="K19" s="413"/>
      <c r="L19" s="61"/>
      <c r="M19" s="20"/>
      <c r="N19" s="12"/>
      <c r="S19" s="54"/>
      <c r="T19" s="54"/>
      <c r="U19" s="54"/>
      <c r="V19" s="54"/>
      <c r="W19" s="66"/>
      <c r="X19" s="161"/>
      <c r="Y19" s="54"/>
      <c r="Z19" s="54"/>
    </row>
    <row r="20" spans="1:26" s="38" customFormat="1" ht="25" customHeight="1">
      <c r="A20" s="47"/>
      <c r="B20" s="8"/>
      <c r="C20" s="64"/>
      <c r="D20" s="64"/>
      <c r="E20" s="64"/>
      <c r="F20" s="64"/>
      <c r="G20" s="57"/>
      <c r="H20" s="58"/>
      <c r="I20" s="57"/>
      <c r="J20" s="59"/>
      <c r="K20" s="413"/>
      <c r="L20" s="61"/>
      <c r="M20" s="20"/>
      <c r="N20" s="12"/>
      <c r="P20" s="12"/>
      <c r="Q20" s="12"/>
      <c r="R20" s="12"/>
      <c r="S20" s="54"/>
      <c r="T20" s="54"/>
      <c r="U20" s="54"/>
      <c r="V20" s="54"/>
      <c r="W20" s="54"/>
      <c r="X20" s="54"/>
      <c r="Y20" s="66"/>
      <c r="Z20" s="54"/>
    </row>
    <row r="21" spans="1:26" s="38" customFormat="1" ht="25" customHeight="1">
      <c r="A21" s="47"/>
      <c r="B21" s="8"/>
      <c r="C21" s="64"/>
      <c r="D21" s="64"/>
      <c r="E21" s="64"/>
      <c r="F21" s="64"/>
      <c r="G21" s="57"/>
      <c r="H21" s="58"/>
      <c r="I21" s="57"/>
      <c r="J21" s="59"/>
      <c r="K21" s="413"/>
      <c r="L21" s="61"/>
      <c r="M21" s="20"/>
      <c r="N21" s="12"/>
      <c r="P21" s="12"/>
      <c r="Q21" s="12"/>
      <c r="R21" s="12"/>
      <c r="S21" s="54"/>
      <c r="T21" s="54"/>
      <c r="U21" s="54"/>
      <c r="V21" s="54"/>
      <c r="W21" s="54"/>
      <c r="X21" s="54"/>
      <c r="Y21" s="66"/>
      <c r="Z21" s="54"/>
    </row>
    <row r="22" spans="1:26" s="73" customFormat="1" ht="25" customHeight="1">
      <c r="A22" s="67"/>
      <c r="B22" s="68" t="s">
        <v>719</v>
      </c>
      <c r="C22" s="69"/>
      <c r="D22" s="69"/>
      <c r="E22" s="69"/>
      <c r="F22" s="69"/>
      <c r="G22" s="69"/>
      <c r="H22" s="70"/>
      <c r="I22" s="71"/>
      <c r="J22" s="71"/>
      <c r="K22" s="414"/>
      <c r="M22" s="20"/>
      <c r="N22" s="12"/>
      <c r="P22" s="74"/>
      <c r="Q22" s="74"/>
      <c r="R22" s="75"/>
    </row>
    <row r="23" spans="1:26" ht="25" customHeight="1">
      <c r="B23" s="985" t="s">
        <v>723</v>
      </c>
      <c r="C23" s="985"/>
      <c r="D23" s="985"/>
      <c r="E23" s="985"/>
      <c r="M23" s="20"/>
    </row>
    <row r="24" spans="1:26" s="82" customFormat="1" ht="25" customHeight="1">
      <c r="A24" s="77"/>
      <c r="B24" s="78" t="s">
        <v>10</v>
      </c>
      <c r="C24" s="79"/>
      <c r="D24" s="79"/>
      <c r="E24" s="6"/>
      <c r="F24" s="6"/>
      <c r="G24" s="6" t="s">
        <v>290</v>
      </c>
      <c r="H24" s="6" t="s">
        <v>291</v>
      </c>
      <c r="I24" s="80" t="s">
        <v>292</v>
      </c>
      <c r="J24" s="79"/>
      <c r="K24" s="415" t="s">
        <v>34</v>
      </c>
      <c r="M24" s="20"/>
      <c r="N24" s="12"/>
      <c r="O24" s="12"/>
      <c r="P24" s="66"/>
      <c r="Q24" s="66"/>
      <c r="R24" s="83"/>
    </row>
    <row r="25" spans="1:26" s="54" customFormat="1" ht="25" customHeight="1">
      <c r="A25" s="47"/>
      <c r="B25" s="137" t="s">
        <v>716</v>
      </c>
      <c r="C25" s="85"/>
      <c r="D25" s="85"/>
      <c r="E25" s="86"/>
      <c r="F25" s="86"/>
      <c r="G25" s="141">
        <f t="shared" ref="G25:G26" si="0">H25/720</f>
        <v>6.8055555555555554</v>
      </c>
      <c r="H25" s="154">
        <v>4900</v>
      </c>
      <c r="I25" s="88"/>
      <c r="J25" s="32"/>
      <c r="K25" s="138">
        <f t="shared" ref="K25:K26" si="1">ROUNDUP(I25*H25,2)</f>
        <v>0</v>
      </c>
      <c r="M25" s="20"/>
      <c r="N25" s="12"/>
      <c r="O25" s="12"/>
      <c r="P25" s="66"/>
      <c r="R25" s="66"/>
    </row>
    <row r="26" spans="1:26" s="54" customFormat="1" ht="25" customHeight="1">
      <c r="A26" s="47"/>
      <c r="B26" s="139" t="s">
        <v>717</v>
      </c>
      <c r="C26" s="91"/>
      <c r="D26" s="91"/>
      <c r="E26" s="92"/>
      <c r="F26" s="92"/>
      <c r="G26" s="416">
        <f t="shared" si="0"/>
        <v>0</v>
      </c>
      <c r="H26" s="158">
        <v>0</v>
      </c>
      <c r="I26" s="88"/>
      <c r="J26" s="94"/>
      <c r="K26" s="140">
        <f t="shared" si="1"/>
        <v>0</v>
      </c>
      <c r="M26" s="20"/>
      <c r="N26" s="12"/>
      <c r="P26" s="66"/>
      <c r="R26" s="66"/>
    </row>
    <row r="27" spans="1:26" s="38" customFormat="1" ht="25" customHeight="1">
      <c r="A27" s="47"/>
      <c r="B27" s="97" t="s">
        <v>27</v>
      </c>
      <c r="C27" s="98"/>
      <c r="D27" s="98"/>
      <c r="E27" s="159"/>
      <c r="F27" s="159"/>
      <c r="G27" s="98"/>
      <c r="H27" s="98"/>
      <c r="I27" s="98" t="str">
        <f>SUM(I14:I26)&amp;" st"</f>
        <v>0 st</v>
      </c>
      <c r="J27" s="98"/>
      <c r="K27" s="142">
        <f>SUM(K14:K26)</f>
        <v>0</v>
      </c>
      <c r="L27" s="52"/>
      <c r="M27" s="20"/>
      <c r="N27" s="12"/>
    </row>
    <row r="28" spans="1:26" s="38" customFormat="1" ht="25" customHeight="1">
      <c r="A28" s="47"/>
      <c r="B28" s="950"/>
      <c r="C28" s="258"/>
      <c r="D28" s="258"/>
      <c r="E28" s="981"/>
      <c r="F28" s="981"/>
      <c r="G28" s="258"/>
      <c r="H28" s="258"/>
      <c r="I28" s="258"/>
      <c r="J28" s="258"/>
      <c r="K28" s="980"/>
      <c r="L28" s="52"/>
      <c r="M28" s="20"/>
      <c r="N28" s="12"/>
    </row>
    <row r="29" spans="1:26" s="38" customFormat="1" ht="25" customHeight="1">
      <c r="A29" s="47"/>
      <c r="B29" s="48"/>
      <c r="G29" s="49"/>
      <c r="H29" s="49"/>
      <c r="I29" s="50"/>
      <c r="K29" s="412"/>
      <c r="L29" s="52"/>
      <c r="M29" s="463"/>
    </row>
    <row r="30" spans="1:26" s="38" customFormat="1" ht="25" customHeight="1">
      <c r="A30" s="47"/>
      <c r="B30" s="982" t="s">
        <v>4</v>
      </c>
      <c r="C30" s="982"/>
      <c r="D30" s="982"/>
      <c r="E30" s="982"/>
      <c r="F30" s="982"/>
      <c r="G30" s="982"/>
      <c r="H30" s="50"/>
      <c r="J30" s="53"/>
      <c r="K30" s="412"/>
      <c r="L30" s="52"/>
      <c r="M30" s="463"/>
      <c r="S30" s="54"/>
      <c r="X30" s="54"/>
      <c r="Y30" s="54"/>
      <c r="Z30" s="54"/>
    </row>
    <row r="31" spans="1:26" s="38" customFormat="1" ht="25" customHeight="1">
      <c r="A31" s="47"/>
      <c r="B31" s="982"/>
      <c r="C31" s="982"/>
      <c r="D31" s="982"/>
      <c r="E31" s="982"/>
      <c r="F31" s="982"/>
      <c r="G31" s="982"/>
      <c r="H31" s="50"/>
      <c r="J31" s="53"/>
      <c r="K31" s="412"/>
      <c r="L31" s="52"/>
      <c r="M31" s="463"/>
      <c r="S31" s="54"/>
      <c r="X31" s="54"/>
      <c r="Y31" s="54"/>
      <c r="Z31" s="54"/>
    </row>
    <row r="32" spans="1:26" s="38" customFormat="1" ht="25" customHeight="1">
      <c r="A32" s="47"/>
      <c r="B32" s="982"/>
      <c r="C32" s="982"/>
      <c r="D32" s="982"/>
      <c r="E32" s="982"/>
      <c r="F32" s="982"/>
      <c r="G32" s="982"/>
      <c r="H32" s="50"/>
      <c r="J32" s="53"/>
      <c r="K32" s="412"/>
      <c r="L32" s="52"/>
      <c r="M32" s="463"/>
      <c r="S32" s="54"/>
      <c r="X32" s="54"/>
      <c r="Y32" s="54"/>
      <c r="Z32" s="54"/>
    </row>
    <row r="33" spans="1:26" s="38" customFormat="1" ht="25" customHeight="1">
      <c r="A33" s="47"/>
      <c r="B33" s="55" t="s">
        <v>286</v>
      </c>
      <c r="C33" s="56"/>
      <c r="D33" s="56"/>
      <c r="E33" s="56"/>
      <c r="F33" s="56"/>
      <c r="H33" s="50"/>
      <c r="J33" s="53"/>
      <c r="K33" s="412"/>
      <c r="L33" s="52"/>
      <c r="M33" s="463"/>
      <c r="S33" s="54"/>
      <c r="T33" s="54"/>
      <c r="U33" s="54"/>
      <c r="V33" s="54"/>
      <c r="W33" s="54"/>
      <c r="X33" s="54"/>
      <c r="Y33" s="54"/>
      <c r="Z33" s="54"/>
    </row>
    <row r="34" spans="1:26" s="38" customFormat="1" ht="25" customHeight="1">
      <c r="A34" s="47"/>
      <c r="B34" s="984" t="s">
        <v>287</v>
      </c>
      <c r="C34" s="984"/>
      <c r="D34" s="984"/>
      <c r="E34" s="984"/>
      <c r="F34" s="984"/>
      <c r="G34" s="57"/>
      <c r="H34" s="58"/>
      <c r="J34" s="59"/>
      <c r="K34" s="413"/>
      <c r="L34" s="61"/>
      <c r="M34" s="463"/>
      <c r="S34" s="54"/>
      <c r="T34" s="54"/>
      <c r="U34" s="54"/>
      <c r="V34" s="54"/>
      <c r="W34" s="54"/>
      <c r="X34" s="54"/>
      <c r="Y34" s="54"/>
      <c r="Z34" s="54"/>
    </row>
    <row r="35" spans="1:26" s="38" customFormat="1" ht="25" customHeight="1">
      <c r="A35" s="47"/>
      <c r="B35" s="62" t="s">
        <v>288</v>
      </c>
      <c r="C35" s="464"/>
      <c r="D35" s="464"/>
      <c r="E35" s="64"/>
      <c r="F35" s="64"/>
      <c r="G35" s="57"/>
      <c r="H35" s="58"/>
      <c r="I35" s="57"/>
      <c r="J35" s="59"/>
      <c r="K35" s="413"/>
      <c r="L35" s="61"/>
      <c r="M35" s="463"/>
      <c r="S35" s="54"/>
      <c r="T35" s="54"/>
      <c r="U35" s="54"/>
      <c r="V35" s="54"/>
      <c r="W35" s="66"/>
      <c r="X35" s="161"/>
      <c r="Y35" s="54"/>
      <c r="Z35" s="54"/>
    </row>
    <row r="36" spans="1:26" s="38" customFormat="1" ht="25" customHeight="1">
      <c r="A36" s="47"/>
      <c r="B36" s="8"/>
      <c r="C36" s="64"/>
      <c r="D36" s="64"/>
      <c r="E36" s="64"/>
      <c r="F36" s="64"/>
      <c r="G36" s="57"/>
      <c r="H36" s="58"/>
      <c r="I36" s="57"/>
      <c r="J36" s="59"/>
      <c r="K36" s="413"/>
      <c r="L36" s="61"/>
      <c r="M36" s="463"/>
      <c r="P36" s="12"/>
      <c r="Q36" s="12"/>
      <c r="R36" s="12"/>
      <c r="S36" s="54"/>
      <c r="T36" s="54"/>
      <c r="U36" s="54"/>
      <c r="V36" s="54"/>
      <c r="W36" s="54"/>
      <c r="X36" s="54"/>
      <c r="Y36" s="66"/>
      <c r="Z36" s="54"/>
    </row>
    <row r="37" spans="1:26" s="38" customFormat="1" ht="25" customHeight="1">
      <c r="A37" s="47"/>
      <c r="B37" s="8"/>
      <c r="C37" s="64"/>
      <c r="D37" s="64"/>
      <c r="E37" s="64"/>
      <c r="F37" s="64"/>
      <c r="G37" s="57"/>
      <c r="H37" s="58"/>
      <c r="I37" s="57"/>
      <c r="J37" s="59"/>
      <c r="K37" s="413"/>
      <c r="L37" s="61"/>
      <c r="M37" s="463"/>
      <c r="P37" s="12"/>
      <c r="Q37" s="12"/>
      <c r="R37" s="12"/>
      <c r="S37" s="54"/>
      <c r="T37" s="54"/>
      <c r="U37" s="54"/>
      <c r="V37" s="54"/>
      <c r="W37" s="54"/>
      <c r="X37" s="54"/>
      <c r="Y37" s="66"/>
      <c r="Z37" s="54"/>
    </row>
    <row r="38" spans="1:26" s="73" customFormat="1" ht="25" customHeight="1">
      <c r="A38" s="10"/>
      <c r="B38" s="68" t="s">
        <v>195</v>
      </c>
      <c r="C38" s="69"/>
      <c r="D38" s="69"/>
      <c r="E38" s="69"/>
      <c r="F38" s="69"/>
      <c r="G38" s="69"/>
      <c r="H38" s="70"/>
      <c r="I38" s="71"/>
      <c r="J38" s="71"/>
      <c r="K38" s="414"/>
      <c r="M38" s="463"/>
      <c r="P38" s="74"/>
      <c r="Q38" s="74"/>
      <c r="R38" s="75"/>
    </row>
    <row r="39" spans="1:26" ht="25" customHeight="1">
      <c r="B39" s="991" t="s">
        <v>289</v>
      </c>
      <c r="C39" s="991"/>
      <c r="D39" s="991"/>
      <c r="E39" s="991"/>
      <c r="M39" s="463"/>
    </row>
    <row r="40" spans="1:26" s="82" customFormat="1" ht="25" customHeight="1">
      <c r="A40" s="10"/>
      <c r="B40" s="78" t="s">
        <v>23</v>
      </c>
      <c r="C40" s="79" t="s">
        <v>11</v>
      </c>
      <c r="D40" s="79" t="s">
        <v>197</v>
      </c>
      <c r="E40" s="6" t="s">
        <v>198</v>
      </c>
      <c r="F40" s="6"/>
      <c r="G40" s="6" t="s">
        <v>290</v>
      </c>
      <c r="H40" s="6" t="s">
        <v>291</v>
      </c>
      <c r="I40" s="80" t="s">
        <v>292</v>
      </c>
      <c r="J40" s="79"/>
      <c r="K40" s="415" t="s">
        <v>34</v>
      </c>
      <c r="M40" s="463"/>
      <c r="N40" s="12"/>
      <c r="O40" s="12"/>
      <c r="P40" s="66"/>
      <c r="Q40" s="66"/>
      <c r="R40" s="83"/>
    </row>
    <row r="41" spans="1:26" s="54" customFormat="1" ht="25" customHeight="1">
      <c r="A41" s="47"/>
      <c r="B41" s="137" t="s">
        <v>199</v>
      </c>
      <c r="C41" s="85">
        <v>2</v>
      </c>
      <c r="D41" s="85">
        <v>4</v>
      </c>
      <c r="E41" s="86">
        <v>100</v>
      </c>
      <c r="F41" s="86"/>
      <c r="G41" s="141">
        <f t="shared" ref="G41:G54" si="2">H41/720</f>
        <v>0.66666666666666663</v>
      </c>
      <c r="H41" s="154">
        <f t="shared" ref="H41:H54" si="3">C41*IAAS_vcpu_SEK+D41*IAAS_ram_SEK+E41*IAAS_nvme_SEK</f>
        <v>480</v>
      </c>
      <c r="I41" s="88"/>
      <c r="J41" s="32"/>
      <c r="K41" s="138">
        <f t="shared" ref="K41:K54" si="4">ROUNDUP(I41*H41,2)</f>
        <v>0</v>
      </c>
      <c r="M41" s="463"/>
      <c r="P41" s="66"/>
      <c r="R41" s="66"/>
    </row>
    <row r="42" spans="1:26" s="54" customFormat="1" ht="25" customHeight="1">
      <c r="A42" s="47"/>
      <c r="B42" s="139" t="s">
        <v>200</v>
      </c>
      <c r="C42" s="91">
        <v>2</v>
      </c>
      <c r="D42" s="91">
        <v>4</v>
      </c>
      <c r="E42" s="92">
        <v>500</v>
      </c>
      <c r="F42" s="92"/>
      <c r="G42" s="416">
        <f t="shared" si="2"/>
        <v>1.2222222222222223</v>
      </c>
      <c r="H42" s="158">
        <f t="shared" si="3"/>
        <v>880</v>
      </c>
      <c r="I42" s="88"/>
      <c r="J42" s="94"/>
      <c r="K42" s="140">
        <f t="shared" si="4"/>
        <v>0</v>
      </c>
      <c r="M42" s="463"/>
      <c r="P42" s="66"/>
      <c r="R42" s="66"/>
    </row>
    <row r="43" spans="1:26" s="54" customFormat="1" ht="25" customHeight="1">
      <c r="A43" s="47"/>
      <c r="B43" s="137" t="s">
        <v>201</v>
      </c>
      <c r="C43" s="85">
        <v>2</v>
      </c>
      <c r="D43" s="85">
        <v>4</v>
      </c>
      <c r="E43" s="86">
        <v>1000</v>
      </c>
      <c r="F43" s="86"/>
      <c r="G43" s="141">
        <f t="shared" si="2"/>
        <v>1.9166666666666667</v>
      </c>
      <c r="H43" s="154">
        <f t="shared" si="3"/>
        <v>1380</v>
      </c>
      <c r="I43" s="88"/>
      <c r="J43" s="32"/>
      <c r="K43" s="138">
        <f t="shared" si="4"/>
        <v>0</v>
      </c>
      <c r="M43" s="463"/>
      <c r="P43" s="66"/>
      <c r="R43" s="66"/>
    </row>
    <row r="44" spans="1:26" s="54" customFormat="1" ht="25" customHeight="1">
      <c r="A44" s="47"/>
      <c r="B44" s="139" t="s">
        <v>202</v>
      </c>
      <c r="C44" s="91">
        <v>4</v>
      </c>
      <c r="D44" s="91">
        <v>8</v>
      </c>
      <c r="E44" s="92">
        <v>100</v>
      </c>
      <c r="F44" s="92"/>
      <c r="G44" s="416">
        <f t="shared" si="2"/>
        <v>1.1944444444444444</v>
      </c>
      <c r="H44" s="158">
        <f t="shared" si="3"/>
        <v>860</v>
      </c>
      <c r="I44" s="88"/>
      <c r="J44" s="94"/>
      <c r="K44" s="140">
        <f t="shared" si="4"/>
        <v>0</v>
      </c>
      <c r="M44" s="463"/>
      <c r="P44" s="66"/>
      <c r="R44" s="66"/>
    </row>
    <row r="45" spans="1:26" s="54" customFormat="1" ht="25" customHeight="1">
      <c r="A45" s="47"/>
      <c r="B45" s="137" t="s">
        <v>203</v>
      </c>
      <c r="C45" s="85">
        <v>4</v>
      </c>
      <c r="D45" s="85">
        <v>8</v>
      </c>
      <c r="E45" s="86">
        <v>500</v>
      </c>
      <c r="F45" s="86"/>
      <c r="G45" s="141">
        <f t="shared" si="2"/>
        <v>1.75</v>
      </c>
      <c r="H45" s="154">
        <f t="shared" si="3"/>
        <v>1260</v>
      </c>
      <c r="I45" s="88"/>
      <c r="J45" s="32"/>
      <c r="K45" s="138">
        <f t="shared" si="4"/>
        <v>0</v>
      </c>
      <c r="M45" s="463"/>
      <c r="P45" s="66"/>
      <c r="R45" s="66"/>
    </row>
    <row r="46" spans="1:26" s="54" customFormat="1" ht="25" customHeight="1">
      <c r="A46" s="47"/>
      <c r="B46" s="139" t="s">
        <v>204</v>
      </c>
      <c r="C46" s="91">
        <v>4</v>
      </c>
      <c r="D46" s="91">
        <v>8</v>
      </c>
      <c r="E46" s="92">
        <v>1000</v>
      </c>
      <c r="F46" s="92"/>
      <c r="G46" s="416">
        <f t="shared" si="2"/>
        <v>2.4444444444444446</v>
      </c>
      <c r="H46" s="158">
        <f t="shared" si="3"/>
        <v>1760</v>
      </c>
      <c r="I46" s="88"/>
      <c r="J46" s="94"/>
      <c r="K46" s="140">
        <f t="shared" si="4"/>
        <v>0</v>
      </c>
      <c r="M46" s="463"/>
      <c r="P46" s="66"/>
      <c r="R46" s="66"/>
    </row>
    <row r="47" spans="1:26" s="54" customFormat="1" ht="25" customHeight="1">
      <c r="A47" s="47"/>
      <c r="B47" s="137" t="s">
        <v>205</v>
      </c>
      <c r="C47" s="85">
        <v>8</v>
      </c>
      <c r="D47" s="85">
        <v>16</v>
      </c>
      <c r="E47" s="86">
        <v>100</v>
      </c>
      <c r="F47" s="86"/>
      <c r="G47" s="141">
        <f t="shared" si="2"/>
        <v>2.25</v>
      </c>
      <c r="H47" s="154">
        <f t="shared" si="3"/>
        <v>1620</v>
      </c>
      <c r="I47" s="88"/>
      <c r="J47" s="32"/>
      <c r="K47" s="138">
        <f t="shared" si="4"/>
        <v>0</v>
      </c>
      <c r="M47" s="463"/>
      <c r="P47" s="66"/>
      <c r="R47" s="66"/>
    </row>
    <row r="48" spans="1:26" s="54" customFormat="1" ht="25" customHeight="1">
      <c r="A48" s="47"/>
      <c r="B48" s="139" t="s">
        <v>206</v>
      </c>
      <c r="C48" s="91">
        <v>8</v>
      </c>
      <c r="D48" s="91">
        <v>16</v>
      </c>
      <c r="E48" s="92">
        <v>500</v>
      </c>
      <c r="F48" s="92"/>
      <c r="G48" s="416">
        <f t="shared" si="2"/>
        <v>2.8055555555555554</v>
      </c>
      <c r="H48" s="158">
        <f t="shared" si="3"/>
        <v>2020</v>
      </c>
      <c r="I48" s="88"/>
      <c r="J48" s="94"/>
      <c r="K48" s="140">
        <f t="shared" si="4"/>
        <v>0</v>
      </c>
      <c r="M48" s="463"/>
      <c r="P48" s="66"/>
      <c r="R48" s="66"/>
    </row>
    <row r="49" spans="1:18" s="54" customFormat="1" ht="25" customHeight="1">
      <c r="A49" s="47"/>
      <c r="B49" s="137" t="s">
        <v>207</v>
      </c>
      <c r="C49" s="85">
        <v>8</v>
      </c>
      <c r="D49" s="85">
        <v>16</v>
      </c>
      <c r="E49" s="86">
        <v>1000</v>
      </c>
      <c r="F49" s="86"/>
      <c r="G49" s="141">
        <f t="shared" si="2"/>
        <v>3.5</v>
      </c>
      <c r="H49" s="154">
        <f t="shared" si="3"/>
        <v>2520</v>
      </c>
      <c r="I49" s="88"/>
      <c r="J49" s="32"/>
      <c r="K49" s="138">
        <f t="shared" si="4"/>
        <v>0</v>
      </c>
      <c r="M49" s="463"/>
      <c r="P49" s="66"/>
      <c r="R49" s="66"/>
    </row>
    <row r="50" spans="1:18" s="54" customFormat="1" ht="25" customHeight="1">
      <c r="A50" s="47"/>
      <c r="B50" s="139" t="s">
        <v>208</v>
      </c>
      <c r="C50" s="91">
        <v>16</v>
      </c>
      <c r="D50" s="91">
        <v>32</v>
      </c>
      <c r="E50" s="92">
        <v>100</v>
      </c>
      <c r="F50" s="92"/>
      <c r="G50" s="416">
        <f t="shared" si="2"/>
        <v>4.3611111111111107</v>
      </c>
      <c r="H50" s="158">
        <f t="shared" si="3"/>
        <v>3140</v>
      </c>
      <c r="I50" s="88"/>
      <c r="J50" s="94"/>
      <c r="K50" s="140">
        <f t="shared" si="4"/>
        <v>0</v>
      </c>
      <c r="M50" s="463"/>
      <c r="P50" s="66"/>
      <c r="R50" s="66"/>
    </row>
    <row r="51" spans="1:18" s="54" customFormat="1" ht="25" customHeight="1">
      <c r="A51" s="47"/>
      <c r="B51" s="137" t="s">
        <v>209</v>
      </c>
      <c r="C51" s="85">
        <v>16</v>
      </c>
      <c r="D51" s="85">
        <v>32</v>
      </c>
      <c r="E51" s="86">
        <v>500</v>
      </c>
      <c r="F51" s="86"/>
      <c r="G51" s="141">
        <f t="shared" si="2"/>
        <v>4.916666666666667</v>
      </c>
      <c r="H51" s="154">
        <f t="shared" si="3"/>
        <v>3540</v>
      </c>
      <c r="I51" s="88"/>
      <c r="J51" s="32"/>
      <c r="K51" s="138">
        <f t="shared" si="4"/>
        <v>0</v>
      </c>
      <c r="M51" s="463"/>
      <c r="P51" s="66"/>
      <c r="R51" s="66"/>
    </row>
    <row r="52" spans="1:18" s="54" customFormat="1" ht="25" customHeight="1">
      <c r="A52" s="47"/>
      <c r="B52" s="139" t="s">
        <v>210</v>
      </c>
      <c r="C52" s="91">
        <v>16</v>
      </c>
      <c r="D52" s="91">
        <v>32</v>
      </c>
      <c r="E52" s="92">
        <v>1000</v>
      </c>
      <c r="F52" s="92"/>
      <c r="G52" s="416">
        <f t="shared" si="2"/>
        <v>5.6111111111111107</v>
      </c>
      <c r="H52" s="158">
        <f t="shared" si="3"/>
        <v>4040</v>
      </c>
      <c r="I52" s="88"/>
      <c r="J52" s="94"/>
      <c r="K52" s="140">
        <f t="shared" si="4"/>
        <v>0</v>
      </c>
      <c r="M52" s="463"/>
      <c r="P52" s="66"/>
      <c r="R52" s="66"/>
    </row>
    <row r="53" spans="1:18" s="54" customFormat="1" ht="25" customHeight="1">
      <c r="A53" s="47"/>
      <c r="B53" s="137" t="s">
        <v>712</v>
      </c>
      <c r="C53" s="85">
        <v>16</v>
      </c>
      <c r="D53" s="85">
        <v>64</v>
      </c>
      <c r="E53" s="86">
        <v>500</v>
      </c>
      <c r="F53" s="86"/>
      <c r="G53" s="141">
        <f t="shared" si="2"/>
        <v>7.3611111111111107</v>
      </c>
      <c r="H53" s="154">
        <f t="shared" si="3"/>
        <v>5300</v>
      </c>
      <c r="I53" s="88"/>
      <c r="J53" s="32"/>
      <c r="K53" s="138">
        <f t="shared" si="4"/>
        <v>0</v>
      </c>
      <c r="M53" s="463"/>
      <c r="P53" s="66"/>
      <c r="R53" s="66"/>
    </row>
    <row r="54" spans="1:18" s="54" customFormat="1" ht="25" customHeight="1">
      <c r="A54" s="47"/>
      <c r="B54" s="139" t="s">
        <v>211</v>
      </c>
      <c r="C54" s="91">
        <v>32</v>
      </c>
      <c r="D54" s="91">
        <v>64</v>
      </c>
      <c r="E54" s="92">
        <v>1000</v>
      </c>
      <c r="F54" s="92"/>
      <c r="G54" s="416">
        <f t="shared" si="2"/>
        <v>9.8333333333333339</v>
      </c>
      <c r="H54" s="158">
        <f t="shared" si="3"/>
        <v>7080</v>
      </c>
      <c r="I54" s="88"/>
      <c r="J54" s="94"/>
      <c r="K54" s="140">
        <f t="shared" si="4"/>
        <v>0</v>
      </c>
      <c r="M54" s="463"/>
      <c r="P54" s="66"/>
      <c r="R54" s="66"/>
    </row>
    <row r="55" spans="1:18" s="101" customFormat="1" ht="25" customHeight="1">
      <c r="A55" s="96"/>
      <c r="B55" s="97" t="s">
        <v>27</v>
      </c>
      <c r="C55" s="98" t="str">
        <f t="array" ref="C55">SUM(C41:C54*I41:I54)&amp;" st"</f>
        <v>0 st</v>
      </c>
      <c r="D55" s="98" t="str">
        <f t="array" ref="D55">SUM(D41:D54*I41:I54)&amp;" GB"</f>
        <v>0 GB</v>
      </c>
      <c r="E55" s="159" t="str">
        <f t="array" ref="E55">SUM(E41:E54*I41:I54)&amp;" GB"</f>
        <v>0 GB</v>
      </c>
      <c r="F55" s="98"/>
      <c r="G55" s="98"/>
      <c r="H55" s="98"/>
      <c r="I55" s="98" t="str">
        <f>SUM(I41:I54)&amp;" st"</f>
        <v>0 st</v>
      </c>
      <c r="J55" s="98"/>
      <c r="K55" s="142">
        <f>SUM(K41:K54)</f>
        <v>0</v>
      </c>
      <c r="M55" s="463"/>
      <c r="P55" s="102"/>
      <c r="R55" s="102"/>
    </row>
    <row r="56" spans="1:18" s="54" customFormat="1" ht="25" customHeight="1">
      <c r="A56" s="47"/>
      <c r="B56" s="103"/>
      <c r="C56" s="104"/>
      <c r="D56" s="104"/>
      <c r="E56" s="105"/>
      <c r="F56" s="107"/>
      <c r="G56" s="107"/>
      <c r="H56" s="108"/>
      <c r="I56" s="109"/>
      <c r="J56" s="110"/>
      <c r="K56" s="128"/>
      <c r="M56" s="463"/>
      <c r="P56" s="66"/>
      <c r="R56" s="66"/>
    </row>
    <row r="57" spans="1:18" s="54" customFormat="1" ht="25" customHeight="1">
      <c r="A57" s="47"/>
      <c r="B57" s="103"/>
      <c r="C57" s="104"/>
      <c r="D57" s="104"/>
      <c r="E57" s="105"/>
      <c r="F57" s="106"/>
      <c r="G57" s="107"/>
      <c r="H57" s="108"/>
      <c r="I57" s="109"/>
      <c r="J57" s="110"/>
      <c r="K57" s="128"/>
      <c r="M57" s="463"/>
      <c r="P57" s="66"/>
      <c r="R57" s="66"/>
    </row>
    <row r="58" spans="1:18" ht="25" customHeight="1">
      <c r="B58" s="112"/>
      <c r="C58" s="113"/>
      <c r="D58" s="113"/>
      <c r="E58" s="113"/>
      <c r="F58" s="113"/>
      <c r="G58" s="114"/>
      <c r="H58" s="115"/>
      <c r="I58" s="115"/>
      <c r="J58" s="113"/>
      <c r="K58" s="129"/>
      <c r="M58" s="463"/>
      <c r="P58" s="66"/>
      <c r="Q58" s="66"/>
      <c r="R58" s="83"/>
    </row>
    <row r="59" spans="1:18" s="82" customFormat="1" ht="25" customHeight="1">
      <c r="A59" s="10"/>
      <c r="B59" s="465" t="s">
        <v>212</v>
      </c>
      <c r="C59" s="466"/>
      <c r="D59" s="466"/>
      <c r="K59" s="130"/>
      <c r="M59" s="463"/>
    </row>
    <row r="60" spans="1:18" ht="25" customHeight="1">
      <c r="B60" s="991" t="s">
        <v>289</v>
      </c>
      <c r="C60" s="991"/>
      <c r="D60" s="991"/>
      <c r="E60" s="991"/>
      <c r="M60" s="463"/>
    </row>
    <row r="61" spans="1:18" s="82" customFormat="1" ht="25" customHeight="1">
      <c r="A61" s="10"/>
      <c r="B61" s="78" t="s">
        <v>23</v>
      </c>
      <c r="C61" s="79" t="s">
        <v>11</v>
      </c>
      <c r="D61" s="79" t="s">
        <v>197</v>
      </c>
      <c r="E61" s="6" t="s">
        <v>198</v>
      </c>
      <c r="F61" s="6"/>
      <c r="G61" s="6" t="s">
        <v>290</v>
      </c>
      <c r="H61" s="6" t="s">
        <v>291</v>
      </c>
      <c r="I61" s="80" t="s">
        <v>292</v>
      </c>
      <c r="J61" s="79"/>
      <c r="K61" s="415" t="s">
        <v>34</v>
      </c>
      <c r="M61" s="463"/>
      <c r="N61" s="12"/>
      <c r="O61" s="12"/>
      <c r="P61" s="66"/>
      <c r="Q61" s="66"/>
      <c r="R61" s="83"/>
    </row>
    <row r="62" spans="1:18" s="54" customFormat="1" ht="25" customHeight="1">
      <c r="A62" s="47"/>
      <c r="B62" s="137" t="s">
        <v>213</v>
      </c>
      <c r="C62" s="85">
        <v>1</v>
      </c>
      <c r="D62" s="85">
        <v>2</v>
      </c>
      <c r="E62" s="120">
        <v>0</v>
      </c>
      <c r="F62" s="120"/>
      <c r="G62" s="141">
        <f>'SEK - Safesprings tjänster 2025'!G62</f>
        <v>0.2638888888888889</v>
      </c>
      <c r="H62" s="154">
        <f t="shared" ref="H62:H71" si="5">C62*IAAS_vcpu_SEK+D62*IAAS_ram_SEK+E62*IAAS_nvme_SEK</f>
        <v>190</v>
      </c>
      <c r="I62" s="88"/>
      <c r="J62" s="32"/>
      <c r="K62" s="467">
        <f t="shared" ref="K62:K71" si="6">ROUNDUP(I62*H62,2)</f>
        <v>0</v>
      </c>
      <c r="M62" s="463"/>
      <c r="N62" s="121"/>
      <c r="O62" s="122"/>
    </row>
    <row r="63" spans="1:18" s="54" customFormat="1" ht="25" customHeight="1">
      <c r="A63" s="47"/>
      <c r="B63" s="139" t="s">
        <v>214</v>
      </c>
      <c r="C63" s="91">
        <v>1</v>
      </c>
      <c r="D63" s="91">
        <v>4</v>
      </c>
      <c r="E63" s="123">
        <v>0</v>
      </c>
      <c r="F63" s="123"/>
      <c r="G63" s="416">
        <f>'SEK - Safesprings tjänster 2025'!G63</f>
        <v>0.41666666666666669</v>
      </c>
      <c r="H63" s="158">
        <f t="shared" si="5"/>
        <v>300</v>
      </c>
      <c r="I63" s="88"/>
      <c r="J63" s="94"/>
      <c r="K63" s="140">
        <f t="shared" si="6"/>
        <v>0</v>
      </c>
      <c r="L63" s="124"/>
      <c r="M63" s="463"/>
      <c r="N63" s="121"/>
      <c r="O63" s="122"/>
    </row>
    <row r="64" spans="1:18" s="54" customFormat="1" ht="25" customHeight="1">
      <c r="A64" s="47"/>
      <c r="B64" s="137" t="s">
        <v>215</v>
      </c>
      <c r="C64" s="85">
        <v>2</v>
      </c>
      <c r="D64" s="85">
        <v>4</v>
      </c>
      <c r="E64" s="120">
        <v>0</v>
      </c>
      <c r="F64" s="120"/>
      <c r="G64" s="141">
        <f>'SEK - Safesprings tjänster 2025'!G64</f>
        <v>0.52777777777777779</v>
      </c>
      <c r="H64" s="154">
        <f t="shared" si="5"/>
        <v>380</v>
      </c>
      <c r="I64" s="88"/>
      <c r="J64" s="32"/>
      <c r="K64" s="138">
        <f t="shared" si="6"/>
        <v>0</v>
      </c>
      <c r="L64" s="124"/>
      <c r="M64" s="463"/>
      <c r="N64" s="121"/>
      <c r="O64" s="122"/>
    </row>
    <row r="65" spans="1:19" s="54" customFormat="1" ht="25" customHeight="1">
      <c r="A65" s="47"/>
      <c r="B65" s="139" t="s">
        <v>216</v>
      </c>
      <c r="C65" s="91">
        <v>2</v>
      </c>
      <c r="D65" s="91">
        <v>8</v>
      </c>
      <c r="E65" s="123">
        <v>0</v>
      </c>
      <c r="F65" s="123"/>
      <c r="G65" s="416">
        <f>'SEK - Safesprings tjänster 2025'!G65</f>
        <v>0.83333333333333337</v>
      </c>
      <c r="H65" s="158">
        <f t="shared" si="5"/>
        <v>600</v>
      </c>
      <c r="I65" s="88"/>
      <c r="J65" s="94"/>
      <c r="K65" s="140">
        <f t="shared" si="6"/>
        <v>0</v>
      </c>
      <c r="L65" s="124"/>
      <c r="M65" s="463"/>
      <c r="N65" s="121"/>
      <c r="O65" s="125"/>
    </row>
    <row r="66" spans="1:19" s="54" customFormat="1" ht="25" customHeight="1">
      <c r="A66" s="47"/>
      <c r="B66" s="137" t="s">
        <v>217</v>
      </c>
      <c r="C66" s="85">
        <v>4</v>
      </c>
      <c r="D66" s="85">
        <v>8</v>
      </c>
      <c r="E66" s="120">
        <v>0</v>
      </c>
      <c r="F66" s="120"/>
      <c r="G66" s="141">
        <f>'SEK - Safesprings tjänster 2025'!G66</f>
        <v>1.0555555555555556</v>
      </c>
      <c r="H66" s="154">
        <f t="shared" si="5"/>
        <v>760</v>
      </c>
      <c r="I66" s="88"/>
      <c r="J66" s="32"/>
      <c r="K66" s="138">
        <f t="shared" si="6"/>
        <v>0</v>
      </c>
      <c r="L66" s="124"/>
      <c r="M66" s="463"/>
      <c r="N66" s="121"/>
    </row>
    <row r="67" spans="1:19" s="54" customFormat="1" ht="25" customHeight="1">
      <c r="A67" s="47"/>
      <c r="B67" s="139" t="s">
        <v>218</v>
      </c>
      <c r="C67" s="91">
        <v>4</v>
      </c>
      <c r="D67" s="91">
        <v>16</v>
      </c>
      <c r="E67" s="123">
        <v>0</v>
      </c>
      <c r="F67" s="123"/>
      <c r="G67" s="416">
        <f>'SEK - Safesprings tjänster 2025'!G67</f>
        <v>1.6666666666666667</v>
      </c>
      <c r="H67" s="158">
        <f t="shared" si="5"/>
        <v>1200</v>
      </c>
      <c r="I67" s="88"/>
      <c r="J67" s="94"/>
      <c r="K67" s="140">
        <f t="shared" si="6"/>
        <v>0</v>
      </c>
      <c r="L67" s="124"/>
      <c r="M67" s="463"/>
    </row>
    <row r="68" spans="1:19" s="54" customFormat="1" ht="25" customHeight="1">
      <c r="A68" s="47"/>
      <c r="B68" s="137" t="s">
        <v>219</v>
      </c>
      <c r="C68" s="85">
        <v>8</v>
      </c>
      <c r="D68" s="85">
        <v>16</v>
      </c>
      <c r="E68" s="120">
        <v>0</v>
      </c>
      <c r="F68" s="120"/>
      <c r="G68" s="141">
        <f>'SEK - Safesprings tjänster 2025'!G68</f>
        <v>2.1111111111111112</v>
      </c>
      <c r="H68" s="154">
        <f t="shared" si="5"/>
        <v>1520</v>
      </c>
      <c r="I68" s="88"/>
      <c r="J68" s="32"/>
      <c r="K68" s="138">
        <f t="shared" si="6"/>
        <v>0</v>
      </c>
      <c r="L68" s="124"/>
      <c r="M68" s="463"/>
      <c r="N68" s="121"/>
    </row>
    <row r="69" spans="1:19" s="54" customFormat="1" ht="25" customHeight="1">
      <c r="A69" s="47"/>
      <c r="B69" s="139" t="s">
        <v>220</v>
      </c>
      <c r="C69" s="91">
        <v>8</v>
      </c>
      <c r="D69" s="91">
        <v>32</v>
      </c>
      <c r="E69" s="123">
        <v>0</v>
      </c>
      <c r="F69" s="123"/>
      <c r="G69" s="416">
        <f>'SEK - Safesprings tjänster 2025'!G69</f>
        <v>3.3333333333333335</v>
      </c>
      <c r="H69" s="158">
        <f t="shared" si="5"/>
        <v>2400</v>
      </c>
      <c r="I69" s="88"/>
      <c r="J69" s="94"/>
      <c r="K69" s="140">
        <f t="shared" si="6"/>
        <v>0</v>
      </c>
      <c r="L69" s="124"/>
      <c r="M69" s="463"/>
    </row>
    <row r="70" spans="1:19" s="54" customFormat="1" ht="25" customHeight="1">
      <c r="A70" s="47"/>
      <c r="B70" s="137" t="s">
        <v>221</v>
      </c>
      <c r="C70" s="85">
        <v>16</v>
      </c>
      <c r="D70" s="85">
        <v>32</v>
      </c>
      <c r="E70" s="120">
        <v>0</v>
      </c>
      <c r="F70" s="120"/>
      <c r="G70" s="141">
        <f>'SEK - Safesprings tjänster 2025'!G70</f>
        <v>4.2222222222222223</v>
      </c>
      <c r="H70" s="154">
        <f t="shared" si="5"/>
        <v>3040</v>
      </c>
      <c r="I70" s="88"/>
      <c r="J70" s="32"/>
      <c r="K70" s="138">
        <f t="shared" si="6"/>
        <v>0</v>
      </c>
      <c r="L70" s="124"/>
      <c r="M70" s="463"/>
    </row>
    <row r="71" spans="1:19" s="54" customFormat="1" ht="25" customHeight="1">
      <c r="A71" s="47"/>
      <c r="B71" s="139" t="s">
        <v>222</v>
      </c>
      <c r="C71" s="91">
        <v>16</v>
      </c>
      <c r="D71" s="91">
        <v>64</v>
      </c>
      <c r="E71" s="123">
        <v>0</v>
      </c>
      <c r="F71" s="123"/>
      <c r="G71" s="416">
        <f>'SEK - Safesprings tjänster 2025'!G71</f>
        <v>6.666666666666667</v>
      </c>
      <c r="H71" s="158">
        <f t="shared" si="5"/>
        <v>4800</v>
      </c>
      <c r="I71" s="88"/>
      <c r="J71" s="94"/>
      <c r="K71" s="140">
        <f t="shared" si="6"/>
        <v>0</v>
      </c>
      <c r="L71" s="124"/>
      <c r="M71" s="463"/>
    </row>
    <row r="72" spans="1:19" s="101" customFormat="1" ht="25" customHeight="1">
      <c r="A72" s="96"/>
      <c r="B72" s="97" t="s">
        <v>27</v>
      </c>
      <c r="C72" s="98">
        <f t="array" ref="C72">SUM(C62:C71*I62:I71)</f>
        <v>0</v>
      </c>
      <c r="D72" s="98">
        <f t="array" ref="D72">SUM(D62:D71*I62:I71)</f>
        <v>0</v>
      </c>
      <c r="E72" s="98"/>
      <c r="F72" s="98"/>
      <c r="G72" s="98"/>
      <c r="H72" s="98"/>
      <c r="I72" s="98" t="str">
        <f>SUM(I62:I71)&amp;" st"</f>
        <v>0 st</v>
      </c>
      <c r="J72" s="98"/>
      <c r="K72" s="142">
        <f>SUM(K62:K71)</f>
        <v>0</v>
      </c>
      <c r="M72" s="463"/>
      <c r="P72" s="102"/>
      <c r="R72" s="102"/>
    </row>
    <row r="73" spans="1:19" s="54" customFormat="1" ht="25" customHeight="1">
      <c r="A73" s="47"/>
      <c r="B73" s="104"/>
      <c r="C73" s="104"/>
      <c r="D73" s="104"/>
      <c r="E73" s="105"/>
      <c r="F73" s="106"/>
      <c r="G73" s="107"/>
      <c r="H73" s="108"/>
      <c r="I73" s="109"/>
      <c r="J73" s="110"/>
      <c r="K73" s="128"/>
      <c r="M73" s="463"/>
      <c r="P73" s="66"/>
      <c r="R73" s="66"/>
    </row>
    <row r="74" spans="1:19" s="54" customFormat="1" ht="25" customHeight="1">
      <c r="A74" s="47"/>
      <c r="B74" s="104"/>
      <c r="C74" s="104"/>
      <c r="D74" s="104"/>
      <c r="E74" s="105"/>
      <c r="F74" s="106"/>
      <c r="G74" s="107"/>
      <c r="H74" s="108"/>
      <c r="I74" s="109"/>
      <c r="J74" s="110"/>
      <c r="K74" s="128"/>
      <c r="M74" s="463"/>
      <c r="P74" s="66"/>
      <c r="R74" s="66"/>
    </row>
    <row r="75" spans="1:19" ht="25" customHeight="1">
      <c r="B75" s="112"/>
      <c r="C75" s="113"/>
      <c r="D75" s="113"/>
      <c r="E75" s="113"/>
      <c r="F75" s="113"/>
      <c r="G75" s="114"/>
      <c r="H75" s="115"/>
      <c r="I75" s="115"/>
      <c r="J75" s="113"/>
      <c r="K75" s="129"/>
      <c r="M75" s="463"/>
      <c r="P75" s="66"/>
      <c r="Q75" s="66"/>
      <c r="R75" s="83"/>
    </row>
    <row r="76" spans="1:19" s="82" customFormat="1" ht="25" customHeight="1">
      <c r="A76" s="10"/>
      <c r="B76" s="68" t="s">
        <v>223</v>
      </c>
      <c r="C76" s="117"/>
      <c r="D76" s="117"/>
      <c r="K76" s="130"/>
      <c r="M76" s="463"/>
    </row>
    <row r="77" spans="1:19" ht="25" customHeight="1">
      <c r="B77" s="985" t="s">
        <v>293</v>
      </c>
      <c r="C77" s="985"/>
      <c r="D77" s="985"/>
      <c r="E77" s="985"/>
      <c r="M77" s="463"/>
    </row>
    <row r="78" spans="1:19" s="134" customFormat="1" ht="25" customHeight="1">
      <c r="A78" s="468"/>
      <c r="B78" s="78" t="s">
        <v>23</v>
      </c>
      <c r="C78" s="79" t="s">
        <v>11</v>
      </c>
      <c r="D78" s="79" t="s">
        <v>197</v>
      </c>
      <c r="E78" s="6" t="s">
        <v>198</v>
      </c>
      <c r="F78" s="1" t="s">
        <v>709</v>
      </c>
      <c r="G78" s="149" t="s">
        <v>31</v>
      </c>
      <c r="H78" s="6" t="s">
        <v>32</v>
      </c>
      <c r="I78" s="80" t="s">
        <v>33</v>
      </c>
      <c r="J78" s="79"/>
      <c r="K78" s="415" t="s">
        <v>34</v>
      </c>
      <c r="M78" s="463"/>
      <c r="O78" s="135"/>
      <c r="P78" s="136"/>
      <c r="Q78" s="136"/>
      <c r="R78" s="136"/>
      <c r="S78" s="135"/>
    </row>
    <row r="79" spans="1:19" s="54" customFormat="1" ht="25" customHeight="1">
      <c r="A79" s="47"/>
      <c r="B79" s="137" t="s">
        <v>24</v>
      </c>
      <c r="C79" s="85">
        <v>4</v>
      </c>
      <c r="D79" s="85">
        <v>16</v>
      </c>
      <c r="E79" s="120">
        <v>125</v>
      </c>
      <c r="F79" s="120" t="s">
        <v>710</v>
      </c>
      <c r="G79" s="141">
        <f>H79/720</f>
        <v>4.645833333333333</v>
      </c>
      <c r="H79" s="141">
        <f>C79*IAAS_vcpu_SEK+D79*IAAS_ram_SEK+E79*IAAS_nvme_SEK+1*IAAS_GPU_A2_SEK</f>
        <v>3345</v>
      </c>
      <c r="I79" s="88"/>
      <c r="J79" s="32"/>
      <c r="K79" s="138">
        <f>ROUNDUP(I79*H79,2)</f>
        <v>0</v>
      </c>
      <c r="M79" s="463"/>
      <c r="N79" s="121"/>
      <c r="O79" s="122"/>
    </row>
    <row r="80" spans="1:19" s="54" customFormat="1" ht="25" customHeight="1">
      <c r="A80" s="47"/>
      <c r="B80" s="139" t="s">
        <v>25</v>
      </c>
      <c r="C80" s="91">
        <v>8</v>
      </c>
      <c r="D80" s="91">
        <v>32</v>
      </c>
      <c r="E80" s="123">
        <v>250</v>
      </c>
      <c r="F80" s="123" t="s">
        <v>710</v>
      </c>
      <c r="G80" s="416">
        <f>H80/720</f>
        <v>6.4861111111111107</v>
      </c>
      <c r="H80" s="416">
        <f>C80*IAAS_vcpu_SEK+D80*IAAS_ram_SEK+E80*IAAS_nvme_SEK+1*IAAS_GPU_A2_SEK</f>
        <v>4670</v>
      </c>
      <c r="I80" s="88"/>
      <c r="J80" s="94"/>
      <c r="K80" s="140">
        <f>ROUNDUP(I80*H80,2)</f>
        <v>0</v>
      </c>
      <c r="L80" s="124"/>
      <c r="M80" s="463"/>
      <c r="N80" s="121"/>
      <c r="O80" s="122"/>
    </row>
    <row r="81" spans="1:20" s="54" customFormat="1" ht="25" customHeight="1">
      <c r="A81" s="47"/>
      <c r="B81" s="137" t="s">
        <v>26</v>
      </c>
      <c r="C81" s="85">
        <v>4</v>
      </c>
      <c r="D81" s="85">
        <v>8</v>
      </c>
      <c r="E81" s="120">
        <v>0</v>
      </c>
      <c r="F81" s="120" t="s">
        <v>710</v>
      </c>
      <c r="G81" s="141">
        <f>H81/720</f>
        <v>3.8611111111111112</v>
      </c>
      <c r="H81" s="141">
        <f>C81*IAAS_vcpu_SEK+D81*IAAS_ram_SEK+E81*IAAS_nvme_SEK+1*IAAS_GPU_A2_SEK</f>
        <v>2780</v>
      </c>
      <c r="I81" s="88"/>
      <c r="J81" s="32"/>
      <c r="K81" s="138">
        <f>ROUNDUP(I81*H81,2)</f>
        <v>0</v>
      </c>
      <c r="L81" s="124"/>
      <c r="M81" s="463"/>
      <c r="N81" s="121"/>
      <c r="O81" s="122"/>
    </row>
    <row r="82" spans="1:20" s="54" customFormat="1" ht="25" customHeight="1">
      <c r="A82" s="47"/>
      <c r="B82" s="418" t="s">
        <v>224</v>
      </c>
      <c r="C82" s="91">
        <v>8</v>
      </c>
      <c r="D82" s="91">
        <v>16</v>
      </c>
      <c r="E82" s="123">
        <v>0</v>
      </c>
      <c r="F82" s="123" t="s">
        <v>710</v>
      </c>
      <c r="G82" s="416">
        <f t="shared" ref="G82" si="7">H82/720</f>
        <v>4.916666666666667</v>
      </c>
      <c r="H82" s="416">
        <f>C82*IAAS_vcpu_SEK+D82*IAAS_ram_SEK+E82*IAAS_nvme_SEK+1*IAAS_GPU_A2_SEK</f>
        <v>3540</v>
      </c>
      <c r="I82" s="88"/>
      <c r="J82" s="94"/>
      <c r="K82" s="140">
        <f>ROUNDUP(I82*H82,2)</f>
        <v>0</v>
      </c>
      <c r="L82" s="124"/>
      <c r="M82" s="463"/>
      <c r="N82" s="121"/>
      <c r="O82" s="125"/>
    </row>
    <row r="83" spans="1:20" s="54" customFormat="1" ht="25" customHeight="1">
      <c r="A83" s="47"/>
      <c r="B83" s="137" t="s">
        <v>707</v>
      </c>
      <c r="C83" s="85">
        <v>32</v>
      </c>
      <c r="D83" s="85">
        <v>192</v>
      </c>
      <c r="E83" s="120">
        <v>0</v>
      </c>
      <c r="F83" s="120" t="s">
        <v>711</v>
      </c>
      <c r="G83" s="141">
        <f>H83/720</f>
        <v>33.366666666666667</v>
      </c>
      <c r="H83" s="141">
        <f>C83*IAAS_vcpu_SEK+D83*IAAS_ram_SEK+E83*IAAS_nvme_SEK+1*IAAS_GPU_H100_SEK</f>
        <v>24024</v>
      </c>
      <c r="I83" s="88"/>
      <c r="J83" s="32"/>
      <c r="K83" s="138"/>
      <c r="L83" s="124"/>
      <c r="M83" s="463"/>
      <c r="N83" s="121"/>
      <c r="O83" s="125"/>
    </row>
    <row r="84" spans="1:20" s="101" customFormat="1" ht="25" customHeight="1">
      <c r="A84" s="47"/>
      <c r="B84" s="97" t="s">
        <v>27</v>
      </c>
      <c r="C84" s="98" t="str">
        <f t="array" ref="C84">SUM(C79:C82*I79:I82)&amp;" st"</f>
        <v>0 st</v>
      </c>
      <c r="D84" s="98" t="str">
        <f t="array" ref="D84">SUM(D79:D82*I79:I82)&amp;" st"</f>
        <v>0 st</v>
      </c>
      <c r="E84" s="98" t="str">
        <f t="array" ref="E84">SUM(E79:E82*I79:I82)&amp;" st"</f>
        <v>0 st</v>
      </c>
      <c r="F84" s="98"/>
      <c r="G84" s="98"/>
      <c r="H84" s="98"/>
      <c r="I84" s="98" t="str">
        <f>SUM(I79:I82)&amp;" st"</f>
        <v>0 st</v>
      </c>
      <c r="J84" s="98"/>
      <c r="K84" s="142">
        <f>SUM(K79:K82)</f>
        <v>0</v>
      </c>
      <c r="M84" s="463"/>
      <c r="N84" s="54"/>
      <c r="P84" s="102"/>
      <c r="R84" s="102"/>
    </row>
    <row r="85" spans="1:20" s="101" customFormat="1" ht="25" customHeight="1">
      <c r="A85" s="47"/>
      <c r="B85" s="950"/>
      <c r="C85" s="258"/>
      <c r="D85" s="258"/>
      <c r="E85" s="258"/>
      <c r="F85" s="258"/>
      <c r="G85" s="258"/>
      <c r="H85" s="258"/>
      <c r="I85" s="258"/>
      <c r="J85" s="258"/>
      <c r="K85" s="980"/>
      <c r="M85" s="463"/>
      <c r="N85" s="54"/>
      <c r="P85" s="102"/>
      <c r="R85" s="102"/>
    </row>
    <row r="86" spans="1:20" s="101" customFormat="1" ht="25" customHeight="1">
      <c r="A86" s="47"/>
      <c r="B86" s="950"/>
      <c r="C86" s="258"/>
      <c r="D86" s="258"/>
      <c r="E86" s="258"/>
      <c r="F86" s="258"/>
      <c r="G86" s="258"/>
      <c r="H86" s="258"/>
      <c r="I86" s="258"/>
      <c r="J86" s="258"/>
      <c r="K86" s="980"/>
      <c r="M86" s="463"/>
      <c r="N86" s="54"/>
      <c r="P86" s="102"/>
      <c r="R86" s="102"/>
    </row>
    <row r="87" spans="1:20" s="54" customFormat="1" ht="25" customHeight="1">
      <c r="A87" s="47"/>
      <c r="B87" s="177"/>
      <c r="C87" s="160"/>
      <c r="D87" s="160"/>
      <c r="E87" s="160"/>
      <c r="F87" s="160"/>
      <c r="G87" s="160"/>
      <c r="H87" s="161"/>
      <c r="I87" s="161"/>
      <c r="J87" s="161"/>
      <c r="K87" s="419"/>
      <c r="L87" s="178"/>
      <c r="M87" s="463"/>
      <c r="Q87" s="66"/>
      <c r="S87" s="66"/>
    </row>
    <row r="88" spans="1:20" ht="25" customHeight="1">
      <c r="B88" s="68" t="s">
        <v>294</v>
      </c>
      <c r="C88" s="163"/>
      <c r="D88" s="163"/>
      <c r="E88" s="163"/>
      <c r="F88" s="163"/>
      <c r="G88" s="163"/>
      <c r="H88" s="161"/>
      <c r="I88" s="161"/>
      <c r="J88" s="161"/>
      <c r="K88" s="419"/>
      <c r="L88" s="178"/>
      <c r="M88" s="463"/>
      <c r="N88" s="54"/>
      <c r="O88" s="54"/>
      <c r="P88" s="54"/>
      <c r="Q88" s="54"/>
      <c r="R88" s="66"/>
      <c r="S88" s="54"/>
      <c r="T88" s="83"/>
    </row>
    <row r="89" spans="1:20" ht="25" customHeight="1">
      <c r="B89" s="76" t="s">
        <v>293</v>
      </c>
      <c r="M89" s="463"/>
    </row>
    <row r="90" spans="1:20" s="182" customFormat="1" ht="25" customHeight="1">
      <c r="A90" s="185"/>
      <c r="B90" s="78" t="s">
        <v>23</v>
      </c>
      <c r="C90" s="179" t="s">
        <v>295</v>
      </c>
      <c r="D90" s="179"/>
      <c r="E90" s="179"/>
      <c r="F90" s="179"/>
      <c r="G90" s="1" t="s">
        <v>31</v>
      </c>
      <c r="H90" s="6" t="s">
        <v>32</v>
      </c>
      <c r="I90" s="180" t="s">
        <v>296</v>
      </c>
      <c r="J90" s="179"/>
      <c r="K90" s="421" t="s">
        <v>229</v>
      </c>
      <c r="L90" s="136"/>
      <c r="M90" s="463"/>
      <c r="N90" s="136"/>
      <c r="R90" s="183"/>
      <c r="S90" s="183"/>
      <c r="T90" s="184"/>
    </row>
    <row r="91" spans="1:20" s="54" customFormat="1" ht="25" customHeight="1">
      <c r="A91" s="47"/>
      <c r="B91" s="137" t="s">
        <v>40</v>
      </c>
      <c r="C91" s="186" t="s">
        <v>41</v>
      </c>
      <c r="D91" s="187"/>
      <c r="E91" s="187"/>
      <c r="F91" s="187"/>
      <c r="G91" s="422">
        <f>H91/720</f>
        <v>1.6666666666666666E-3</v>
      </c>
      <c r="H91" s="166">
        <f>VOLUME_large_SEK</f>
        <v>1.2</v>
      </c>
      <c r="I91" s="190"/>
      <c r="J91" s="191"/>
      <c r="K91" s="423">
        <f>ROUNDUP(I91*H91,2)</f>
        <v>0</v>
      </c>
      <c r="L91" s="161"/>
      <c r="M91" s="463"/>
    </row>
    <row r="92" spans="1:20" s="54" customFormat="1" ht="25" customHeight="1">
      <c r="A92" s="47"/>
      <c r="B92" s="139" t="s">
        <v>42</v>
      </c>
      <c r="C92" s="54" t="s">
        <v>43</v>
      </c>
      <c r="D92" s="174"/>
      <c r="E92" s="174"/>
      <c r="F92" s="174"/>
      <c r="G92" s="424">
        <f>H92/720</f>
        <v>5.0000000000000001E-3</v>
      </c>
      <c r="H92" s="169">
        <f>VOLUME_fast_SEK</f>
        <v>3.6</v>
      </c>
      <c r="I92" s="196"/>
      <c r="J92" s="197"/>
      <c r="K92" s="425">
        <f>ROUNDUP(I92*H92,2)</f>
        <v>0</v>
      </c>
      <c r="L92" s="161"/>
      <c r="M92" s="463"/>
      <c r="T92" s="66"/>
    </row>
    <row r="93" spans="1:20" s="54" customFormat="1" ht="25" customHeight="1">
      <c r="A93" s="47"/>
      <c r="B93" s="137" t="s">
        <v>44</v>
      </c>
      <c r="C93" s="186" t="s">
        <v>45</v>
      </c>
      <c r="D93" s="187"/>
      <c r="E93" s="187"/>
      <c r="F93" s="187"/>
      <c r="G93" s="422">
        <f>H93/720</f>
        <v>1.6666666666666666E-3</v>
      </c>
      <c r="H93" s="166">
        <f>VOLUME_large_SEK</f>
        <v>1.2</v>
      </c>
      <c r="I93" s="190"/>
      <c r="J93" s="191"/>
      <c r="K93" s="423">
        <f>ROUNDUP(I93*H93,2)</f>
        <v>0</v>
      </c>
      <c r="L93" s="161"/>
      <c r="M93" s="463"/>
    </row>
    <row r="94" spans="1:20" s="101" customFormat="1" ht="25" customHeight="1">
      <c r="A94" s="96"/>
      <c r="B94" s="97" t="s">
        <v>27</v>
      </c>
      <c r="C94" s="98"/>
      <c r="D94" s="98"/>
      <c r="E94" s="98"/>
      <c r="F94" s="98"/>
      <c r="G94" s="98"/>
      <c r="H94" s="98"/>
      <c r="I94" s="98" t="str">
        <f>SUM(I91:I93)&amp;" GB"</f>
        <v>0 GB</v>
      </c>
      <c r="J94" s="98"/>
      <c r="K94" s="142">
        <f>SUM(K91:K93)</f>
        <v>0</v>
      </c>
      <c r="M94" s="463"/>
      <c r="P94" s="102"/>
      <c r="R94" s="102"/>
    </row>
    <row r="95" spans="1:20" ht="25" customHeight="1">
      <c r="B95" s="175"/>
      <c r="C95" s="176"/>
      <c r="D95" s="176"/>
      <c r="E95" s="176"/>
      <c r="F95" s="176"/>
      <c r="G95" s="176"/>
      <c r="H95" s="174"/>
      <c r="I95" s="199"/>
      <c r="J95" s="199"/>
      <c r="K95" s="426"/>
      <c r="L95" s="201"/>
      <c r="M95" s="463"/>
    </row>
    <row r="96" spans="1:20" s="38" customFormat="1" ht="25" customHeight="1">
      <c r="A96" s="47"/>
      <c r="B96" s="175"/>
      <c r="C96" s="176"/>
      <c r="D96" s="176"/>
      <c r="E96" s="176"/>
      <c r="F96" s="176"/>
      <c r="G96" s="176"/>
      <c r="H96" s="199"/>
      <c r="I96" s="199"/>
      <c r="J96" s="199"/>
      <c r="K96" s="427"/>
      <c r="L96" s="202"/>
      <c r="M96" s="463"/>
    </row>
    <row r="97" spans="1:26" s="38" customFormat="1" ht="25" customHeight="1">
      <c r="A97" s="47"/>
      <c r="B97" s="982" t="s">
        <v>46</v>
      </c>
      <c r="C97" s="982"/>
      <c r="D97" s="982"/>
      <c r="E97" s="982"/>
      <c r="F97" s="982"/>
      <c r="G97" s="982"/>
      <c r="H97" s="50"/>
      <c r="J97" s="53"/>
      <c r="K97" s="412"/>
      <c r="M97" s="463"/>
    </row>
    <row r="98" spans="1:26" s="38" customFormat="1" ht="25" customHeight="1">
      <c r="A98" s="47"/>
      <c r="B98" s="982"/>
      <c r="C98" s="982"/>
      <c r="D98" s="982"/>
      <c r="E98" s="982"/>
      <c r="F98" s="982"/>
      <c r="G98" s="982"/>
      <c r="H98" s="50"/>
      <c r="J98" s="53"/>
      <c r="K98" s="412"/>
      <c r="M98" s="463"/>
    </row>
    <row r="99" spans="1:26" s="38" customFormat="1" ht="25" customHeight="1">
      <c r="A99" s="47"/>
      <c r="B99" s="982"/>
      <c r="C99" s="982"/>
      <c r="D99" s="982"/>
      <c r="E99" s="982"/>
      <c r="F99" s="982"/>
      <c r="G99" s="982"/>
      <c r="H99" s="50"/>
      <c r="J99" s="53"/>
      <c r="K99" s="412"/>
      <c r="M99" s="463"/>
    </row>
    <row r="100" spans="1:26" s="38" customFormat="1" ht="25" customHeight="1">
      <c r="A100" s="47"/>
      <c r="B100" s="55" t="s">
        <v>297</v>
      </c>
      <c r="C100" s="55"/>
      <c r="D100" s="55"/>
      <c r="E100" s="55"/>
      <c r="F100" s="55"/>
      <c r="H100" s="50"/>
      <c r="J100" s="53"/>
      <c r="K100" s="412"/>
      <c r="M100" s="463"/>
    </row>
    <row r="101" spans="1:26" s="207" customFormat="1" ht="25" customHeight="1">
      <c r="A101" s="47"/>
      <c r="B101" s="8" t="s">
        <v>298</v>
      </c>
      <c r="C101" s="8"/>
      <c r="D101" s="8"/>
      <c r="E101" s="8"/>
      <c r="F101" s="8"/>
      <c r="G101" s="203"/>
      <c r="H101" s="204"/>
      <c r="I101" s="203"/>
      <c r="J101" s="205"/>
      <c r="K101" s="428"/>
      <c r="L101" s="203"/>
      <c r="M101" s="463"/>
    </row>
    <row r="102" spans="1:26" s="38" customFormat="1" ht="25" customHeight="1">
      <c r="A102" s="47"/>
      <c r="B102" s="62" t="s">
        <v>288</v>
      </c>
      <c r="C102" s="464"/>
      <c r="D102" s="464"/>
      <c r="E102" s="64"/>
      <c r="F102" s="64"/>
      <c r="G102" s="57"/>
      <c r="H102" s="58"/>
      <c r="I102" s="57"/>
      <c r="J102" s="59"/>
      <c r="K102" s="413"/>
      <c r="L102" s="61"/>
      <c r="M102" s="463"/>
      <c r="S102" s="54"/>
      <c r="T102" s="54"/>
      <c r="U102" s="54"/>
      <c r="V102" s="54"/>
      <c r="W102" s="66"/>
      <c r="X102" s="161"/>
      <c r="Y102" s="54"/>
      <c r="Z102" s="54"/>
    </row>
    <row r="103" spans="1:26" s="54" customFormat="1" ht="25" customHeight="1">
      <c r="A103" s="47"/>
      <c r="B103" s="177"/>
      <c r="C103" s="160"/>
      <c r="D103" s="160"/>
      <c r="E103" s="160"/>
      <c r="F103" s="160"/>
      <c r="G103" s="160"/>
      <c r="H103" s="161"/>
      <c r="I103" s="161"/>
      <c r="J103" s="161"/>
      <c r="K103" s="419"/>
      <c r="L103" s="178"/>
      <c r="M103" s="463"/>
      <c r="R103" s="66"/>
      <c r="T103" s="66"/>
    </row>
    <row r="104" spans="1:26" s="38" customFormat="1" ht="25" customHeight="1">
      <c r="A104" s="47"/>
      <c r="B104" s="78" t="s">
        <v>23</v>
      </c>
      <c r="C104" s="209"/>
      <c r="D104" s="6"/>
      <c r="E104" s="6"/>
      <c r="F104" s="179"/>
      <c r="G104" s="6" t="s">
        <v>299</v>
      </c>
      <c r="H104" s="179"/>
      <c r="I104" s="180" t="s">
        <v>300</v>
      </c>
      <c r="J104" s="6"/>
      <c r="K104" s="421" t="s">
        <v>39</v>
      </c>
      <c r="L104" s="61"/>
      <c r="M104" s="463"/>
      <c r="N104" s="54"/>
    </row>
    <row r="105" spans="1:26" s="216" customFormat="1" ht="25" customHeight="1">
      <c r="A105" s="217"/>
      <c r="B105" s="137" t="s">
        <v>50</v>
      </c>
      <c r="C105" s="187"/>
      <c r="D105" s="210"/>
      <c r="E105" s="210"/>
      <c r="F105" s="211"/>
      <c r="G105" s="430">
        <f>S3_archive.50_SEK</f>
        <v>350</v>
      </c>
      <c r="H105" s="211"/>
      <c r="I105" s="213"/>
      <c r="J105" s="214"/>
      <c r="K105" s="431">
        <f>I105*G105</f>
        <v>0</v>
      </c>
      <c r="L105" s="215"/>
      <c r="M105" s="463"/>
      <c r="N105" s="174"/>
    </row>
    <row r="106" spans="1:26" s="54" customFormat="1" ht="25" customHeight="1">
      <c r="A106" s="47"/>
      <c r="B106" s="139" t="s">
        <v>51</v>
      </c>
      <c r="D106" s="174"/>
      <c r="E106" s="174"/>
      <c r="F106" s="195"/>
      <c r="G106" s="432">
        <f>S3_storage50_SEK</f>
        <v>500</v>
      </c>
      <c r="H106" s="219"/>
      <c r="I106" s="220"/>
      <c r="J106" s="197"/>
      <c r="K106" s="425">
        <f>I106*G106</f>
        <v>0</v>
      </c>
      <c r="L106" s="161"/>
      <c r="M106" s="463"/>
      <c r="T106" s="66"/>
    </row>
    <row r="107" spans="1:26" s="101" customFormat="1" ht="25" customHeight="1">
      <c r="A107" s="96"/>
      <c r="B107" s="97" t="s">
        <v>27</v>
      </c>
      <c r="C107" s="98"/>
      <c r="D107" s="98"/>
      <c r="E107" s="98"/>
      <c r="F107" s="98"/>
      <c r="G107" s="98"/>
      <c r="H107" s="98"/>
      <c r="I107" s="98"/>
      <c r="J107" s="98"/>
      <c r="K107" s="142">
        <f>SUM(K105:K106)</f>
        <v>0</v>
      </c>
      <c r="M107" s="463"/>
      <c r="P107" s="102"/>
      <c r="R107" s="102"/>
    </row>
    <row r="108" spans="1:26" ht="25" customHeight="1">
      <c r="B108" s="112"/>
      <c r="C108" s="113"/>
      <c r="D108" s="113"/>
      <c r="E108" s="113"/>
      <c r="F108" s="113"/>
      <c r="G108" s="114"/>
      <c r="H108" s="115"/>
      <c r="I108" s="115"/>
      <c r="M108" s="463"/>
      <c r="N108" s="66"/>
      <c r="O108" s="66"/>
      <c r="P108" s="83"/>
    </row>
    <row r="109" spans="1:26" s="145" customFormat="1" ht="25" customHeight="1">
      <c r="A109" s="10"/>
      <c r="B109" s="221" t="s">
        <v>52</v>
      </c>
      <c r="C109" s="222"/>
      <c r="D109" s="222"/>
      <c r="E109" s="222"/>
      <c r="F109" s="222"/>
      <c r="G109" s="222"/>
      <c r="H109" s="223"/>
      <c r="I109" s="223"/>
      <c r="J109" s="223"/>
      <c r="K109" s="419"/>
      <c r="M109" s="463"/>
      <c r="N109" s="223"/>
      <c r="O109" s="223"/>
      <c r="P109" s="146"/>
      <c r="Q109" s="223"/>
      <c r="R109" s="147"/>
    </row>
    <row r="110" spans="1:26" s="38" customFormat="1" ht="25" customHeight="1">
      <c r="A110" s="47"/>
      <c r="B110" s="78" t="s">
        <v>23</v>
      </c>
      <c r="C110" s="209" t="s">
        <v>53</v>
      </c>
      <c r="D110" s="990" t="s">
        <v>54</v>
      </c>
      <c r="E110" s="990"/>
      <c r="F110" s="990"/>
      <c r="G110" s="990"/>
      <c r="H110" s="990"/>
      <c r="I110" s="990"/>
      <c r="J110" s="6"/>
      <c r="K110" s="421"/>
      <c r="L110" s="61"/>
      <c r="M110" s="463"/>
      <c r="N110" s="54"/>
    </row>
    <row r="111" spans="1:26" s="216" customFormat="1" ht="25" customHeight="1">
      <c r="A111" s="217"/>
      <c r="B111" s="224" t="s">
        <v>55</v>
      </c>
      <c r="C111" s="225"/>
      <c r="D111" s="226"/>
      <c r="E111" s="227">
        <f t="array" ref="E111">_xlfn.IFS(H111&lt;50,D112,H111&lt;100,D113,H111&lt;500,D114,H111&lt;1000,D115,H111&gt;999,D116)</f>
        <v>185</v>
      </c>
      <c r="F111" s="227"/>
      <c r="G111" s="227"/>
      <c r="H111" s="228">
        <v>600</v>
      </c>
      <c r="I111" s="229" t="s">
        <v>56</v>
      </c>
      <c r="J111" s="230"/>
      <c r="K111" s="433">
        <f t="array" ref="K111">_xlfn.IFS(H111&lt;1000,ROUNDUP(H111*E111,2),H111&gt;999,E111)</f>
        <v>111000</v>
      </c>
      <c r="L111" s="215"/>
      <c r="M111" s="463"/>
      <c r="N111" s="174"/>
    </row>
    <row r="112" spans="1:26" s="38" customFormat="1" ht="25" customHeight="1">
      <c r="A112" s="47"/>
      <c r="B112" s="232" t="s">
        <v>55</v>
      </c>
      <c r="C112" s="233" t="s">
        <v>57</v>
      </c>
      <c r="D112" s="992">
        <f>S3_archive.50_SEK</f>
        <v>350</v>
      </c>
      <c r="E112" s="992"/>
      <c r="F112" s="992"/>
      <c r="G112" s="992"/>
      <c r="H112" s="992"/>
      <c r="I112" s="992"/>
      <c r="J112" s="5"/>
      <c r="K112" s="434"/>
      <c r="L112" s="61"/>
      <c r="M112" s="463"/>
      <c r="N112" s="54"/>
    </row>
    <row r="113" spans="1:26" s="38" customFormat="1" ht="25" customHeight="1">
      <c r="A113" s="47"/>
      <c r="B113" s="234" t="s">
        <v>55</v>
      </c>
      <c r="C113" s="235" t="s">
        <v>58</v>
      </c>
      <c r="D113" s="993">
        <f>S3_archive.100_SEK</f>
        <v>270</v>
      </c>
      <c r="E113" s="993"/>
      <c r="F113" s="993"/>
      <c r="G113" s="993"/>
      <c r="H113" s="993"/>
      <c r="I113" s="993"/>
      <c r="J113" s="4"/>
      <c r="K113" s="435"/>
      <c r="L113" s="61"/>
      <c r="M113" s="463"/>
      <c r="N113" s="54"/>
    </row>
    <row r="114" spans="1:26" s="38" customFormat="1" ht="25" customHeight="1">
      <c r="A114" s="47"/>
      <c r="B114" s="232" t="s">
        <v>55</v>
      </c>
      <c r="C114" s="233" t="s">
        <v>59</v>
      </c>
      <c r="D114" s="994">
        <f>S3_archive.500_SEK</f>
        <v>200</v>
      </c>
      <c r="E114" s="994"/>
      <c r="F114" s="994"/>
      <c r="G114" s="994"/>
      <c r="H114" s="994"/>
      <c r="I114" s="994"/>
      <c r="J114" s="3"/>
      <c r="K114" s="436"/>
      <c r="L114" s="61"/>
      <c r="M114" s="463"/>
      <c r="N114" s="54"/>
    </row>
    <row r="115" spans="1:26" s="38" customFormat="1" ht="25" customHeight="1">
      <c r="A115" s="47"/>
      <c r="B115" s="234" t="s">
        <v>55</v>
      </c>
      <c r="C115" s="235" t="s">
        <v>60</v>
      </c>
      <c r="D115" s="993">
        <f>S3_archive.1000_SEK</f>
        <v>185</v>
      </c>
      <c r="E115" s="993"/>
      <c r="F115" s="993"/>
      <c r="G115" s="993"/>
      <c r="H115" s="993"/>
      <c r="I115" s="993"/>
      <c r="J115" s="4"/>
      <c r="K115" s="435"/>
      <c r="L115" s="61"/>
      <c r="M115" s="463"/>
      <c r="N115" s="54"/>
    </row>
    <row r="116" spans="1:26" s="38" customFormat="1" ht="25" customHeight="1">
      <c r="A116" s="47"/>
      <c r="B116" s="236" t="s">
        <v>55</v>
      </c>
      <c r="C116" s="237" t="s">
        <v>61</v>
      </c>
      <c r="D116" s="995" t="str">
        <f>S3_archive.quote_SEK</f>
        <v>Be om offert</v>
      </c>
      <c r="E116" s="995"/>
      <c r="F116" s="995"/>
      <c r="G116" s="995"/>
      <c r="H116" s="995"/>
      <c r="I116" s="995"/>
      <c r="J116" s="2"/>
      <c r="K116" s="437"/>
      <c r="L116" s="61"/>
      <c r="M116" s="463"/>
      <c r="N116" s="54"/>
    </row>
    <row r="117" spans="1:26" s="38" customFormat="1" ht="25" customHeight="1">
      <c r="A117" s="47"/>
      <c r="B117" s="103" t="s">
        <v>62</v>
      </c>
      <c r="C117" s="143"/>
      <c r="D117" s="143"/>
      <c r="E117" s="143"/>
      <c r="F117" s="107"/>
      <c r="G117" s="107"/>
      <c r="H117" s="108"/>
      <c r="I117" s="108"/>
      <c r="J117" s="106"/>
      <c r="K117" s="128">
        <f>K111</f>
        <v>111000</v>
      </c>
      <c r="L117" s="61"/>
      <c r="M117" s="463"/>
      <c r="N117" s="54"/>
    </row>
    <row r="118" spans="1:26" s="150" customFormat="1" ht="25" customHeight="1">
      <c r="A118" s="185"/>
      <c r="B118" s="8"/>
      <c r="C118" s="143"/>
      <c r="D118" s="64"/>
      <c r="E118" s="64"/>
      <c r="F118" s="64"/>
      <c r="G118" s="57"/>
      <c r="H118" s="58"/>
      <c r="I118" s="108"/>
      <c r="J118" s="65"/>
      <c r="K118" s="413"/>
      <c r="L118" s="61"/>
      <c r="M118" s="463"/>
      <c r="N118" s="182"/>
      <c r="O118" s="182"/>
      <c r="P118" s="182"/>
      <c r="Q118" s="182"/>
      <c r="R118" s="182"/>
      <c r="S118" s="182"/>
    </row>
    <row r="119" spans="1:26" ht="25" customHeight="1">
      <c r="B119" s="238"/>
      <c r="C119" s="239"/>
      <c r="D119" s="239"/>
      <c r="E119" s="239"/>
      <c r="F119" s="240"/>
      <c r="G119" s="241"/>
      <c r="H119" s="199"/>
      <c r="I119" s="199"/>
      <c r="J119" s="199"/>
      <c r="K119" s="426"/>
      <c r="L119" s="201"/>
      <c r="M119" s="463"/>
      <c r="N119" s="54"/>
      <c r="Q119" s="38"/>
    </row>
    <row r="120" spans="1:26" s="38" customFormat="1" ht="25" customHeight="1">
      <c r="A120" s="47"/>
      <c r="B120" s="982" t="s">
        <v>63</v>
      </c>
      <c r="C120" s="982"/>
      <c r="D120" s="982"/>
      <c r="E120" s="982"/>
      <c r="F120" s="982"/>
      <c r="G120" s="982"/>
      <c r="H120" s="50"/>
      <c r="J120" s="53"/>
      <c r="K120" s="412"/>
      <c r="L120" s="53"/>
      <c r="M120" s="463"/>
    </row>
    <row r="121" spans="1:26" s="38" customFormat="1" ht="25" customHeight="1">
      <c r="A121" s="47"/>
      <c r="B121" s="982"/>
      <c r="C121" s="982"/>
      <c r="D121" s="982"/>
      <c r="E121" s="982"/>
      <c r="F121" s="982"/>
      <c r="G121" s="982"/>
      <c r="H121" s="50"/>
      <c r="J121" s="53"/>
      <c r="K121" s="412"/>
      <c r="L121" s="53"/>
      <c r="M121" s="463"/>
    </row>
    <row r="122" spans="1:26" s="38" customFormat="1" ht="25" customHeight="1">
      <c r="A122" s="47"/>
      <c r="B122" s="982"/>
      <c r="C122" s="982"/>
      <c r="D122" s="982"/>
      <c r="E122" s="982"/>
      <c r="F122" s="982"/>
      <c r="G122" s="982"/>
      <c r="H122" s="50"/>
      <c r="J122" s="53"/>
      <c r="K122" s="412"/>
      <c r="L122" s="53"/>
      <c r="M122" s="463"/>
    </row>
    <row r="123" spans="1:26" s="38" customFormat="1" ht="25" customHeight="1">
      <c r="A123" s="47"/>
      <c r="B123" s="55" t="s">
        <v>301</v>
      </c>
      <c r="C123" s="55"/>
      <c r="D123" s="55"/>
      <c r="E123" s="55"/>
      <c r="F123" s="55"/>
      <c r="H123" s="50"/>
      <c r="J123" s="53"/>
      <c r="K123" s="412"/>
      <c r="L123" s="53"/>
      <c r="M123" s="463"/>
    </row>
    <row r="124" spans="1:26" s="38" customFormat="1" ht="25" customHeight="1">
      <c r="A124" s="47"/>
      <c r="B124" s="984" t="s">
        <v>287</v>
      </c>
      <c r="C124" s="984"/>
      <c r="D124" s="984"/>
      <c r="E124" s="984"/>
      <c r="F124" s="984"/>
      <c r="G124" s="57"/>
      <c r="H124" s="58"/>
      <c r="J124" s="59"/>
      <c r="K124" s="413"/>
      <c r="L124" s="61"/>
      <c r="M124" s="463"/>
      <c r="S124" s="54"/>
      <c r="T124" s="54"/>
      <c r="U124" s="54"/>
      <c r="V124" s="54"/>
      <c r="W124" s="54"/>
      <c r="X124" s="54"/>
      <c r="Y124" s="54"/>
      <c r="Z124" s="54"/>
    </row>
    <row r="125" spans="1:26" s="38" customFormat="1" ht="25" customHeight="1">
      <c r="A125" s="47"/>
      <c r="B125" s="62" t="s">
        <v>288</v>
      </c>
      <c r="C125" s="464"/>
      <c r="D125" s="464"/>
      <c r="E125" s="64"/>
      <c r="F125" s="64"/>
      <c r="G125" s="57"/>
      <c r="H125" s="58"/>
      <c r="I125" s="57"/>
      <c r="J125" s="59"/>
      <c r="K125" s="413"/>
      <c r="L125" s="61"/>
      <c r="M125" s="463"/>
      <c r="S125" s="54"/>
      <c r="T125" s="54"/>
      <c r="U125" s="54"/>
      <c r="V125" s="54"/>
      <c r="W125" s="66"/>
      <c r="X125" s="161"/>
      <c r="Y125" s="54"/>
      <c r="Z125" s="54"/>
    </row>
    <row r="126" spans="1:26" s="150" customFormat="1" ht="25" customHeight="1">
      <c r="A126" s="185"/>
      <c r="B126" s="243"/>
      <c r="C126" s="161"/>
      <c r="D126" s="161"/>
      <c r="E126" s="161"/>
      <c r="F126" s="161"/>
      <c r="G126" s="161"/>
      <c r="H126" s="161"/>
      <c r="I126" s="161"/>
      <c r="J126" s="161"/>
      <c r="K126" s="419"/>
      <c r="L126" s="161"/>
      <c r="M126" s="463"/>
      <c r="P126" s="182"/>
      <c r="Q126" s="182"/>
      <c r="R126" s="182"/>
      <c r="S126" s="182"/>
      <c r="T126" s="182"/>
      <c r="U126" s="182"/>
    </row>
    <row r="127" spans="1:26" ht="25" customHeight="1">
      <c r="B127" s="78" t="s">
        <v>23</v>
      </c>
      <c r="C127" s="244"/>
      <c r="D127" s="244"/>
      <c r="E127" s="179" t="s">
        <v>302</v>
      </c>
      <c r="F127" s="244"/>
      <c r="G127" s="179" t="s">
        <v>303</v>
      </c>
      <c r="H127" s="179"/>
      <c r="I127" s="180" t="s">
        <v>296</v>
      </c>
      <c r="J127" s="1" t="s">
        <v>304</v>
      </c>
      <c r="K127" s="421" t="s">
        <v>68</v>
      </c>
      <c r="L127" s="178"/>
      <c r="M127" s="463"/>
    </row>
    <row r="128" spans="1:26" ht="25" customHeight="1">
      <c r="B128" s="137" t="s">
        <v>69</v>
      </c>
      <c r="C128" s="187"/>
      <c r="D128" s="187"/>
      <c r="E128" s="246" t="s">
        <v>20</v>
      </c>
      <c r="F128" s="191"/>
      <c r="G128" s="438">
        <f>BAAS_on.demand_SEK</f>
        <v>2.4500000000000002</v>
      </c>
      <c r="H128" s="191"/>
      <c r="I128" s="213"/>
      <c r="J128" s="248" t="s">
        <v>20</v>
      </c>
      <c r="K128" s="423">
        <f>ROUNDUP(I128*G128,2)</f>
        <v>0</v>
      </c>
      <c r="L128" s="178"/>
      <c r="M128" s="463"/>
    </row>
    <row r="129" spans="1:32" ht="25" customHeight="1">
      <c r="B129" s="139" t="s">
        <v>70</v>
      </c>
      <c r="C129" s="174"/>
      <c r="D129" s="174"/>
      <c r="E129" s="299">
        <v>5500</v>
      </c>
      <c r="F129" s="197"/>
      <c r="G129" s="124">
        <f>BAAS_small_SEK</f>
        <v>1.75</v>
      </c>
      <c r="H129" s="197"/>
      <c r="I129" s="251"/>
      <c r="J129" s="252">
        <v>0.75</v>
      </c>
      <c r="K129" s="425">
        <f>IF(I129&gt;0,$E$129+($G$129*(I129*(1-$J$129))),0)</f>
        <v>0</v>
      </c>
      <c r="L129" s="178"/>
      <c r="M129" s="463"/>
    </row>
    <row r="130" spans="1:32" s="256" customFormat="1" ht="25" customHeight="1">
      <c r="A130" s="257"/>
      <c r="B130" s="171" t="s">
        <v>71</v>
      </c>
      <c r="C130" s="225"/>
      <c r="D130" s="225"/>
      <c r="E130" s="384">
        <v>9500</v>
      </c>
      <c r="F130" s="229"/>
      <c r="G130" s="438">
        <f>BAAS_large_SEK</f>
        <v>0.92</v>
      </c>
      <c r="H130" s="229"/>
      <c r="I130" s="254"/>
      <c r="J130" s="255">
        <v>0.75</v>
      </c>
      <c r="K130" s="433">
        <f>IF(I130&gt;0,$E$130+($G$130*(I130*(1-$J$130))),0)</f>
        <v>0</v>
      </c>
      <c r="L130" s="178"/>
      <c r="M130" s="463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2" s="101" customFormat="1" ht="25" customHeight="1">
      <c r="A131" s="96"/>
      <c r="B131" s="97" t="s">
        <v>27</v>
      </c>
      <c r="C131" s="98"/>
      <c r="D131" s="98"/>
      <c r="E131" s="98"/>
      <c r="F131" s="98"/>
      <c r="G131" s="98"/>
      <c r="H131" s="98"/>
      <c r="I131" s="98" t="str">
        <f>SUM(I128:I130)&amp;" GB"</f>
        <v>0 GB</v>
      </c>
      <c r="J131" s="98"/>
      <c r="K131" s="142">
        <f>SUM(K128:K130)</f>
        <v>0</v>
      </c>
      <c r="M131" s="463"/>
      <c r="P131" s="102"/>
      <c r="R131" s="102"/>
    </row>
    <row r="132" spans="1:32" s="256" customFormat="1" ht="25" customHeight="1">
      <c r="A132" s="257"/>
      <c r="B132" s="103"/>
      <c r="C132" s="143"/>
      <c r="D132" s="143"/>
      <c r="E132" s="143"/>
      <c r="F132" s="258"/>
      <c r="G132" s="108"/>
      <c r="H132" s="108"/>
      <c r="I132" s="108"/>
      <c r="J132" s="108"/>
      <c r="K132" s="439"/>
      <c r="L132" s="106"/>
      <c r="M132" s="463"/>
      <c r="O132" s="260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</row>
    <row r="133" spans="1:32" ht="25" customHeight="1">
      <c r="B133" s="238"/>
      <c r="C133" s="239"/>
      <c r="D133" s="239"/>
      <c r="E133" s="239"/>
      <c r="F133" s="240"/>
      <c r="G133" s="241"/>
      <c r="H133" s="199"/>
      <c r="I133" s="199"/>
      <c r="J133" s="199"/>
      <c r="K133" s="426"/>
      <c r="L133" s="215"/>
      <c r="M133" s="463"/>
      <c r="N133" s="54"/>
    </row>
    <row r="134" spans="1:32" ht="25" customHeight="1">
      <c r="B134" s="238"/>
      <c r="C134" s="239"/>
      <c r="D134" s="239"/>
      <c r="E134" s="239"/>
      <c r="F134" s="240"/>
      <c r="G134" s="241"/>
      <c r="H134" s="199"/>
      <c r="I134" s="199"/>
      <c r="J134" s="199"/>
      <c r="K134" s="426"/>
      <c r="L134" s="201"/>
      <c r="M134" s="463"/>
      <c r="N134" s="54"/>
      <c r="Q134" s="38"/>
    </row>
    <row r="135" spans="1:32" s="38" customFormat="1" ht="25" customHeight="1">
      <c r="A135" s="47"/>
      <c r="B135" s="982" t="s">
        <v>72</v>
      </c>
      <c r="C135" s="982"/>
      <c r="D135" s="982"/>
      <c r="E135" s="982"/>
      <c r="F135" s="982"/>
      <c r="G135" s="982"/>
      <c r="H135" s="50"/>
      <c r="J135" s="53"/>
      <c r="K135" s="412"/>
      <c r="L135" s="53"/>
      <c r="M135" s="463"/>
    </row>
    <row r="136" spans="1:32" s="38" customFormat="1" ht="25" customHeight="1">
      <c r="A136" s="47"/>
      <c r="B136" s="982"/>
      <c r="C136" s="982"/>
      <c r="D136" s="982"/>
      <c r="E136" s="982"/>
      <c r="F136" s="982"/>
      <c r="G136" s="982"/>
      <c r="H136" s="50"/>
      <c r="J136" s="53"/>
      <c r="K136" s="412"/>
      <c r="L136" s="53"/>
      <c r="M136" s="463"/>
    </row>
    <row r="137" spans="1:32" s="38" customFormat="1" ht="25" customHeight="1">
      <c r="A137" s="47"/>
      <c r="B137" s="982"/>
      <c r="C137" s="982"/>
      <c r="D137" s="982"/>
      <c r="E137" s="982"/>
      <c r="F137" s="982"/>
      <c r="G137" s="982"/>
      <c r="H137" s="50"/>
      <c r="J137" s="53"/>
      <c r="K137" s="412"/>
      <c r="L137" s="53"/>
      <c r="M137" s="463"/>
    </row>
    <row r="138" spans="1:32" s="38" customFormat="1" ht="25" customHeight="1">
      <c r="A138" s="47"/>
      <c r="B138" s="55" t="s">
        <v>305</v>
      </c>
      <c r="C138" s="261"/>
      <c r="D138" s="261"/>
      <c r="E138" s="261"/>
      <c r="F138" s="261"/>
      <c r="H138" s="50"/>
      <c r="J138" s="53"/>
      <c r="K138" s="412"/>
      <c r="L138" s="53"/>
      <c r="M138" s="463"/>
    </row>
    <row r="139" spans="1:32" s="38" customFormat="1" ht="25" customHeight="1">
      <c r="A139" s="47"/>
      <c r="B139" s="984" t="s">
        <v>306</v>
      </c>
      <c r="C139" s="984"/>
      <c r="D139" s="984"/>
      <c r="E139" s="984"/>
      <c r="F139" s="984"/>
      <c r="G139" s="57"/>
      <c r="H139" s="58"/>
      <c r="J139" s="59"/>
      <c r="K139" s="413"/>
      <c r="L139" s="61"/>
      <c r="M139" s="463"/>
      <c r="S139" s="54"/>
      <c r="T139" s="54"/>
      <c r="U139" s="54"/>
      <c r="V139" s="54"/>
      <c r="W139" s="54"/>
      <c r="X139" s="54"/>
      <c r="Y139" s="54"/>
      <c r="Z139" s="54"/>
    </row>
    <row r="140" spans="1:32" s="38" customFormat="1" ht="25" customHeight="1">
      <c r="A140" s="47"/>
      <c r="B140" s="62" t="s">
        <v>307</v>
      </c>
      <c r="C140" s="464"/>
      <c r="D140" s="464"/>
      <c r="E140" s="464"/>
      <c r="F140" s="64"/>
      <c r="G140" s="57"/>
      <c r="H140" s="58"/>
      <c r="I140" s="57"/>
      <c r="J140" s="59"/>
      <c r="K140" s="413"/>
      <c r="L140" s="61"/>
      <c r="M140" s="463"/>
      <c r="S140" s="54"/>
      <c r="T140" s="54"/>
      <c r="U140" s="54"/>
      <c r="V140" s="54"/>
      <c r="W140" s="66"/>
      <c r="X140" s="161"/>
      <c r="Y140" s="54"/>
      <c r="Z140" s="54"/>
    </row>
    <row r="141" spans="1:32" s="150" customFormat="1" ht="25" customHeight="1">
      <c r="A141" s="185"/>
      <c r="B141" s="243"/>
      <c r="C141" s="161"/>
      <c r="D141" s="161"/>
      <c r="E141" s="161"/>
      <c r="F141" s="161"/>
      <c r="G141" s="161"/>
      <c r="H141" s="161"/>
      <c r="I141" s="161"/>
      <c r="J141" s="161"/>
      <c r="K141" s="419"/>
      <c r="L141" s="161"/>
      <c r="M141" s="463"/>
      <c r="P141" s="182"/>
      <c r="Q141" s="182"/>
      <c r="R141" s="182"/>
      <c r="S141" s="182"/>
      <c r="T141" s="182"/>
      <c r="U141" s="182"/>
    </row>
    <row r="142" spans="1:32" ht="25" customHeight="1">
      <c r="B142" s="78" t="s">
        <v>23</v>
      </c>
      <c r="C142" s="996" t="s">
        <v>308</v>
      </c>
      <c r="D142" s="996"/>
      <c r="E142" s="996" t="s">
        <v>309</v>
      </c>
      <c r="F142" s="996"/>
      <c r="G142" s="996" t="s">
        <v>302</v>
      </c>
      <c r="H142" s="996"/>
      <c r="I142" s="179"/>
      <c r="J142" s="179"/>
      <c r="K142" s="421" t="s">
        <v>77</v>
      </c>
      <c r="L142" s="178"/>
      <c r="M142" s="463"/>
    </row>
    <row r="143" spans="1:32" ht="25" customHeight="1">
      <c r="B143" s="263" t="s">
        <v>78</v>
      </c>
      <c r="C143" s="997" t="s">
        <v>79</v>
      </c>
      <c r="D143" s="997"/>
      <c r="E143" s="998" t="s">
        <v>310</v>
      </c>
      <c r="F143" s="998"/>
      <c r="G143" s="999">
        <v>15000</v>
      </c>
      <c r="H143" s="999"/>
      <c r="I143" s="266"/>
      <c r="J143" s="267">
        <v>2</v>
      </c>
      <c r="K143" s="440" t="str">
        <f>IF(J143=1,G143," ")</f>
        <v xml:space="preserve"> </v>
      </c>
      <c r="L143" s="178"/>
      <c r="M143" s="463"/>
    </row>
    <row r="144" spans="1:32" ht="25" customHeight="1">
      <c r="B144" s="139" t="s">
        <v>81</v>
      </c>
      <c r="C144" s="1000" t="s">
        <v>311</v>
      </c>
      <c r="D144" s="1000"/>
      <c r="E144" s="1001" t="s">
        <v>312</v>
      </c>
      <c r="F144" s="1001"/>
      <c r="G144" s="1002">
        <v>24000</v>
      </c>
      <c r="H144" s="1002"/>
      <c r="I144" s="271"/>
      <c r="J144" s="197"/>
      <c r="K144" s="441" t="str">
        <f>IF(J143=3,G144," ")</f>
        <v xml:space="preserve"> </v>
      </c>
      <c r="L144" s="178"/>
      <c r="M144" s="463"/>
    </row>
    <row r="145" spans="1:32" s="101" customFormat="1" ht="25" customHeight="1">
      <c r="A145" s="96"/>
      <c r="B145" s="97" t="s">
        <v>27</v>
      </c>
      <c r="C145" s="98"/>
      <c r="D145" s="98"/>
      <c r="E145" s="98"/>
      <c r="F145" s="98"/>
      <c r="G145" s="98"/>
      <c r="H145" s="98"/>
      <c r="I145" s="98"/>
      <c r="J145" s="98"/>
      <c r="K145" s="142">
        <f>SUM(K143:K144)</f>
        <v>0</v>
      </c>
      <c r="M145" s="463"/>
      <c r="P145" s="102"/>
      <c r="R145" s="102"/>
    </row>
    <row r="146" spans="1:32" s="256" customFormat="1" ht="25" customHeight="1">
      <c r="A146" s="257"/>
      <c r="B146" s="103"/>
      <c r="C146" s="108"/>
      <c r="D146" s="107"/>
      <c r="E146" s="107"/>
      <c r="F146" s="107"/>
      <c r="G146" s="108"/>
      <c r="H146" s="108"/>
      <c r="I146" s="108"/>
      <c r="J146" s="108"/>
      <c r="K146" s="128"/>
      <c r="L146" s="178"/>
      <c r="M146" s="463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2" s="256" customFormat="1" ht="25" customHeight="1">
      <c r="A147" s="257"/>
      <c r="B147" s="103"/>
      <c r="C147" s="143"/>
      <c r="D147" s="143"/>
      <c r="E147" s="143"/>
      <c r="F147" s="107"/>
      <c r="G147" s="108"/>
      <c r="H147" s="108"/>
      <c r="I147" s="108"/>
      <c r="J147" s="108"/>
      <c r="K147" s="439"/>
      <c r="L147" s="106"/>
      <c r="M147" s="463"/>
      <c r="O147" s="260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</row>
    <row r="148" spans="1:32" s="150" customFormat="1" ht="25" customHeight="1">
      <c r="A148" s="185"/>
      <c r="B148" s="8"/>
      <c r="C148" s="143"/>
      <c r="D148" s="64"/>
      <c r="E148" s="64"/>
      <c r="F148" s="64"/>
      <c r="G148" s="57"/>
      <c r="H148" s="58"/>
      <c r="I148" s="57"/>
      <c r="J148" s="65"/>
      <c r="K148" s="413"/>
      <c r="L148" s="61"/>
      <c r="M148" s="463"/>
      <c r="N148" s="182"/>
      <c r="O148" s="182"/>
      <c r="P148" s="182"/>
      <c r="Q148" s="182"/>
      <c r="R148" s="182"/>
      <c r="S148" s="182"/>
    </row>
    <row r="149" spans="1:32" s="38" customFormat="1" ht="25" customHeight="1">
      <c r="A149" s="47"/>
      <c r="B149" s="982" t="s">
        <v>313</v>
      </c>
      <c r="C149" s="982"/>
      <c r="D149" s="982"/>
      <c r="E149" s="982"/>
      <c r="F149" s="982"/>
      <c r="G149" s="982"/>
      <c r="H149" s="50"/>
      <c r="J149" s="53"/>
      <c r="K149" s="412"/>
      <c r="M149" s="463"/>
    </row>
    <row r="150" spans="1:32" s="38" customFormat="1" ht="25" customHeight="1">
      <c r="A150" s="47"/>
      <c r="B150" s="982"/>
      <c r="C150" s="982"/>
      <c r="D150" s="982"/>
      <c r="E150" s="982"/>
      <c r="F150" s="982"/>
      <c r="G150" s="982"/>
      <c r="H150" s="50"/>
      <c r="J150" s="53"/>
      <c r="K150" s="412"/>
      <c r="M150" s="463"/>
    </row>
    <row r="151" spans="1:32" s="38" customFormat="1" ht="25" customHeight="1">
      <c r="A151" s="47"/>
      <c r="B151" s="982"/>
      <c r="C151" s="982"/>
      <c r="D151" s="982"/>
      <c r="E151" s="982"/>
      <c r="F151" s="982"/>
      <c r="G151" s="982"/>
      <c r="H151" s="50"/>
      <c r="J151" s="53"/>
      <c r="K151" s="412"/>
      <c r="M151" s="463"/>
    </row>
    <row r="152" spans="1:32" s="38" customFormat="1" ht="25" customHeight="1">
      <c r="A152" s="47"/>
      <c r="B152" s="984" t="s">
        <v>287</v>
      </c>
      <c r="C152" s="984"/>
      <c r="D152" s="984"/>
      <c r="E152" s="984"/>
      <c r="F152" s="984"/>
      <c r="G152" s="57"/>
      <c r="H152" s="58"/>
      <c r="J152" s="59"/>
      <c r="K152" s="413"/>
      <c r="L152" s="61"/>
      <c r="M152" s="463"/>
      <c r="S152" s="54"/>
      <c r="T152" s="54"/>
      <c r="U152" s="54"/>
      <c r="V152" s="54"/>
      <c r="W152" s="54"/>
      <c r="X152" s="54"/>
      <c r="Y152" s="54"/>
      <c r="Z152" s="54"/>
    </row>
    <row r="153" spans="1:32" s="38" customFormat="1" ht="25" customHeight="1">
      <c r="A153" s="47"/>
      <c r="B153" s="1003"/>
      <c r="C153" s="1003"/>
      <c r="D153" s="1003"/>
      <c r="E153" s="1003"/>
      <c r="F153" s="1003"/>
      <c r="G153" s="57"/>
      <c r="H153" s="58"/>
      <c r="I153" s="57"/>
      <c r="J153" s="59"/>
      <c r="K153" s="413"/>
      <c r="L153" s="57"/>
      <c r="M153" s="463"/>
    </row>
    <row r="154" spans="1:32" s="38" customFormat="1" ht="25" customHeight="1">
      <c r="A154" s="47"/>
      <c r="B154" s="8"/>
      <c r="C154" s="64"/>
      <c r="D154" s="64"/>
      <c r="E154" s="64"/>
      <c r="F154" s="64"/>
      <c r="G154" s="57"/>
      <c r="H154" s="58"/>
      <c r="I154" s="57"/>
      <c r="J154" s="59"/>
      <c r="K154" s="413"/>
      <c r="L154" s="57"/>
      <c r="M154" s="463"/>
    </row>
    <row r="155" spans="1:32" s="161" customFormat="1" ht="25" customHeight="1">
      <c r="A155" s="47"/>
      <c r="B155" s="68" t="s">
        <v>314</v>
      </c>
      <c r="C155" s="64"/>
      <c r="D155" s="64"/>
      <c r="E155" s="64"/>
      <c r="F155" s="64"/>
      <c r="G155" s="57"/>
      <c r="H155" s="57"/>
      <c r="I155" s="57"/>
      <c r="J155" s="59"/>
      <c r="K155" s="413"/>
      <c r="L155" s="57"/>
      <c r="M155" s="463"/>
      <c r="N155" s="54"/>
      <c r="O155" s="54"/>
      <c r="P155" s="54"/>
      <c r="Q155" s="54"/>
      <c r="R155" s="54"/>
      <c r="S155" s="54"/>
    </row>
    <row r="156" spans="1:32" ht="25" customHeight="1">
      <c r="B156" s="76" t="s">
        <v>315</v>
      </c>
      <c r="M156" s="463"/>
    </row>
    <row r="157" spans="1:32" ht="25" customHeight="1">
      <c r="B157" s="273" t="s">
        <v>23</v>
      </c>
      <c r="C157" s="262" t="s">
        <v>316</v>
      </c>
      <c r="D157" s="262"/>
      <c r="E157" s="179" t="s">
        <v>295</v>
      </c>
      <c r="F157" s="179"/>
      <c r="G157" s="179"/>
      <c r="H157" s="179"/>
      <c r="I157" s="179"/>
      <c r="J157" s="262" t="s">
        <v>317</v>
      </c>
      <c r="K157" s="421" t="s">
        <v>318</v>
      </c>
      <c r="L157" s="135"/>
      <c r="M157" s="463"/>
      <c r="N157" s="201"/>
      <c r="O157" s="161"/>
    </row>
    <row r="158" spans="1:32" ht="25" customHeight="1">
      <c r="B158" s="137" t="s">
        <v>90</v>
      </c>
      <c r="C158" s="274" t="s">
        <v>91</v>
      </c>
      <c r="D158" s="274"/>
      <c r="E158" s="186" t="s">
        <v>92</v>
      </c>
      <c r="F158" s="191"/>
      <c r="G158" s="191"/>
      <c r="H158" s="191"/>
      <c r="I158" s="191"/>
      <c r="J158" s="275" t="s">
        <v>250</v>
      </c>
      <c r="K158" s="423">
        <f>NET_publicv4_SEK</f>
        <v>25</v>
      </c>
      <c r="M158" s="463"/>
      <c r="N158" s="201"/>
      <c r="O158" s="161"/>
    </row>
    <row r="159" spans="1:32" ht="25" customHeight="1">
      <c r="B159" s="139" t="s">
        <v>94</v>
      </c>
      <c r="C159" s="277" t="s">
        <v>95</v>
      </c>
      <c r="D159" s="277"/>
      <c r="E159" s="54" t="s">
        <v>92</v>
      </c>
      <c r="F159" s="278"/>
      <c r="G159" s="278"/>
      <c r="H159" s="278"/>
      <c r="I159" s="278"/>
      <c r="J159" s="279" t="s">
        <v>20</v>
      </c>
      <c r="K159" s="444">
        <f>NET_publicv6_SEK</f>
        <v>0</v>
      </c>
      <c r="M159" s="463"/>
      <c r="N159" s="201"/>
      <c r="O159" s="161"/>
    </row>
    <row r="160" spans="1:32" ht="25" customHeight="1">
      <c r="B160" s="137" t="s">
        <v>96</v>
      </c>
      <c r="C160" s="274" t="s">
        <v>251</v>
      </c>
      <c r="D160" s="274"/>
      <c r="E160" s="281"/>
      <c r="F160" s="282"/>
      <c r="G160" s="282"/>
      <c r="H160" s="282"/>
      <c r="I160" s="282"/>
      <c r="J160" s="275" t="s">
        <v>98</v>
      </c>
      <c r="K160" s="447">
        <f>NET_ingress_SEK</f>
        <v>0</v>
      </c>
      <c r="M160" s="463"/>
      <c r="N160" s="201"/>
      <c r="O160" s="161"/>
    </row>
    <row r="161" spans="2:18" ht="25" customHeight="1">
      <c r="B161" s="139" t="s">
        <v>99</v>
      </c>
      <c r="C161" s="277" t="s">
        <v>251</v>
      </c>
      <c r="D161" s="277"/>
      <c r="E161" s="54"/>
      <c r="F161" s="278"/>
      <c r="G161" s="278"/>
      <c r="H161" s="278"/>
      <c r="I161" s="278"/>
      <c r="J161" s="283" t="s">
        <v>98</v>
      </c>
      <c r="K161" s="444">
        <f>NET_egress_SEK</f>
        <v>0</v>
      </c>
      <c r="M161" s="463"/>
      <c r="N161" s="201"/>
      <c r="O161" s="161"/>
    </row>
    <row r="162" spans="2:18" ht="25" customHeight="1">
      <c r="B162" s="137" t="s">
        <v>100</v>
      </c>
      <c r="C162" s="274" t="s">
        <v>101</v>
      </c>
      <c r="D162" s="274"/>
      <c r="E162" s="191" t="s">
        <v>320</v>
      </c>
      <c r="F162" s="282"/>
      <c r="G162" s="282"/>
      <c r="H162" s="282"/>
      <c r="I162" s="282"/>
      <c r="J162" s="275" t="s">
        <v>253</v>
      </c>
      <c r="K162" s="447" t="s">
        <v>321</v>
      </c>
      <c r="M162" s="463"/>
    </row>
    <row r="163" spans="2:18" ht="25" customHeight="1">
      <c r="B163" s="139" t="s">
        <v>104</v>
      </c>
      <c r="C163" s="277" t="s">
        <v>105</v>
      </c>
      <c r="D163" s="277"/>
      <c r="E163" s="54"/>
      <c r="F163" s="278"/>
      <c r="G163" s="278"/>
      <c r="H163" s="278"/>
      <c r="I163" s="278"/>
      <c r="J163" s="279" t="s">
        <v>20</v>
      </c>
      <c r="K163" s="444">
        <f>NET_rdns_SEK</f>
        <v>0</v>
      </c>
      <c r="M163" s="463"/>
      <c r="N163" s="201"/>
      <c r="O163" s="161"/>
    </row>
    <row r="164" spans="2:18" ht="25" customHeight="1">
      <c r="B164" s="137" t="s">
        <v>106</v>
      </c>
      <c r="C164" s="274" t="s">
        <v>107</v>
      </c>
      <c r="D164" s="274"/>
      <c r="E164" s="191"/>
      <c r="F164" s="282"/>
      <c r="G164" s="282"/>
      <c r="H164" s="282"/>
      <c r="I164" s="282"/>
      <c r="J164" s="285" t="s">
        <v>20</v>
      </c>
      <c r="K164" s="447">
        <v>0</v>
      </c>
      <c r="M164" s="463"/>
      <c r="N164" s="201"/>
      <c r="O164" s="161"/>
    </row>
    <row r="165" spans="2:18" ht="25" customHeight="1">
      <c r="B165" s="286"/>
      <c r="C165" s="287"/>
      <c r="D165" s="288"/>
      <c r="E165" s="288"/>
      <c r="F165" s="288"/>
      <c r="G165" s="288"/>
      <c r="H165" s="288"/>
      <c r="I165" s="288"/>
      <c r="J165" s="287"/>
      <c r="K165" s="442"/>
      <c r="M165" s="463"/>
      <c r="N165" s="201"/>
      <c r="O165" s="161"/>
    </row>
    <row r="166" spans="2:18" ht="25" customHeight="1">
      <c r="C166" s="290"/>
      <c r="J166" s="290"/>
      <c r="M166" s="463"/>
      <c r="N166" s="201"/>
      <c r="O166" s="161"/>
    </row>
    <row r="167" spans="2:18" ht="25" customHeight="1">
      <c r="C167" s="290"/>
      <c r="J167" s="290"/>
      <c r="M167" s="463"/>
      <c r="N167" s="201"/>
      <c r="O167" s="161"/>
    </row>
    <row r="168" spans="2:18" ht="25" customHeight="1">
      <c r="B168" s="68" t="s">
        <v>322</v>
      </c>
      <c r="C168" s="135"/>
      <c r="D168" s="135"/>
      <c r="E168" s="135"/>
      <c r="F168" s="135"/>
      <c r="G168" s="135"/>
      <c r="H168" s="135"/>
      <c r="I168" s="135"/>
      <c r="J168" s="291"/>
      <c r="M168" s="463"/>
      <c r="N168" s="201"/>
      <c r="O168" s="161"/>
    </row>
    <row r="169" spans="2:18" ht="25" customHeight="1">
      <c r="B169" s="76" t="s">
        <v>323</v>
      </c>
      <c r="M169" s="463"/>
    </row>
    <row r="170" spans="2:18" ht="25" customHeight="1">
      <c r="B170" s="273" t="s">
        <v>23</v>
      </c>
      <c r="C170" s="262"/>
      <c r="D170" s="262"/>
      <c r="E170" s="179" t="s">
        <v>295</v>
      </c>
      <c r="F170" s="179"/>
      <c r="G170" s="179"/>
      <c r="H170" s="179"/>
      <c r="I170" s="179"/>
      <c r="J170" s="262" t="s">
        <v>317</v>
      </c>
      <c r="K170" s="421" t="s">
        <v>318</v>
      </c>
      <c r="M170" s="463"/>
      <c r="N170" s="201"/>
      <c r="O170" s="161"/>
    </row>
    <row r="171" spans="2:18" ht="25" customHeight="1">
      <c r="B171" s="137" t="s">
        <v>110</v>
      </c>
      <c r="C171" s="274"/>
      <c r="D171" s="191"/>
      <c r="E171" s="191" t="s">
        <v>111</v>
      </c>
      <c r="F171" s="191"/>
      <c r="G171" s="191"/>
      <c r="H171" s="191"/>
      <c r="I171" s="191"/>
      <c r="J171" s="275" t="s">
        <v>11</v>
      </c>
      <c r="K171" s="423">
        <f>SW_win.ser.201X_SEK</f>
        <v>175</v>
      </c>
      <c r="L171" s="199"/>
      <c r="M171" s="463"/>
      <c r="N171" s="201"/>
      <c r="O171" s="161"/>
      <c r="Q171" s="54"/>
      <c r="R171" s="54"/>
    </row>
    <row r="172" spans="2:18" ht="25" customHeight="1">
      <c r="B172" s="139" t="s">
        <v>112</v>
      </c>
      <c r="C172" s="277"/>
      <c r="D172" s="197"/>
      <c r="E172" s="197" t="s">
        <v>113</v>
      </c>
      <c r="F172" s="278"/>
      <c r="G172" s="278"/>
      <c r="H172" s="278"/>
      <c r="I172" s="278"/>
      <c r="J172" s="283" t="s">
        <v>11</v>
      </c>
      <c r="K172" s="425">
        <f>SW_ms.sql.ser_SEK</f>
        <v>1229</v>
      </c>
      <c r="L172" s="199"/>
      <c r="M172" s="463"/>
      <c r="N172" s="201"/>
      <c r="O172" s="161"/>
      <c r="Q172" s="54"/>
      <c r="R172" s="54"/>
    </row>
    <row r="173" spans="2:18" ht="25" customHeight="1">
      <c r="B173" s="137" t="s">
        <v>114</v>
      </c>
      <c r="C173" s="274"/>
      <c r="D173" s="191"/>
      <c r="E173" s="191" t="s">
        <v>115</v>
      </c>
      <c r="F173" s="191"/>
      <c r="G173" s="191"/>
      <c r="H173" s="191"/>
      <c r="I173" s="191"/>
      <c r="J173" s="275" t="s">
        <v>11</v>
      </c>
      <c r="K173" s="423">
        <f>SW_ms.sql.ser.ent_SEK</f>
        <v>3875</v>
      </c>
      <c r="L173" s="199"/>
      <c r="M173" s="463"/>
      <c r="N173" s="201"/>
      <c r="O173" s="161"/>
      <c r="Q173" s="54"/>
      <c r="R173" s="54"/>
    </row>
    <row r="174" spans="2:18" ht="25" customHeight="1">
      <c r="B174" s="292"/>
      <c r="C174" s="293"/>
      <c r="D174" s="294"/>
      <c r="E174" s="295"/>
      <c r="F174" s="296"/>
      <c r="G174" s="296"/>
      <c r="H174" s="296"/>
      <c r="I174" s="296"/>
      <c r="J174" s="297"/>
      <c r="K174" s="443"/>
      <c r="M174" s="463"/>
      <c r="N174" s="201"/>
      <c r="O174" s="161"/>
    </row>
    <row r="175" spans="2:18" ht="25" customHeight="1">
      <c r="B175" s="139"/>
      <c r="C175" s="277"/>
      <c r="D175" s="54"/>
      <c r="E175" s="299"/>
      <c r="F175" s="278"/>
      <c r="G175" s="278"/>
      <c r="H175" s="278"/>
      <c r="I175" s="278"/>
      <c r="J175" s="300"/>
      <c r="K175" s="444"/>
      <c r="M175" s="463"/>
      <c r="N175" s="201"/>
      <c r="O175" s="161"/>
    </row>
    <row r="176" spans="2:18" ht="25" customHeight="1">
      <c r="M176" s="463"/>
      <c r="N176" s="201"/>
      <c r="O176" s="161"/>
    </row>
    <row r="177" spans="1:15" ht="25" customHeight="1">
      <c r="B177" s="68" t="s">
        <v>324</v>
      </c>
      <c r="C177" s="135"/>
      <c r="D177" s="135"/>
      <c r="F177" s="135"/>
      <c r="G177" s="135"/>
      <c r="H177" s="135"/>
      <c r="I177" s="135"/>
      <c r="J177" s="135"/>
      <c r="M177" s="463"/>
      <c r="N177" s="201"/>
      <c r="O177" s="161"/>
    </row>
    <row r="178" spans="1:15" ht="25" customHeight="1">
      <c r="B178" s="76" t="s">
        <v>325</v>
      </c>
      <c r="M178" s="463"/>
    </row>
    <row r="179" spans="1:15" ht="25" customHeight="1">
      <c r="B179" s="273" t="s">
        <v>23</v>
      </c>
      <c r="C179" s="262"/>
      <c r="D179" s="262"/>
      <c r="E179" s="179" t="s">
        <v>295</v>
      </c>
      <c r="F179" s="179"/>
      <c r="G179" s="179"/>
      <c r="H179" s="179"/>
      <c r="I179" s="179"/>
      <c r="J179" s="6"/>
      <c r="K179" s="421" t="s">
        <v>318</v>
      </c>
      <c r="M179" s="463"/>
      <c r="N179" s="201"/>
      <c r="O179" s="161"/>
    </row>
    <row r="180" spans="1:15" ht="25" customHeight="1">
      <c r="B180" s="137" t="s">
        <v>122</v>
      </c>
      <c r="C180" s="274"/>
      <c r="D180" s="191"/>
      <c r="E180" s="191" t="s">
        <v>123</v>
      </c>
      <c r="F180" s="191"/>
      <c r="G180" s="191"/>
      <c r="H180" s="191"/>
      <c r="I180" s="191"/>
      <c r="J180" s="301"/>
      <c r="K180" s="423" t="s">
        <v>321</v>
      </c>
      <c r="M180" s="463"/>
      <c r="N180" s="201"/>
      <c r="O180" s="161"/>
    </row>
    <row r="181" spans="1:15" ht="25" customHeight="1">
      <c r="B181" s="139" t="s">
        <v>124</v>
      </c>
      <c r="C181" s="277"/>
      <c r="D181" s="197"/>
      <c r="E181" s="197" t="s">
        <v>125</v>
      </c>
      <c r="F181" s="278"/>
      <c r="G181" s="278"/>
      <c r="H181" s="278"/>
      <c r="I181" s="278"/>
      <c r="J181" s="300"/>
      <c r="K181" s="425" t="s">
        <v>321</v>
      </c>
      <c r="M181" s="463"/>
      <c r="N181" s="201"/>
      <c r="O181" s="161"/>
    </row>
    <row r="182" spans="1:15" ht="25" customHeight="1">
      <c r="B182" s="137" t="s">
        <v>126</v>
      </c>
      <c r="C182" s="274"/>
      <c r="D182" s="191"/>
      <c r="E182" s="191" t="s">
        <v>714</v>
      </c>
      <c r="F182" s="191"/>
      <c r="G182" s="191"/>
      <c r="H182" s="191"/>
      <c r="I182" s="191"/>
      <c r="J182" s="301"/>
      <c r="K182" s="423" t="s">
        <v>321</v>
      </c>
      <c r="M182" s="463"/>
      <c r="N182" s="201"/>
      <c r="O182" s="161"/>
    </row>
    <row r="183" spans="1:15" ht="25" customHeight="1">
      <c r="B183" s="139" t="s">
        <v>128</v>
      </c>
      <c r="C183" s="277"/>
      <c r="D183" s="197"/>
      <c r="E183" s="197" t="s">
        <v>129</v>
      </c>
      <c r="F183" s="278"/>
      <c r="G183" s="278"/>
      <c r="H183" s="278"/>
      <c r="I183" s="278"/>
      <c r="J183" s="300"/>
      <c r="K183" s="425" t="s">
        <v>321</v>
      </c>
      <c r="M183" s="463"/>
      <c r="N183" s="201"/>
      <c r="O183" s="161"/>
    </row>
    <row r="184" spans="1:15" ht="25" customHeight="1">
      <c r="B184" s="137" t="s">
        <v>130</v>
      </c>
      <c r="C184" s="274"/>
      <c r="D184" s="191"/>
      <c r="E184" s="191" t="s">
        <v>131</v>
      </c>
      <c r="F184" s="191"/>
      <c r="G184" s="191"/>
      <c r="H184" s="191"/>
      <c r="I184" s="191"/>
      <c r="J184" s="301"/>
      <c r="K184" s="423" t="s">
        <v>321</v>
      </c>
      <c r="M184" s="463"/>
      <c r="N184" s="201"/>
      <c r="O184" s="161"/>
    </row>
    <row r="185" spans="1:15" ht="25" customHeight="1">
      <c r="B185" s="139" t="s">
        <v>132</v>
      </c>
      <c r="C185" s="277"/>
      <c r="D185" s="197"/>
      <c r="E185" s="197" t="s">
        <v>133</v>
      </c>
      <c r="F185" s="278"/>
      <c r="G185" s="278"/>
      <c r="H185" s="278"/>
      <c r="I185" s="278"/>
      <c r="J185" s="300"/>
      <c r="K185" s="425" t="s">
        <v>321</v>
      </c>
      <c r="M185" s="463"/>
      <c r="N185" s="201"/>
      <c r="O185" s="161"/>
    </row>
    <row r="186" spans="1:15" ht="25" customHeight="1">
      <c r="B186" s="302" t="s">
        <v>134</v>
      </c>
      <c r="C186" s="274"/>
      <c r="D186" s="191"/>
      <c r="E186" s="191" t="s">
        <v>135</v>
      </c>
      <c r="F186" s="191"/>
      <c r="G186" s="191"/>
      <c r="H186" s="191"/>
      <c r="I186" s="191"/>
      <c r="J186" s="301"/>
      <c r="K186" s="423" t="s">
        <v>321</v>
      </c>
      <c r="M186" s="463"/>
      <c r="N186" s="201"/>
      <c r="O186" s="161"/>
    </row>
    <row r="187" spans="1:15" ht="25" customHeight="1">
      <c r="B187" s="292"/>
      <c r="C187" s="293"/>
      <c r="D187" s="303"/>
      <c r="E187" s="295"/>
      <c r="F187" s="296"/>
      <c r="G187" s="296"/>
      <c r="H187" s="296"/>
      <c r="I187" s="296"/>
      <c r="J187" s="297"/>
      <c r="K187" s="443"/>
      <c r="M187" s="463"/>
      <c r="N187" s="201"/>
      <c r="O187" s="161"/>
    </row>
    <row r="188" spans="1:15" ht="25" customHeight="1">
      <c r="B188" s="139"/>
      <c r="C188" s="277"/>
      <c r="D188" s="197"/>
      <c r="E188" s="299"/>
      <c r="F188" s="278"/>
      <c r="G188" s="300"/>
      <c r="H188" s="283"/>
      <c r="I188" s="304"/>
      <c r="M188" s="463"/>
    </row>
    <row r="189" spans="1:15" ht="25" customHeight="1">
      <c r="B189" s="305"/>
      <c r="C189" s="239"/>
      <c r="D189" s="239"/>
      <c r="E189" s="239"/>
      <c r="F189" s="240"/>
      <c r="G189" s="241"/>
      <c r="H189" s="239"/>
      <c r="I189" s="199"/>
      <c r="J189" s="199"/>
      <c r="K189" s="426"/>
      <c r="L189" s="201"/>
      <c r="M189" s="463"/>
      <c r="N189" s="54"/>
      <c r="O189" s="54"/>
    </row>
    <row r="190" spans="1:15" s="38" customFormat="1" ht="25" customHeight="1">
      <c r="A190" s="47"/>
      <c r="B190" s="982" t="s">
        <v>326</v>
      </c>
      <c r="C190" s="982"/>
      <c r="D190" s="982"/>
      <c r="E190" s="982"/>
      <c r="F190" s="982"/>
      <c r="G190" s="982"/>
      <c r="H190" s="306"/>
      <c r="J190" s="53"/>
      <c r="K190" s="412"/>
      <c r="M190" s="463"/>
    </row>
    <row r="191" spans="1:15" s="38" customFormat="1" ht="25" customHeight="1">
      <c r="A191" s="47"/>
      <c r="B191" s="982"/>
      <c r="C191" s="982"/>
      <c r="D191" s="982"/>
      <c r="E191" s="982"/>
      <c r="F191" s="982"/>
      <c r="G191" s="982"/>
      <c r="H191" s="306"/>
      <c r="J191" s="53"/>
      <c r="K191" s="412"/>
      <c r="M191" s="463"/>
    </row>
    <row r="192" spans="1:15" s="38" customFormat="1" ht="25" customHeight="1">
      <c r="A192" s="47"/>
      <c r="B192" s="982"/>
      <c r="C192" s="982"/>
      <c r="D192" s="982"/>
      <c r="E192" s="982"/>
      <c r="F192" s="982"/>
      <c r="G192" s="982"/>
      <c r="H192" s="306"/>
      <c r="J192" s="53"/>
      <c r="K192" s="412"/>
      <c r="M192" s="463"/>
    </row>
    <row r="193" spans="1:20" s="38" customFormat="1" ht="25" customHeight="1">
      <c r="A193" s="47"/>
      <c r="B193" s="987" t="s">
        <v>327</v>
      </c>
      <c r="C193" s="987"/>
      <c r="D193" s="987"/>
      <c r="E193" s="987"/>
      <c r="F193" s="987"/>
      <c r="H193" s="306"/>
      <c r="J193" s="53"/>
      <c r="K193" s="412"/>
      <c r="M193" s="463"/>
    </row>
    <row r="194" spans="1:20" s="38" customFormat="1" ht="25" customHeight="1">
      <c r="A194" s="47"/>
      <c r="B194" s="984" t="s">
        <v>287</v>
      </c>
      <c r="C194" s="984"/>
      <c r="D194" s="984"/>
      <c r="E194" s="984"/>
      <c r="F194" s="984"/>
      <c r="G194" s="57"/>
      <c r="H194" s="58"/>
      <c r="I194" s="57"/>
      <c r="J194" s="59"/>
      <c r="K194" s="413"/>
      <c r="L194" s="57"/>
      <c r="M194" s="463"/>
    </row>
    <row r="195" spans="1:20" s="38" customFormat="1" ht="25" customHeight="1">
      <c r="A195" s="47"/>
      <c r="B195" s="8"/>
      <c r="C195" s="64"/>
      <c r="D195" s="64"/>
      <c r="E195" s="64"/>
      <c r="F195" s="64"/>
      <c r="G195" s="57"/>
      <c r="H195" s="58"/>
      <c r="I195" s="57"/>
      <c r="J195" s="59"/>
      <c r="K195" s="413"/>
      <c r="L195" s="57"/>
      <c r="M195" s="463"/>
    </row>
    <row r="196" spans="1:20" ht="25" customHeight="1">
      <c r="B196" s="68" t="s">
        <v>139</v>
      </c>
      <c r="C196" s="135"/>
      <c r="D196" s="135"/>
      <c r="F196" s="135"/>
      <c r="G196" s="135"/>
      <c r="H196" s="135"/>
      <c r="I196" s="135"/>
      <c r="J196" s="135"/>
      <c r="K196" s="446"/>
      <c r="L196" s="135"/>
      <c r="M196" s="463"/>
      <c r="O196" s="201"/>
      <c r="P196" s="201"/>
      <c r="Q196" s="161"/>
      <c r="S196" s="54"/>
      <c r="T196" s="54"/>
    </row>
    <row r="197" spans="1:20" ht="25" customHeight="1">
      <c r="B197" s="76" t="s">
        <v>328</v>
      </c>
      <c r="M197" s="463"/>
    </row>
    <row r="198" spans="1:20" ht="25" customHeight="1">
      <c r="B198" s="273" t="s">
        <v>23</v>
      </c>
      <c r="C198" s="262"/>
      <c r="D198" s="179" t="s">
        <v>295</v>
      </c>
      <c r="E198" s="1"/>
      <c r="F198" s="179"/>
      <c r="G198" s="6"/>
      <c r="H198" s="6"/>
      <c r="I198" s="262" t="s">
        <v>317</v>
      </c>
      <c r="J198" s="262"/>
      <c r="K198" s="421" t="s">
        <v>77</v>
      </c>
      <c r="L198" s="199"/>
      <c r="M198" s="463"/>
      <c r="N198" s="201"/>
      <c r="O198" s="161"/>
      <c r="Q198" s="54"/>
      <c r="R198" s="54"/>
    </row>
    <row r="199" spans="1:20" ht="25" customHeight="1">
      <c r="B199" s="137" t="s">
        <v>141</v>
      </c>
      <c r="C199" s="274"/>
      <c r="D199" s="191" t="s">
        <v>329</v>
      </c>
      <c r="E199" s="301"/>
      <c r="F199" s="191"/>
      <c r="G199" s="301"/>
      <c r="H199" s="301"/>
      <c r="I199" s="285" t="s">
        <v>20</v>
      </c>
      <c r="J199" s="285"/>
      <c r="K199" s="447">
        <v>0</v>
      </c>
      <c r="L199" s="199"/>
      <c r="M199" s="463"/>
      <c r="N199" s="201"/>
      <c r="O199" s="161"/>
      <c r="Q199" s="54"/>
      <c r="R199" s="54"/>
    </row>
    <row r="200" spans="1:20" ht="25" customHeight="1">
      <c r="B200" s="139" t="s">
        <v>143</v>
      </c>
      <c r="C200" s="277"/>
      <c r="D200" s="197" t="s">
        <v>330</v>
      </c>
      <c r="E200" s="299"/>
      <c r="F200" s="278"/>
      <c r="G200" s="300"/>
      <c r="H200" s="300"/>
      <c r="I200" s="283" t="s">
        <v>264</v>
      </c>
      <c r="J200" s="283"/>
      <c r="K200" s="444" t="s">
        <v>321</v>
      </c>
      <c r="L200" s="199"/>
      <c r="M200" s="463"/>
      <c r="N200" s="201"/>
      <c r="O200" s="161"/>
      <c r="Q200" s="54"/>
      <c r="R200" s="54"/>
    </row>
    <row r="201" spans="1:20" ht="25" customHeight="1">
      <c r="B201" s="292"/>
      <c r="C201" s="293"/>
      <c r="D201" s="293"/>
      <c r="E201" s="295"/>
      <c r="F201" s="296"/>
      <c r="G201" s="297"/>
      <c r="H201" s="297"/>
      <c r="I201" s="308"/>
      <c r="J201" s="308"/>
      <c r="K201" s="443"/>
      <c r="L201" s="199"/>
      <c r="M201" s="463"/>
      <c r="N201" s="201"/>
      <c r="O201" s="161"/>
      <c r="Q201" s="54"/>
      <c r="R201" s="54"/>
    </row>
    <row r="202" spans="1:20" ht="25" customHeight="1">
      <c r="B202" s="139"/>
      <c r="C202" s="277"/>
      <c r="D202" s="197"/>
      <c r="E202" s="299"/>
      <c r="F202" s="278"/>
      <c r="G202" s="300"/>
      <c r="H202" s="300"/>
      <c r="I202" s="283"/>
      <c r="J202" s="283"/>
      <c r="K202" s="444"/>
      <c r="L202" s="199"/>
      <c r="M202" s="463"/>
      <c r="N202" s="201"/>
      <c r="O202" s="161"/>
      <c r="Q202" s="54"/>
      <c r="R202" s="54"/>
    </row>
    <row r="203" spans="1:20" s="82" customFormat="1" ht="25" customHeight="1">
      <c r="A203" s="10"/>
      <c r="B203" s="68" t="s">
        <v>331</v>
      </c>
      <c r="C203" s="309"/>
      <c r="D203" s="309"/>
      <c r="F203" s="309"/>
      <c r="G203" s="309"/>
      <c r="H203" s="309"/>
      <c r="I203" s="310"/>
      <c r="J203" s="310"/>
      <c r="K203" s="448"/>
      <c r="L203" s="312"/>
      <c r="M203" s="463"/>
      <c r="N203" s="313"/>
      <c r="O203" s="314"/>
      <c r="Q203" s="314"/>
      <c r="R203" s="314"/>
    </row>
    <row r="204" spans="1:20" ht="25" customHeight="1">
      <c r="B204" s="76" t="s">
        <v>332</v>
      </c>
      <c r="M204" s="463"/>
    </row>
    <row r="205" spans="1:20" ht="25" customHeight="1">
      <c r="B205" s="273" t="s">
        <v>23</v>
      </c>
      <c r="C205" s="262"/>
      <c r="D205" s="179" t="s">
        <v>295</v>
      </c>
      <c r="E205" s="1"/>
      <c r="F205" s="179"/>
      <c r="G205" s="6"/>
      <c r="H205" s="6"/>
      <c r="I205" s="262" t="s">
        <v>317</v>
      </c>
      <c r="J205" s="262"/>
      <c r="K205" s="421" t="s">
        <v>77</v>
      </c>
      <c r="L205" s="199"/>
      <c r="M205" s="463"/>
      <c r="N205" s="201"/>
      <c r="O205" s="161"/>
      <c r="Q205" s="54"/>
      <c r="R205" s="54"/>
    </row>
    <row r="206" spans="1:20" ht="25" customHeight="1">
      <c r="B206" s="137" t="s">
        <v>149</v>
      </c>
      <c r="C206" s="274"/>
      <c r="D206" s="191" t="s">
        <v>150</v>
      </c>
      <c r="E206" s="301"/>
      <c r="F206" s="191"/>
      <c r="G206" s="301"/>
      <c r="H206" s="301"/>
      <c r="I206" s="275" t="s">
        <v>264</v>
      </c>
      <c r="J206" s="275"/>
      <c r="K206" s="431">
        <f>PS_consult.jun_SEK</f>
        <v>1127</v>
      </c>
      <c r="L206" s="199"/>
      <c r="M206" s="463"/>
      <c r="N206" s="201"/>
      <c r="O206" s="161"/>
      <c r="Q206" s="54"/>
      <c r="R206" s="54"/>
    </row>
    <row r="207" spans="1:20" ht="25" customHeight="1">
      <c r="B207" s="139" t="s">
        <v>151</v>
      </c>
      <c r="C207" s="277"/>
      <c r="D207" s="197" t="s">
        <v>152</v>
      </c>
      <c r="E207" s="299"/>
      <c r="F207" s="278"/>
      <c r="G207" s="300"/>
      <c r="H207" s="300"/>
      <c r="I207" s="283" t="s">
        <v>264</v>
      </c>
      <c r="J207" s="283"/>
      <c r="K207" s="445">
        <f>PS_consult.sen_SEK</f>
        <v>1374</v>
      </c>
      <c r="L207" s="199"/>
      <c r="M207" s="463"/>
      <c r="N207" s="201"/>
      <c r="O207" s="161"/>
      <c r="Q207" s="54"/>
      <c r="R207" s="54"/>
    </row>
    <row r="208" spans="1:20" ht="25" customHeight="1">
      <c r="B208" s="137" t="s">
        <v>153</v>
      </c>
      <c r="C208" s="274"/>
      <c r="D208" s="191" t="s">
        <v>154</v>
      </c>
      <c r="E208" s="301"/>
      <c r="F208" s="191"/>
      <c r="G208" s="301"/>
      <c r="H208" s="301"/>
      <c r="I208" s="275" t="s">
        <v>264</v>
      </c>
      <c r="J208" s="275"/>
      <c r="K208" s="431">
        <f>PS_cloudarch.jun_SEK</f>
        <v>1277</v>
      </c>
      <c r="L208" s="199"/>
      <c r="M208" s="463"/>
      <c r="N208" s="201"/>
      <c r="O208" s="161"/>
      <c r="Q208" s="54"/>
      <c r="R208" s="54"/>
    </row>
    <row r="209" spans="1:18" ht="25" customHeight="1">
      <c r="B209" s="139" t="s">
        <v>155</v>
      </c>
      <c r="C209" s="277"/>
      <c r="D209" s="197" t="s">
        <v>156</v>
      </c>
      <c r="E209" s="197"/>
      <c r="F209" s="197"/>
      <c r="G209" s="300"/>
      <c r="H209" s="300"/>
      <c r="I209" s="283" t="s">
        <v>264</v>
      </c>
      <c r="J209" s="283"/>
      <c r="K209" s="445">
        <f>PS_cloudarch.sen_SEK</f>
        <v>1374</v>
      </c>
      <c r="L209" s="199"/>
      <c r="M209" s="463"/>
      <c r="N209" s="201"/>
      <c r="O209" s="161"/>
      <c r="Q209" s="54"/>
      <c r="R209" s="54"/>
    </row>
    <row r="210" spans="1:18" ht="25" customHeight="1">
      <c r="B210" s="137" t="s">
        <v>157</v>
      </c>
      <c r="C210" s="274"/>
      <c r="D210" s="191" t="s">
        <v>158</v>
      </c>
      <c r="E210" s="301"/>
      <c r="F210" s="191"/>
      <c r="G210" s="301"/>
      <c r="H210" s="301"/>
      <c r="I210" s="275" t="s">
        <v>264</v>
      </c>
      <c r="J210" s="275"/>
      <c r="K210" s="431">
        <f>PS_pm.jun_SEK</f>
        <v>1139</v>
      </c>
      <c r="L210" s="199"/>
      <c r="M210" s="463"/>
      <c r="N210" s="201"/>
      <c r="O210" s="161"/>
      <c r="Q210" s="54"/>
      <c r="R210" s="54"/>
    </row>
    <row r="211" spans="1:18" ht="25" customHeight="1">
      <c r="B211" s="139" t="s">
        <v>159</v>
      </c>
      <c r="C211" s="277"/>
      <c r="D211" s="197" t="s">
        <v>160</v>
      </c>
      <c r="E211" s="299"/>
      <c r="F211" s="278"/>
      <c r="G211" s="300"/>
      <c r="H211" s="300"/>
      <c r="I211" s="283" t="s">
        <v>264</v>
      </c>
      <c r="J211" s="283"/>
      <c r="K211" s="445">
        <f>PS_pm.sen_SEK</f>
        <v>1374</v>
      </c>
      <c r="L211" s="199"/>
      <c r="M211" s="463"/>
      <c r="N211" s="201"/>
      <c r="O211" s="161"/>
      <c r="Q211" s="54"/>
      <c r="R211" s="54"/>
    </row>
    <row r="212" spans="1:18" ht="25" customHeight="1">
      <c r="B212" s="292"/>
      <c r="C212" s="293"/>
      <c r="D212" s="303"/>
      <c r="E212" s="295"/>
      <c r="F212" s="296"/>
      <c r="G212" s="297"/>
      <c r="H212" s="297"/>
      <c r="I212" s="308"/>
      <c r="J212" s="308"/>
      <c r="K212" s="443"/>
      <c r="L212" s="199"/>
      <c r="M212" s="463"/>
      <c r="N212" s="201"/>
      <c r="O212" s="161"/>
      <c r="Q212" s="54"/>
      <c r="R212" s="54"/>
    </row>
    <row r="213" spans="1:18" ht="25" customHeight="1">
      <c r="B213" s="139"/>
      <c r="C213" s="277"/>
      <c r="D213" s="197"/>
      <c r="E213" s="299"/>
      <c r="F213" s="278"/>
      <c r="G213" s="300"/>
      <c r="H213" s="300"/>
      <c r="I213" s="283"/>
      <c r="J213" s="283"/>
      <c r="K213" s="444"/>
      <c r="M213" s="463"/>
      <c r="N213" s="201"/>
      <c r="O213" s="161"/>
    </row>
    <row r="214" spans="1:18" ht="25" customHeight="1">
      <c r="B214" s="68" t="s">
        <v>333</v>
      </c>
      <c r="C214" s="135"/>
      <c r="D214" s="135"/>
      <c r="F214" s="135"/>
      <c r="G214" s="135"/>
      <c r="H214" s="135"/>
      <c r="I214" s="291"/>
      <c r="J214" s="291"/>
      <c r="L214" s="199"/>
      <c r="M214" s="463"/>
      <c r="N214" s="201"/>
      <c r="O214" s="161"/>
      <c r="Q214" s="54"/>
      <c r="R214" s="54"/>
    </row>
    <row r="215" spans="1:18" ht="25" customHeight="1">
      <c r="B215" s="76" t="s">
        <v>334</v>
      </c>
      <c r="M215" s="463"/>
    </row>
    <row r="216" spans="1:18" ht="25" customHeight="1">
      <c r="B216" s="273" t="s">
        <v>23</v>
      </c>
      <c r="C216" s="262"/>
      <c r="D216" s="179" t="s">
        <v>295</v>
      </c>
      <c r="E216" s="1"/>
      <c r="F216" s="179"/>
      <c r="G216" s="179"/>
      <c r="H216" s="262" t="s">
        <v>335</v>
      </c>
      <c r="I216" s="262" t="s">
        <v>317</v>
      </c>
      <c r="J216" s="262"/>
      <c r="K216" s="421" t="s">
        <v>77</v>
      </c>
      <c r="L216" s="199"/>
      <c r="M216" s="463"/>
      <c r="N216" s="201"/>
      <c r="O216" s="161"/>
      <c r="Q216" s="54"/>
      <c r="R216" s="54"/>
    </row>
    <row r="217" spans="1:18" ht="25" customHeight="1">
      <c r="B217" s="137" t="s">
        <v>165</v>
      </c>
      <c r="C217" s="274"/>
      <c r="D217" s="191" t="s">
        <v>336</v>
      </c>
      <c r="E217" s="301"/>
      <c r="F217" s="191"/>
      <c r="G217" s="191"/>
      <c r="H217" s="275" t="s">
        <v>271</v>
      </c>
      <c r="I217" s="275" t="s">
        <v>337</v>
      </c>
      <c r="J217" s="275"/>
      <c r="K217" s="447" t="s">
        <v>321</v>
      </c>
      <c r="L217" s="199"/>
      <c r="M217" s="463"/>
      <c r="N217" s="201"/>
      <c r="O217" s="161"/>
      <c r="Q217" s="54"/>
      <c r="R217" s="54"/>
    </row>
    <row r="218" spans="1:18" ht="25" customHeight="1">
      <c r="B218" s="139" t="s">
        <v>170</v>
      </c>
      <c r="C218" s="277"/>
      <c r="D218" s="197" t="s">
        <v>338</v>
      </c>
      <c r="E218" s="299"/>
      <c r="F218" s="278"/>
      <c r="G218" s="278"/>
      <c r="H218" s="283" t="s">
        <v>271</v>
      </c>
      <c r="I218" s="283" t="s">
        <v>337</v>
      </c>
      <c r="J218" s="283"/>
      <c r="K218" s="444" t="s">
        <v>321</v>
      </c>
      <c r="L218" s="199"/>
      <c r="M218" s="463"/>
      <c r="N218" s="201"/>
      <c r="O218" s="161"/>
      <c r="Q218" s="54"/>
      <c r="R218" s="54"/>
    </row>
    <row r="219" spans="1:18" ht="25" customHeight="1">
      <c r="B219" s="137" t="s">
        <v>172</v>
      </c>
      <c r="C219" s="274"/>
      <c r="D219" s="191" t="s">
        <v>339</v>
      </c>
      <c r="E219" s="301"/>
      <c r="F219" s="191"/>
      <c r="G219" s="191"/>
      <c r="H219" s="275" t="s">
        <v>340</v>
      </c>
      <c r="I219" s="275" t="s">
        <v>337</v>
      </c>
      <c r="J219" s="275"/>
      <c r="K219" s="447" t="s">
        <v>321</v>
      </c>
      <c r="L219" s="199"/>
      <c r="M219" s="463"/>
      <c r="N219" s="201"/>
      <c r="O219" s="161"/>
      <c r="Q219" s="54"/>
      <c r="R219" s="54"/>
    </row>
    <row r="220" spans="1:18" ht="25" customHeight="1">
      <c r="B220" s="139" t="s">
        <v>175</v>
      </c>
      <c r="C220" s="277"/>
      <c r="D220" s="197" t="s">
        <v>341</v>
      </c>
      <c r="E220" s="299"/>
      <c r="F220" s="278"/>
      <c r="G220" s="278"/>
      <c r="H220" s="283" t="s">
        <v>340</v>
      </c>
      <c r="I220" s="283" t="s">
        <v>337</v>
      </c>
      <c r="J220" s="283"/>
      <c r="K220" s="444" t="s">
        <v>321</v>
      </c>
      <c r="L220" s="199"/>
      <c r="M220" s="463"/>
      <c r="N220" s="201"/>
      <c r="O220" s="161"/>
      <c r="Q220" s="54"/>
      <c r="R220" s="54"/>
    </row>
    <row r="221" spans="1:18" ht="25" customHeight="1">
      <c r="B221" s="292"/>
      <c r="C221" s="293"/>
      <c r="D221" s="303"/>
      <c r="E221" s="295"/>
      <c r="F221" s="296"/>
      <c r="G221" s="297"/>
      <c r="H221" s="297"/>
      <c r="I221" s="297"/>
      <c r="J221" s="297"/>
      <c r="K221" s="443"/>
      <c r="L221" s="199"/>
      <c r="M221" s="463"/>
      <c r="N221" s="201"/>
      <c r="O221" s="161"/>
      <c r="Q221" s="54"/>
      <c r="R221" s="54"/>
    </row>
    <row r="222" spans="1:18" ht="25" customHeight="1">
      <c r="B222" s="305"/>
      <c r="C222" s="239"/>
      <c r="D222" s="239"/>
      <c r="E222" s="239"/>
      <c r="F222" s="240"/>
      <c r="G222" s="241"/>
      <c r="H222" s="199"/>
      <c r="I222" s="199"/>
      <c r="J222" s="199"/>
      <c r="K222" s="427"/>
      <c r="L222" s="201"/>
      <c r="M222" s="463"/>
      <c r="N222" s="54"/>
      <c r="O222" s="54"/>
    </row>
    <row r="223" spans="1:18" ht="25" customHeight="1">
      <c r="A223" s="317"/>
      <c r="B223" s="318"/>
      <c r="C223" s="319"/>
      <c r="D223" s="319"/>
      <c r="E223" s="319"/>
      <c r="F223" s="320"/>
      <c r="G223" s="321"/>
      <c r="H223" s="322"/>
      <c r="I223" s="322"/>
      <c r="J223" s="323"/>
      <c r="K223" s="449"/>
      <c r="L223" s="325"/>
      <c r="M223" s="463"/>
      <c r="N223" s="54"/>
      <c r="O223" s="54"/>
    </row>
    <row r="224" spans="1:18" s="38" customFormat="1" ht="25" customHeight="1">
      <c r="A224" s="30"/>
      <c r="B224" s="326"/>
      <c r="C224" s="327"/>
      <c r="D224" s="327"/>
      <c r="E224" s="327"/>
      <c r="F224" s="328"/>
      <c r="G224" s="329"/>
      <c r="H224" s="330"/>
      <c r="I224" s="330"/>
      <c r="J224" s="331"/>
      <c r="K224" s="450"/>
      <c r="L224" s="33"/>
      <c r="M224" s="463"/>
    </row>
    <row r="225" spans="1:20" s="38" customFormat="1" ht="25" customHeight="1">
      <c r="A225" s="30"/>
      <c r="B225" s="326"/>
      <c r="C225" s="327"/>
      <c r="D225" s="327"/>
      <c r="E225" s="327"/>
      <c r="F225" s="328"/>
      <c r="G225" s="329"/>
      <c r="H225" s="330"/>
      <c r="I225" s="330"/>
      <c r="J225" s="331"/>
      <c r="K225" s="450"/>
      <c r="L225" s="33"/>
      <c r="M225" s="463"/>
    </row>
    <row r="226" spans="1:20" s="38" customFormat="1" ht="25" customHeight="1">
      <c r="A226" s="30"/>
      <c r="B226" s="326"/>
      <c r="C226" s="327"/>
      <c r="D226" s="327"/>
      <c r="E226" s="327"/>
      <c r="F226" s="328"/>
      <c r="G226" s="329"/>
      <c r="H226" s="330"/>
      <c r="I226" s="330"/>
      <c r="J226" s="331"/>
      <c r="K226" s="450"/>
      <c r="L226" s="33"/>
      <c r="M226" s="463"/>
    </row>
    <row r="227" spans="1:20" s="38" customFormat="1" ht="25" customHeight="1">
      <c r="A227" s="30"/>
      <c r="B227" s="988" t="s">
        <v>342</v>
      </c>
      <c r="C227" s="988"/>
      <c r="D227" s="988"/>
      <c r="E227" s="988"/>
      <c r="F227" s="988"/>
      <c r="G227" s="988"/>
      <c r="H227" s="35"/>
      <c r="I227" s="155"/>
      <c r="J227" s="33"/>
      <c r="K227" s="410"/>
      <c r="L227" s="33"/>
      <c r="M227" s="463"/>
    </row>
    <row r="228" spans="1:20" s="38" customFormat="1" ht="25" customHeight="1">
      <c r="A228" s="30"/>
      <c r="B228" s="988"/>
      <c r="C228" s="988"/>
      <c r="D228" s="988"/>
      <c r="E228" s="988"/>
      <c r="F228" s="988"/>
      <c r="G228" s="988"/>
      <c r="H228" s="35"/>
      <c r="I228" s="155"/>
      <c r="J228" s="33"/>
      <c r="K228" s="410"/>
      <c r="L228" s="33"/>
      <c r="M228" s="463"/>
    </row>
    <row r="229" spans="1:20" s="38" customFormat="1" ht="25" customHeight="1">
      <c r="A229" s="30"/>
      <c r="B229" s="988"/>
      <c r="C229" s="988"/>
      <c r="D229" s="988"/>
      <c r="E229" s="988"/>
      <c r="F229" s="988"/>
      <c r="G229" s="988"/>
      <c r="H229" s="35"/>
      <c r="I229" s="155"/>
      <c r="J229" s="33"/>
      <c r="K229" s="410"/>
      <c r="L229" s="33"/>
      <c r="M229" s="463"/>
    </row>
    <row r="230" spans="1:20" s="38" customFormat="1" ht="25" customHeight="1">
      <c r="A230" s="30"/>
      <c r="B230" s="989" t="s">
        <v>287</v>
      </c>
      <c r="C230" s="989"/>
      <c r="D230" s="989"/>
      <c r="E230" s="989"/>
      <c r="F230" s="989"/>
      <c r="G230" s="33"/>
      <c r="H230" s="35"/>
      <c r="I230" s="155"/>
      <c r="J230" s="33"/>
      <c r="K230" s="410"/>
      <c r="L230" s="334"/>
      <c r="M230" s="463"/>
    </row>
    <row r="231" spans="1:20" s="38" customFormat="1" ht="25" customHeight="1">
      <c r="A231" s="30"/>
      <c r="B231" s="31"/>
      <c r="C231" s="32"/>
      <c r="D231" s="32"/>
      <c r="E231" s="32"/>
      <c r="F231" s="32"/>
      <c r="G231" s="33"/>
      <c r="H231" s="35"/>
      <c r="I231" s="155"/>
      <c r="J231" s="33"/>
      <c r="K231" s="410"/>
      <c r="L231" s="334"/>
      <c r="M231" s="463"/>
    </row>
    <row r="232" spans="1:20" s="38" customFormat="1" ht="25" customHeight="1">
      <c r="A232" s="30"/>
      <c r="B232" s="25" t="s">
        <v>343</v>
      </c>
      <c r="C232" s="32"/>
      <c r="D232" s="32"/>
      <c r="E232" s="32"/>
      <c r="F232" s="32"/>
      <c r="G232" s="33"/>
      <c r="H232" s="35"/>
      <c r="I232" s="155"/>
      <c r="J232" s="33"/>
      <c r="K232" s="410"/>
      <c r="L232" s="334"/>
      <c r="M232" s="463"/>
    </row>
    <row r="233" spans="1:20" s="38" customFormat="1" ht="25" customHeight="1">
      <c r="A233" s="30"/>
      <c r="B233" s="27" t="s">
        <v>344</v>
      </c>
      <c r="C233" s="32"/>
      <c r="D233" s="32"/>
      <c r="E233" s="32"/>
      <c r="F233" s="32"/>
      <c r="G233" s="33"/>
      <c r="H233" s="35"/>
      <c r="I233" s="33"/>
      <c r="J233" s="37"/>
      <c r="K233" s="410"/>
      <c r="L233" s="334"/>
      <c r="M233" s="463"/>
    </row>
    <row r="234" spans="1:20" s="38" customFormat="1" ht="25" customHeight="1">
      <c r="A234" s="30"/>
      <c r="B234" s="28" t="s">
        <v>3</v>
      </c>
      <c r="C234" s="335"/>
      <c r="D234" s="335"/>
      <c r="E234" s="335"/>
      <c r="F234" s="335"/>
      <c r="G234" s="334"/>
      <c r="H234" s="336"/>
      <c r="I234" s="334"/>
      <c r="J234" s="337"/>
      <c r="K234" s="451"/>
      <c r="L234" s="334"/>
      <c r="M234" s="463"/>
    </row>
    <row r="235" spans="1:20" s="150" customFormat="1" ht="25" customHeight="1">
      <c r="A235" s="469"/>
      <c r="B235" s="333"/>
      <c r="C235" s="340"/>
      <c r="D235" s="340"/>
      <c r="E235" s="340"/>
      <c r="F235" s="340"/>
      <c r="G235" s="334"/>
      <c r="H235" s="336"/>
      <c r="I235" s="334"/>
      <c r="J235" s="337"/>
      <c r="K235" s="451"/>
      <c r="L235" s="341"/>
      <c r="M235" s="463"/>
      <c r="N235" s="342"/>
      <c r="O235" s="182"/>
      <c r="P235" s="182"/>
      <c r="Q235" s="182"/>
      <c r="R235" s="182"/>
      <c r="S235" s="182"/>
      <c r="T235" s="182"/>
    </row>
    <row r="236" spans="1:20" ht="25" customHeight="1">
      <c r="A236" s="15"/>
      <c r="B236" s="343" t="s">
        <v>279</v>
      </c>
      <c r="C236" s="344"/>
      <c r="D236" s="345"/>
      <c r="E236" s="344"/>
      <c r="F236" s="346"/>
      <c r="G236" s="346"/>
      <c r="H236" s="346"/>
      <c r="I236" s="344"/>
      <c r="J236" s="346" t="s">
        <v>342</v>
      </c>
      <c r="K236" s="452"/>
      <c r="L236" s="348"/>
      <c r="M236" s="463"/>
      <c r="N236" s="260"/>
    </row>
    <row r="237" spans="1:20" ht="25" customHeight="1">
      <c r="A237" s="15"/>
      <c r="B237" s="349" t="s">
        <v>181</v>
      </c>
      <c r="C237" s="350"/>
      <c r="D237" s="351"/>
      <c r="E237" s="350"/>
      <c r="F237" s="350"/>
      <c r="G237" s="352"/>
      <c r="H237" s="353"/>
      <c r="I237" s="351"/>
      <c r="J237" s="453">
        <f>K84+K72+K55+K94</f>
        <v>0</v>
      </c>
      <c r="K237" s="423"/>
      <c r="L237" s="17"/>
      <c r="M237" s="463"/>
      <c r="N237" s="260"/>
    </row>
    <row r="238" spans="1:20" ht="25" customHeight="1">
      <c r="A238" s="15"/>
      <c r="B238" s="355" t="s">
        <v>182</v>
      </c>
      <c r="C238" s="356" t="str">
        <f>K106&amp;" TB - S3"&amp;"     /     "&amp;K105&amp;" TB - Archive"</f>
        <v>0 TB - S3     /     0 TB - Archive</v>
      </c>
      <c r="D238" s="357"/>
      <c r="E238" s="357"/>
      <c r="F238" s="358"/>
      <c r="G238" s="359"/>
      <c r="H238" s="359"/>
      <c r="I238" s="360"/>
      <c r="J238" s="454">
        <f>K107</f>
        <v>0</v>
      </c>
      <c r="K238" s="423"/>
      <c r="L238" s="17"/>
      <c r="M238" s="463"/>
      <c r="N238" s="260"/>
    </row>
    <row r="239" spans="1:20" ht="25" customHeight="1">
      <c r="A239" s="15"/>
      <c r="B239" s="355" t="s">
        <v>183</v>
      </c>
      <c r="C239" s="362"/>
      <c r="D239" s="363"/>
      <c r="E239" s="364"/>
      <c r="F239" s="358"/>
      <c r="G239" s="359"/>
      <c r="H239" s="359"/>
      <c r="I239" s="360"/>
      <c r="J239" s="454">
        <f>K131</f>
        <v>0</v>
      </c>
      <c r="K239" s="423"/>
      <c r="L239" s="17"/>
      <c r="M239" s="463"/>
      <c r="N239" s="260"/>
    </row>
    <row r="240" spans="1:20" s="371" customFormat="1" ht="25" customHeight="1">
      <c r="A240" s="470"/>
      <c r="B240" s="471" t="s">
        <v>27</v>
      </c>
      <c r="C240" s="457"/>
      <c r="D240" s="457"/>
      <c r="E240" s="457"/>
      <c r="F240" s="457"/>
      <c r="G240" s="457"/>
      <c r="H240" s="457"/>
      <c r="I240" s="457"/>
      <c r="J240" s="457">
        <f>SUM(J237:J239)</f>
        <v>0</v>
      </c>
      <c r="K240" s="458"/>
      <c r="L240" s="370"/>
      <c r="M240" s="463"/>
    </row>
    <row r="241" spans="1:23" ht="25" customHeight="1">
      <c r="A241" s="15"/>
      <c r="B241" s="372"/>
      <c r="C241" s="373"/>
      <c r="D241" s="373"/>
      <c r="E241" s="373"/>
      <c r="F241" s="374"/>
      <c r="G241" s="375"/>
      <c r="H241" s="375"/>
      <c r="I241" s="376"/>
      <c r="J241" s="376"/>
      <c r="K241" s="459"/>
      <c r="L241" s="17"/>
      <c r="M241" s="463"/>
    </row>
    <row r="242" spans="1:23" ht="25" customHeight="1">
      <c r="A242" s="15"/>
      <c r="B242" s="24"/>
      <c r="C242" s="191"/>
      <c r="D242" s="378"/>
      <c r="E242" s="282"/>
      <c r="F242" s="301"/>
      <c r="G242" s="379"/>
      <c r="H242" s="191"/>
      <c r="I242" s="380"/>
      <c r="J242" s="381"/>
      <c r="K242" s="423"/>
      <c r="L242" s="17"/>
      <c r="M242" s="463"/>
    </row>
    <row r="243" spans="1:23" ht="25" customHeight="1">
      <c r="A243" s="382"/>
      <c r="B243" s="383"/>
      <c r="C243" s="229"/>
      <c r="D243" s="384"/>
      <c r="E243" s="385"/>
      <c r="F243" s="386"/>
      <c r="G243" s="387"/>
      <c r="H243" s="229"/>
      <c r="I243" s="388"/>
      <c r="J243" s="389"/>
      <c r="K243" s="433"/>
      <c r="L243" s="390"/>
      <c r="M243" s="463"/>
    </row>
    <row r="244" spans="1:23" s="401" customFormat="1" ht="25" customHeight="1">
      <c r="A244" s="391"/>
      <c r="B244" s="392"/>
      <c r="C244" s="393"/>
      <c r="D244" s="394"/>
      <c r="E244" s="395"/>
      <c r="F244" s="396"/>
      <c r="G244" s="397"/>
      <c r="H244" s="393"/>
      <c r="I244" s="398"/>
      <c r="J244" s="399"/>
      <c r="K244" s="460"/>
      <c r="M244" s="472"/>
    </row>
    <row r="245" spans="1:23" s="401" customFormat="1" ht="25" customHeight="1">
      <c r="A245" s="391"/>
      <c r="B245" s="402" t="s">
        <v>345</v>
      </c>
      <c r="C245" s="393"/>
      <c r="D245" s="393"/>
      <c r="E245" s="393"/>
      <c r="F245" s="403"/>
      <c r="G245" s="404"/>
      <c r="H245" s="405"/>
      <c r="I245" s="405"/>
      <c r="J245" s="405"/>
      <c r="K245" s="461"/>
      <c r="L245" s="399"/>
      <c r="M245" s="473"/>
      <c r="N245" s="399"/>
    </row>
    <row r="246" spans="1:23" s="401" customFormat="1" ht="25" customHeight="1">
      <c r="A246" s="391"/>
      <c r="B246" s="402" t="s">
        <v>346</v>
      </c>
      <c r="C246" s="393"/>
      <c r="D246" s="393"/>
      <c r="E246" s="393"/>
      <c r="F246" s="403"/>
      <c r="G246" s="404"/>
      <c r="H246" s="405"/>
      <c r="I246" s="405"/>
      <c r="J246" s="405"/>
      <c r="K246" s="461"/>
      <c r="L246" s="399"/>
      <c r="M246" s="473"/>
      <c r="N246" s="399"/>
    </row>
    <row r="247" spans="1:23" s="401" customFormat="1" ht="25" customHeight="1">
      <c r="A247" s="391"/>
      <c r="B247" s="402" t="s">
        <v>347</v>
      </c>
      <c r="C247" s="393"/>
      <c r="D247" s="393"/>
      <c r="E247" s="393"/>
      <c r="F247" s="403"/>
      <c r="G247" s="404"/>
      <c r="H247" s="405"/>
      <c r="I247" s="405"/>
      <c r="J247" s="405"/>
      <c r="K247" s="461"/>
      <c r="L247" s="399"/>
      <c r="M247" s="473"/>
      <c r="N247" s="399"/>
    </row>
    <row r="248" spans="1:23" s="401" customFormat="1" ht="25" customHeight="1">
      <c r="A248" s="391"/>
      <c r="B248" s="402" t="s">
        <v>348</v>
      </c>
      <c r="C248" s="393"/>
      <c r="D248" s="393"/>
      <c r="E248" s="393"/>
      <c r="F248" s="403"/>
      <c r="G248" s="404"/>
      <c r="H248" s="405"/>
      <c r="I248" s="405"/>
      <c r="J248" s="405"/>
      <c r="K248" s="461"/>
      <c r="L248" s="399"/>
      <c r="M248" s="473"/>
      <c r="N248" s="399"/>
    </row>
    <row r="249" spans="1:23" s="401" customFormat="1" ht="25" customHeight="1">
      <c r="A249" s="391"/>
      <c r="B249" s="402"/>
      <c r="C249" s="393"/>
      <c r="D249" s="393"/>
      <c r="E249" s="393"/>
      <c r="F249" s="403"/>
      <c r="G249" s="404"/>
      <c r="H249" s="405"/>
      <c r="I249" s="405"/>
      <c r="J249" s="405"/>
      <c r="K249" s="461"/>
      <c r="L249" s="399"/>
      <c r="M249" s="473"/>
      <c r="N249" s="399"/>
    </row>
    <row r="250" spans="1:23" s="401" customFormat="1" ht="25" customHeight="1">
      <c r="A250" s="391"/>
      <c r="B250" s="392"/>
      <c r="C250" s="393"/>
      <c r="D250" s="393"/>
      <c r="E250" s="393"/>
      <c r="F250" s="403"/>
      <c r="G250" s="404"/>
      <c r="H250" s="405"/>
      <c r="I250" s="405"/>
      <c r="J250" s="405"/>
      <c r="K250" s="461"/>
      <c r="L250" s="399"/>
      <c r="M250" s="473"/>
      <c r="N250" s="399"/>
    </row>
    <row r="251" spans="1:23" s="401" customFormat="1" ht="25" customHeight="1">
      <c r="A251" s="391"/>
      <c r="B251" s="392"/>
      <c r="C251" s="393"/>
      <c r="D251" s="393"/>
      <c r="E251" s="393"/>
      <c r="F251" s="403"/>
      <c r="G251" s="404"/>
      <c r="H251" s="405"/>
      <c r="I251" s="405"/>
      <c r="J251" s="405"/>
      <c r="K251" s="461"/>
      <c r="L251" s="399"/>
      <c r="M251" s="473"/>
      <c r="N251" s="399"/>
    </row>
    <row r="252" spans="1:23" s="401" customFormat="1" ht="25" customHeight="1">
      <c r="A252" s="391"/>
      <c r="B252" s="392"/>
      <c r="C252" s="393"/>
      <c r="D252" s="393"/>
      <c r="E252" s="393"/>
      <c r="F252" s="403"/>
      <c r="G252" s="404"/>
      <c r="H252" s="405"/>
      <c r="I252" s="405"/>
      <c r="J252" s="405"/>
      <c r="K252" s="461"/>
      <c r="L252" s="399"/>
      <c r="M252" s="473"/>
      <c r="N252" s="399"/>
    </row>
    <row r="253" spans="1:23" s="401" customFormat="1" ht="25" customHeight="1">
      <c r="A253" s="391"/>
      <c r="B253" s="392"/>
      <c r="C253" s="393"/>
      <c r="D253" s="393"/>
      <c r="E253" s="393"/>
      <c r="F253" s="403"/>
      <c r="G253" s="404"/>
      <c r="H253" s="405"/>
      <c r="I253" s="405"/>
      <c r="J253" s="405"/>
      <c r="K253" s="461"/>
      <c r="L253" s="399"/>
      <c r="M253" s="473"/>
      <c r="N253" s="399"/>
    </row>
    <row r="254" spans="1:23" s="406" customFormat="1" ht="25" customHeight="1">
      <c r="A254" s="391"/>
      <c r="B254" s="392"/>
      <c r="C254" s="393"/>
      <c r="D254" s="393"/>
      <c r="E254" s="393"/>
      <c r="F254" s="403"/>
      <c r="G254" s="404"/>
      <c r="H254" s="405"/>
      <c r="I254" s="405"/>
      <c r="J254" s="405"/>
      <c r="K254" s="461"/>
      <c r="L254" s="399"/>
      <c r="M254" s="473"/>
      <c r="N254" s="399"/>
      <c r="O254" s="401"/>
      <c r="P254" s="401"/>
      <c r="Q254" s="401"/>
      <c r="R254" s="401"/>
      <c r="S254" s="401"/>
      <c r="T254" s="401"/>
      <c r="U254" s="401"/>
      <c r="V254" s="401"/>
      <c r="W254" s="401"/>
    </row>
    <row r="255" spans="1:23" s="401" customFormat="1" ht="25" customHeight="1">
      <c r="A255" s="391"/>
      <c r="B255" s="392"/>
      <c r="C255" s="393"/>
      <c r="D255" s="393"/>
      <c r="E255" s="393"/>
      <c r="F255" s="403"/>
      <c r="G255" s="404"/>
      <c r="H255" s="405"/>
      <c r="I255" s="405"/>
      <c r="J255" s="405"/>
      <c r="K255" s="461"/>
      <c r="L255" s="399"/>
      <c r="M255" s="473"/>
      <c r="N255" s="399"/>
    </row>
    <row r="256" spans="1:23" s="401" customFormat="1" ht="25" customHeight="1">
      <c r="A256" s="391"/>
      <c r="B256" s="392"/>
      <c r="C256" s="393"/>
      <c r="D256" s="393"/>
      <c r="E256" s="393"/>
      <c r="F256" s="403"/>
      <c r="G256" s="404"/>
      <c r="H256" s="405"/>
      <c r="I256" s="405"/>
      <c r="J256" s="405"/>
      <c r="K256" s="461"/>
      <c r="L256" s="399"/>
      <c r="M256" s="473"/>
      <c r="N256" s="399"/>
    </row>
    <row r="257" spans="1:14" s="401" customFormat="1" ht="25" customHeight="1">
      <c r="A257" s="391"/>
      <c r="B257" s="392"/>
      <c r="C257" s="393"/>
      <c r="D257" s="393"/>
      <c r="E257" s="393"/>
      <c r="F257" s="403"/>
      <c r="G257" s="404"/>
      <c r="H257" s="405"/>
      <c r="I257" s="405"/>
      <c r="J257" s="405"/>
      <c r="K257" s="461"/>
      <c r="L257" s="399"/>
      <c r="M257" s="473"/>
      <c r="N257" s="399"/>
    </row>
    <row r="258" spans="1:14" s="401" customFormat="1" ht="25" customHeight="1">
      <c r="A258" s="391"/>
      <c r="B258" s="392"/>
      <c r="C258" s="393"/>
      <c r="D258" s="393"/>
      <c r="E258" s="393"/>
      <c r="F258" s="403"/>
      <c r="G258" s="404"/>
      <c r="H258" s="405"/>
      <c r="I258" s="405"/>
      <c r="J258" s="405"/>
      <c r="K258" s="461"/>
      <c r="L258" s="399"/>
      <c r="M258" s="473"/>
      <c r="N258" s="399"/>
    </row>
    <row r="259" spans="1:14" s="401" customFormat="1" ht="25" customHeight="1">
      <c r="A259" s="391"/>
      <c r="B259" s="392"/>
      <c r="C259" s="393"/>
      <c r="D259" s="393"/>
      <c r="E259" s="393"/>
      <c r="F259" s="403"/>
      <c r="G259" s="404"/>
      <c r="H259" s="405"/>
      <c r="I259" s="405"/>
      <c r="J259" s="405"/>
      <c r="K259" s="461"/>
      <c r="L259" s="399"/>
      <c r="M259" s="473"/>
      <c r="N259" s="399"/>
    </row>
    <row r="260" spans="1:14" s="401" customFormat="1" ht="25" customHeight="1">
      <c r="A260" s="391"/>
      <c r="B260" s="392"/>
      <c r="C260" s="393"/>
      <c r="D260" s="393"/>
      <c r="E260" s="393"/>
      <c r="F260" s="403"/>
      <c r="G260" s="404"/>
      <c r="H260" s="405"/>
      <c r="I260" s="405"/>
      <c r="J260" s="405"/>
      <c r="K260" s="461"/>
      <c r="L260" s="399"/>
      <c r="M260" s="473"/>
      <c r="N260" s="399"/>
    </row>
    <row r="261" spans="1:14" s="401" customFormat="1" ht="25" customHeight="1">
      <c r="A261" s="391"/>
      <c r="B261" s="392"/>
      <c r="C261" s="393"/>
      <c r="D261" s="393"/>
      <c r="E261" s="393"/>
      <c r="F261" s="403"/>
      <c r="G261" s="404"/>
      <c r="H261" s="405"/>
      <c r="I261" s="405"/>
      <c r="J261" s="405"/>
      <c r="K261" s="461"/>
      <c r="L261" s="399"/>
      <c r="M261" s="473"/>
      <c r="N261" s="399"/>
    </row>
    <row r="262" spans="1:14" s="401" customFormat="1" ht="25" customHeight="1">
      <c r="A262" s="391"/>
      <c r="B262" s="392"/>
      <c r="C262" s="393"/>
      <c r="D262" s="393"/>
      <c r="E262" s="393"/>
      <c r="F262" s="403"/>
      <c r="G262" s="404"/>
      <c r="H262" s="405"/>
      <c r="I262" s="405"/>
      <c r="J262" s="405"/>
      <c r="K262" s="461"/>
      <c r="L262" s="399"/>
      <c r="M262" s="473"/>
      <c r="N262" s="399"/>
    </row>
    <row r="263" spans="1:14" s="401" customFormat="1" ht="25" customHeight="1">
      <c r="A263" s="391"/>
      <c r="B263" s="392"/>
      <c r="C263" s="393"/>
      <c r="D263" s="393"/>
      <c r="E263" s="393"/>
      <c r="F263" s="403"/>
      <c r="G263" s="404"/>
      <c r="H263" s="405"/>
      <c r="I263" s="405"/>
      <c r="J263" s="405"/>
      <c r="K263" s="461"/>
      <c r="L263" s="399"/>
      <c r="M263" s="473"/>
      <c r="N263" s="399"/>
    </row>
    <row r="264" spans="1:14" s="401" customFormat="1" ht="25" customHeight="1">
      <c r="A264" s="391"/>
      <c r="B264" s="392"/>
      <c r="C264" s="393"/>
      <c r="D264" s="393"/>
      <c r="E264" s="393"/>
      <c r="F264" s="403"/>
      <c r="G264" s="404"/>
      <c r="H264" s="405"/>
      <c r="I264" s="405"/>
      <c r="J264" s="405"/>
      <c r="K264" s="461"/>
      <c r="L264" s="399"/>
      <c r="M264" s="473"/>
      <c r="N264" s="399"/>
    </row>
    <row r="265" spans="1:14" s="401" customFormat="1" ht="25" customHeight="1">
      <c r="A265" s="391"/>
      <c r="B265" s="392"/>
      <c r="C265" s="393"/>
      <c r="D265" s="393"/>
      <c r="E265" s="393"/>
      <c r="F265" s="403"/>
      <c r="G265" s="404"/>
      <c r="H265" s="405"/>
      <c r="I265" s="405"/>
      <c r="J265" s="405"/>
      <c r="K265" s="461"/>
      <c r="L265" s="399"/>
      <c r="M265" s="473"/>
      <c r="N265" s="399"/>
    </row>
    <row r="266" spans="1:14" s="401" customFormat="1" ht="25" customHeight="1">
      <c r="A266" s="391"/>
      <c r="B266" s="392"/>
      <c r="C266" s="393"/>
      <c r="D266" s="393"/>
      <c r="E266" s="393"/>
      <c r="F266" s="403"/>
      <c r="G266" s="404"/>
      <c r="H266" s="405"/>
      <c r="I266" s="405"/>
      <c r="J266" s="405"/>
      <c r="K266" s="461"/>
      <c r="L266" s="399"/>
      <c r="M266" s="473"/>
      <c r="N266" s="399"/>
    </row>
    <row r="267" spans="1:14" s="401" customFormat="1" ht="25" customHeight="1">
      <c r="A267" s="391"/>
      <c r="B267" s="392"/>
      <c r="C267" s="393"/>
      <c r="D267" s="393"/>
      <c r="E267" s="393"/>
      <c r="F267" s="403"/>
      <c r="G267" s="404"/>
      <c r="H267" s="405"/>
      <c r="I267" s="405"/>
      <c r="J267" s="405"/>
      <c r="K267" s="461"/>
      <c r="L267" s="399"/>
      <c r="M267" s="473"/>
      <c r="N267" s="399"/>
    </row>
    <row r="268" spans="1:14" s="401" customFormat="1" ht="25" customHeight="1">
      <c r="A268" s="391"/>
      <c r="B268" s="392"/>
      <c r="C268" s="393"/>
      <c r="D268" s="393"/>
      <c r="E268" s="393"/>
      <c r="F268" s="403"/>
      <c r="G268" s="404"/>
      <c r="H268" s="405"/>
      <c r="I268" s="405"/>
      <c r="J268" s="405"/>
      <c r="K268" s="461"/>
      <c r="L268" s="399"/>
      <c r="M268" s="473"/>
      <c r="N268" s="399"/>
    </row>
    <row r="269" spans="1:14" s="401" customFormat="1" ht="25" customHeight="1">
      <c r="A269" s="391"/>
      <c r="B269" s="392"/>
      <c r="C269" s="393"/>
      <c r="D269" s="393"/>
      <c r="E269" s="393"/>
      <c r="F269" s="403"/>
      <c r="G269" s="404"/>
      <c r="H269" s="405"/>
      <c r="I269" s="405"/>
      <c r="J269" s="405"/>
      <c r="K269" s="461"/>
      <c r="L269" s="399"/>
      <c r="M269" s="473"/>
      <c r="N269" s="399"/>
    </row>
    <row r="270" spans="1:14" s="401" customFormat="1" ht="25" customHeight="1">
      <c r="A270" s="391"/>
      <c r="B270" s="392"/>
      <c r="C270" s="393"/>
      <c r="D270" s="393"/>
      <c r="E270" s="393"/>
      <c r="F270" s="403"/>
      <c r="G270" s="404"/>
      <c r="H270" s="405"/>
      <c r="I270" s="405"/>
      <c r="J270" s="405"/>
      <c r="K270" s="461"/>
      <c r="L270" s="399"/>
      <c r="M270" s="473"/>
      <c r="N270" s="399"/>
    </row>
    <row r="271" spans="1:14" s="401" customFormat="1" ht="25" customHeight="1">
      <c r="A271" s="391"/>
      <c r="B271" s="392"/>
      <c r="C271" s="393"/>
      <c r="D271" s="393"/>
      <c r="E271" s="393"/>
      <c r="F271" s="403"/>
      <c r="G271" s="404"/>
      <c r="H271" s="405"/>
      <c r="I271" s="405"/>
      <c r="J271" s="405"/>
      <c r="K271" s="461"/>
      <c r="L271" s="399"/>
      <c r="M271" s="473"/>
      <c r="N271" s="399"/>
    </row>
    <row r="272" spans="1:14" s="401" customFormat="1" ht="25" customHeight="1">
      <c r="A272" s="391"/>
      <c r="B272" s="392"/>
      <c r="C272" s="393"/>
      <c r="D272" s="393"/>
      <c r="E272" s="393"/>
      <c r="F272" s="403"/>
      <c r="G272" s="404"/>
      <c r="H272" s="405"/>
      <c r="I272" s="405"/>
      <c r="J272" s="405"/>
      <c r="K272" s="461"/>
      <c r="L272" s="399"/>
      <c r="M272" s="473"/>
      <c r="N272" s="399"/>
    </row>
    <row r="273" spans="1:14" s="401" customFormat="1" ht="25" customHeight="1">
      <c r="A273" s="391"/>
      <c r="B273" s="392"/>
      <c r="C273" s="393"/>
      <c r="D273" s="393"/>
      <c r="E273" s="393"/>
      <c r="F273" s="403"/>
      <c r="G273" s="404"/>
      <c r="H273" s="405"/>
      <c r="I273" s="405"/>
      <c r="J273" s="405"/>
      <c r="K273" s="461"/>
      <c r="L273" s="399"/>
      <c r="M273" s="473"/>
      <c r="N273" s="399"/>
    </row>
    <row r="274" spans="1:14" s="401" customFormat="1" ht="25" customHeight="1">
      <c r="A274" s="391"/>
      <c r="B274" s="392"/>
      <c r="K274" s="461"/>
      <c r="M274" s="472"/>
    </row>
    <row r="275" spans="1:14" s="401" customFormat="1" ht="25" customHeight="1">
      <c r="A275" s="391"/>
      <c r="B275" s="392"/>
      <c r="K275" s="461"/>
      <c r="M275" s="472"/>
    </row>
    <row r="276" spans="1:14" s="401" customFormat="1" ht="25" customHeight="1">
      <c r="A276" s="391"/>
      <c r="B276" s="392"/>
      <c r="K276" s="461"/>
      <c r="M276" s="472"/>
    </row>
    <row r="277" spans="1:14" s="401" customFormat="1" ht="25" customHeight="1">
      <c r="A277" s="391"/>
      <c r="B277" s="392"/>
      <c r="K277" s="461"/>
      <c r="M277" s="472"/>
    </row>
    <row r="278" spans="1:14" s="401" customFormat="1" ht="25" customHeight="1">
      <c r="A278" s="391"/>
      <c r="B278" s="392"/>
      <c r="K278" s="461"/>
      <c r="M278" s="472"/>
    </row>
    <row r="279" spans="1:14" s="401" customFormat="1" ht="25" customHeight="1">
      <c r="A279" s="391"/>
      <c r="B279" s="392"/>
      <c r="K279" s="461"/>
      <c r="M279" s="472"/>
    </row>
    <row r="280" spans="1:14" s="401" customFormat="1" ht="25" customHeight="1">
      <c r="A280" s="391"/>
      <c r="B280" s="392"/>
      <c r="K280" s="461"/>
      <c r="M280" s="472"/>
    </row>
    <row r="281" spans="1:14" s="401" customFormat="1" ht="25" customHeight="1">
      <c r="A281" s="391"/>
      <c r="B281" s="392"/>
      <c r="K281" s="461"/>
      <c r="M281" s="472"/>
    </row>
    <row r="282" spans="1:14" s="401" customFormat="1" ht="25" customHeight="1">
      <c r="A282" s="391"/>
      <c r="B282" s="392"/>
      <c r="K282" s="461"/>
      <c r="M282" s="472"/>
    </row>
    <row r="283" spans="1:14" s="401" customFormat="1" ht="25" customHeight="1">
      <c r="A283" s="391"/>
      <c r="B283" s="392"/>
      <c r="K283" s="461"/>
      <c r="M283" s="472"/>
    </row>
    <row r="284" spans="1:14" s="401" customFormat="1" ht="25" customHeight="1">
      <c r="A284" s="391"/>
      <c r="B284" s="392"/>
      <c r="K284" s="461"/>
      <c r="M284" s="472"/>
    </row>
    <row r="285" spans="1:14" s="401" customFormat="1" ht="25" customHeight="1">
      <c r="A285" s="391"/>
      <c r="B285" s="392"/>
      <c r="K285" s="461"/>
      <c r="M285" s="472"/>
    </row>
    <row r="286" spans="1:14" s="401" customFormat="1" ht="25" customHeight="1">
      <c r="A286" s="391"/>
      <c r="B286" s="392"/>
      <c r="K286" s="461"/>
      <c r="M286" s="472"/>
    </row>
    <row r="287" spans="1:14" s="401" customFormat="1" ht="25" customHeight="1">
      <c r="A287" s="391"/>
      <c r="B287" s="392"/>
      <c r="K287" s="461"/>
      <c r="M287" s="472"/>
    </row>
    <row r="288" spans="1:14" s="401" customFormat="1" ht="25" customHeight="1">
      <c r="A288" s="391"/>
      <c r="B288" s="392"/>
      <c r="K288" s="461"/>
      <c r="M288" s="472"/>
    </row>
    <row r="289" spans="1:13" s="401" customFormat="1" ht="25" customHeight="1">
      <c r="A289" s="391"/>
      <c r="B289" s="392"/>
      <c r="K289" s="461"/>
      <c r="M289" s="472"/>
    </row>
    <row r="290" spans="1:13" s="401" customFormat="1" ht="25" customHeight="1">
      <c r="A290" s="391"/>
      <c r="B290" s="392"/>
      <c r="K290" s="461"/>
      <c r="M290" s="472"/>
    </row>
    <row r="291" spans="1:13" s="401" customFormat="1" ht="25" customHeight="1">
      <c r="A291" s="391"/>
      <c r="B291" s="392"/>
      <c r="K291" s="461"/>
      <c r="M291" s="472"/>
    </row>
    <row r="292" spans="1:13" s="401" customFormat="1" ht="25" customHeight="1">
      <c r="A292" s="391"/>
      <c r="B292" s="392"/>
      <c r="K292" s="461"/>
      <c r="M292" s="472"/>
    </row>
    <row r="293" spans="1:13" s="401" customFormat="1" ht="25" customHeight="1">
      <c r="A293" s="391"/>
      <c r="B293" s="392"/>
      <c r="K293" s="461"/>
      <c r="M293" s="472"/>
    </row>
    <row r="294" spans="1:13" s="401" customFormat="1" ht="25" customHeight="1">
      <c r="A294" s="391"/>
      <c r="B294" s="392"/>
      <c r="K294" s="461"/>
      <c r="M294" s="472"/>
    </row>
    <row r="295" spans="1:13" s="401" customFormat="1" ht="25" customHeight="1">
      <c r="A295" s="391"/>
      <c r="B295" s="392"/>
      <c r="K295" s="461"/>
      <c r="M295" s="472"/>
    </row>
    <row r="296" spans="1:13" s="401" customFormat="1" ht="25" customHeight="1">
      <c r="A296" s="391"/>
      <c r="B296" s="392"/>
      <c r="K296" s="461"/>
      <c r="M296" s="472"/>
    </row>
    <row r="297" spans="1:13" s="401" customFormat="1" ht="25" customHeight="1">
      <c r="A297" s="391"/>
      <c r="B297" s="392"/>
      <c r="K297" s="461"/>
      <c r="M297" s="472"/>
    </row>
    <row r="298" spans="1:13" s="401" customFormat="1" ht="25" customHeight="1">
      <c r="A298" s="391"/>
      <c r="B298" s="392"/>
      <c r="K298" s="461"/>
      <c r="M298" s="472"/>
    </row>
    <row r="299" spans="1:13" s="401" customFormat="1" ht="25" customHeight="1">
      <c r="A299" s="391"/>
      <c r="B299" s="392"/>
      <c r="K299" s="461"/>
      <c r="M299" s="472"/>
    </row>
    <row r="300" spans="1:13" s="401" customFormat="1" ht="25" customHeight="1">
      <c r="A300" s="391"/>
      <c r="B300" s="392"/>
      <c r="K300" s="461"/>
      <c r="M300" s="472"/>
    </row>
    <row r="301" spans="1:13" s="401" customFormat="1" ht="25" customHeight="1">
      <c r="A301" s="391"/>
      <c r="B301" s="392"/>
      <c r="K301" s="461"/>
      <c r="M301" s="472"/>
    </row>
    <row r="302" spans="1:13" s="401" customFormat="1" ht="25" customHeight="1">
      <c r="A302" s="391"/>
      <c r="B302" s="392"/>
      <c r="K302" s="461"/>
      <c r="M302" s="472"/>
    </row>
    <row r="303" spans="1:13" s="401" customFormat="1" ht="25" customHeight="1">
      <c r="A303" s="391"/>
      <c r="B303" s="392"/>
      <c r="K303" s="461"/>
      <c r="M303" s="472"/>
    </row>
    <row r="304" spans="1:13" s="401" customFormat="1" ht="25" customHeight="1">
      <c r="A304" s="391"/>
      <c r="B304" s="392"/>
      <c r="K304" s="461"/>
      <c r="M304" s="472"/>
    </row>
    <row r="305" spans="1:13" s="401" customFormat="1" ht="25" customHeight="1">
      <c r="A305" s="391"/>
      <c r="B305" s="392"/>
      <c r="K305" s="461"/>
      <c r="M305" s="472"/>
    </row>
    <row r="306" spans="1:13" s="401" customFormat="1" ht="25" customHeight="1">
      <c r="A306" s="391"/>
      <c r="B306" s="392"/>
      <c r="K306" s="461"/>
      <c r="M306" s="472"/>
    </row>
    <row r="307" spans="1:13" s="401" customFormat="1" ht="25" customHeight="1">
      <c r="A307" s="391"/>
      <c r="B307" s="392"/>
      <c r="K307" s="461"/>
      <c r="M307" s="472"/>
    </row>
    <row r="308" spans="1:13" s="401" customFormat="1" ht="25" customHeight="1">
      <c r="A308" s="391"/>
      <c r="B308" s="392"/>
      <c r="K308" s="461"/>
      <c r="M308" s="472"/>
    </row>
    <row r="309" spans="1:13" s="401" customFormat="1" ht="25" customHeight="1">
      <c r="A309" s="391"/>
      <c r="B309" s="392"/>
      <c r="K309" s="461"/>
      <c r="M309" s="472"/>
    </row>
    <row r="310" spans="1:13" s="401" customFormat="1" ht="25" customHeight="1">
      <c r="A310" s="391"/>
      <c r="B310" s="392"/>
      <c r="K310" s="461"/>
      <c r="M310" s="472"/>
    </row>
    <row r="311" spans="1:13" s="401" customFormat="1" ht="25" customHeight="1">
      <c r="A311" s="391"/>
      <c r="B311" s="392"/>
      <c r="K311" s="461"/>
      <c r="M311" s="472"/>
    </row>
    <row r="312" spans="1:13" s="401" customFormat="1" ht="25" customHeight="1">
      <c r="A312" s="391"/>
      <c r="B312" s="392"/>
      <c r="K312" s="461"/>
      <c r="M312" s="472"/>
    </row>
    <row r="313" spans="1:13" s="401" customFormat="1" ht="25" customHeight="1">
      <c r="A313" s="391"/>
      <c r="B313" s="392"/>
      <c r="K313" s="461"/>
      <c r="M313" s="472"/>
    </row>
    <row r="314" spans="1:13" s="401" customFormat="1" ht="25" customHeight="1">
      <c r="A314" s="391"/>
      <c r="B314" s="392"/>
      <c r="K314" s="461"/>
      <c r="M314" s="472"/>
    </row>
    <row r="315" spans="1:13" s="401" customFormat="1" ht="25" customHeight="1">
      <c r="A315" s="391"/>
      <c r="B315" s="392"/>
      <c r="K315" s="461"/>
      <c r="M315" s="472"/>
    </row>
    <row r="316" spans="1:13" s="401" customFormat="1" ht="25" customHeight="1">
      <c r="A316" s="391"/>
      <c r="B316" s="392"/>
      <c r="K316" s="461"/>
      <c r="M316" s="472"/>
    </row>
    <row r="317" spans="1:13" s="401" customFormat="1" ht="25" customHeight="1">
      <c r="A317" s="391"/>
      <c r="B317" s="392"/>
      <c r="K317" s="461"/>
      <c r="M317" s="472"/>
    </row>
    <row r="318" spans="1:13" s="401" customFormat="1" ht="25" customHeight="1">
      <c r="A318" s="391"/>
      <c r="B318" s="392"/>
      <c r="K318" s="461"/>
      <c r="M318" s="472"/>
    </row>
    <row r="319" spans="1:13" s="401" customFormat="1" ht="25" customHeight="1">
      <c r="A319" s="391"/>
      <c r="B319" s="392"/>
      <c r="K319" s="461"/>
      <c r="M319" s="472"/>
    </row>
    <row r="320" spans="1:13" s="401" customFormat="1" ht="25" customHeight="1">
      <c r="A320" s="391"/>
      <c r="B320" s="392"/>
      <c r="K320" s="461"/>
      <c r="M320" s="472"/>
    </row>
    <row r="321" spans="1:13" s="401" customFormat="1" ht="25" customHeight="1">
      <c r="A321" s="391"/>
      <c r="B321" s="392"/>
      <c r="K321" s="461"/>
      <c r="M321" s="472"/>
    </row>
    <row r="322" spans="1:13" s="401" customFormat="1" ht="25" customHeight="1">
      <c r="A322" s="391"/>
      <c r="B322" s="392"/>
      <c r="K322" s="461"/>
      <c r="M322" s="472"/>
    </row>
    <row r="323" spans="1:13" s="401" customFormat="1" ht="25" customHeight="1">
      <c r="A323" s="391"/>
      <c r="B323" s="392"/>
      <c r="K323" s="461"/>
      <c r="M323" s="472"/>
    </row>
    <row r="324" spans="1:13" s="401" customFormat="1" ht="25" customHeight="1">
      <c r="A324" s="391"/>
      <c r="B324" s="392"/>
      <c r="K324" s="461"/>
      <c r="M324" s="472"/>
    </row>
    <row r="336" spans="1:13" ht="25" customHeight="1">
      <c r="B336" s="408"/>
      <c r="C336" s="197"/>
      <c r="D336" s="170"/>
    </row>
  </sheetData>
  <sheetProtection algorithmName="SHA-512" hashValue="tt6Op+s6s39WLoY/8pLi3m6U0rbdbgpmAjuyup2gmT2VbnLhtcvGC+y/q5gGvvIOq13o+tnj0o5eHdTx3AwrGw==" saltValue="Xk9QeA2wjKDKQCJhYMDFWg==" spinCount="100000" sheet="1" objects="1" scenarios="1" selectLockedCells="1"/>
  <mergeCells count="49">
    <mergeCell ref="B194:F194"/>
    <mergeCell ref="B227:G229"/>
    <mergeCell ref="B230:F230"/>
    <mergeCell ref="B149:G151"/>
    <mergeCell ref="B152:F152"/>
    <mergeCell ref="B153:F153"/>
    <mergeCell ref="B190:G192"/>
    <mergeCell ref="B193:F193"/>
    <mergeCell ref="C143:D143"/>
    <mergeCell ref="E143:F143"/>
    <mergeCell ref="G143:H143"/>
    <mergeCell ref="C144:D144"/>
    <mergeCell ref="E144:F144"/>
    <mergeCell ref="G144:H144"/>
    <mergeCell ref="B135:G137"/>
    <mergeCell ref="B139:F139"/>
    <mergeCell ref="C142:D142"/>
    <mergeCell ref="E142:F142"/>
    <mergeCell ref="G142:H142"/>
    <mergeCell ref="D116:E116"/>
    <mergeCell ref="F116:G116"/>
    <mergeCell ref="H116:I116"/>
    <mergeCell ref="B120:G122"/>
    <mergeCell ref="B124:F124"/>
    <mergeCell ref="D114:E114"/>
    <mergeCell ref="F114:G114"/>
    <mergeCell ref="H114:I114"/>
    <mergeCell ref="D115:E115"/>
    <mergeCell ref="F115:G115"/>
    <mergeCell ref="H115:I115"/>
    <mergeCell ref="H110:I110"/>
    <mergeCell ref="D112:E112"/>
    <mergeCell ref="F112:G112"/>
    <mergeCell ref="H112:I112"/>
    <mergeCell ref="D113:E113"/>
    <mergeCell ref="F113:G113"/>
    <mergeCell ref="H113:I113"/>
    <mergeCell ref="B77:E77"/>
    <mergeCell ref="B97:G99"/>
    <mergeCell ref="D110:E110"/>
    <mergeCell ref="F110:G110"/>
    <mergeCell ref="B4:C4"/>
    <mergeCell ref="B30:G32"/>
    <mergeCell ref="B34:F34"/>
    <mergeCell ref="B39:E39"/>
    <mergeCell ref="B60:E60"/>
    <mergeCell ref="B15:L17"/>
    <mergeCell ref="B23:E23"/>
    <mergeCell ref="B18:F18"/>
  </mergeCells>
  <conditionalFormatting sqref="I41:I54 K41:K54 I62:I71 K62:K71 I91:I93 K91:K93 I105:I106 K105:K106 I128:I130 K128:K130 J129:J130">
    <cfRule type="cellIs" dxfId="61" priority="5" operator="greaterThan">
      <formula>0</formula>
    </cfRule>
  </conditionalFormatting>
  <conditionalFormatting sqref="I79:I83 K79:K83">
    <cfRule type="cellIs" dxfId="60" priority="3" operator="greaterThan">
      <formula>0</formula>
    </cfRule>
  </conditionalFormatting>
  <conditionalFormatting sqref="I25:I26 K25:K26">
    <cfRule type="cellIs" dxfId="59" priority="1" operator="greaterThan">
      <formula>0</formula>
    </cfRule>
  </conditionalFormatting>
  <hyperlinks>
    <hyperlink ref="B10" r:id="rId1" xr:uid="{00000000-0004-0000-0200-000000000000}"/>
    <hyperlink ref="B77" location="'SEK - Safesprings tjänster 2023'!I80" display="Sentral blokklagring gir tre kopier av dataene distribuert i en robust CEPH-klynge." xr:uid="{00000000-0004-0000-0200-000001000000}"/>
    <hyperlink ref="B234" r:id="rId2" xr:uid="{00000000-0004-0000-0200-000004000000}"/>
    <hyperlink ref="B23" location="'SEK - Safesprings tjänster 2023'!I80" display="Central blocklagring kan köpas till instanserna. Se &quot;Central blocklagring&quot; i prislistan." xr:uid="{992FEEBE-177A-2C47-B115-733109178C9F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H327"/>
  <sheetViews>
    <sheetView showGridLines="0" zoomScaleNormal="100" workbookViewId="0"/>
  </sheetViews>
  <sheetFormatPr baseColWidth="10" defaultColWidth="15" defaultRowHeight="24.75" customHeight="1"/>
  <cols>
    <col min="1" max="1" width="11.83203125" style="474" customWidth="1"/>
    <col min="2" max="2" width="30.83203125" style="290" customWidth="1"/>
    <col min="3" max="5" width="14.83203125" style="12" customWidth="1"/>
    <col min="6" max="10" width="14.83203125" style="474" customWidth="1"/>
    <col min="11" max="11" width="14.83203125" style="475" customWidth="1"/>
    <col min="12" max="12" width="14.83203125" style="474" customWidth="1"/>
    <col min="13" max="13" width="14.83203125" style="476" customWidth="1"/>
    <col min="14" max="14" width="14.83203125" style="474" customWidth="1"/>
    <col min="15" max="16384" width="15" style="474"/>
  </cols>
  <sheetData>
    <row r="1" spans="1:28" ht="24.75" customHeight="1">
      <c r="A1" s="477"/>
      <c r="B1" s="9"/>
      <c r="C1" s="9"/>
      <c r="D1" s="17"/>
      <c r="E1" s="17"/>
      <c r="F1" s="477"/>
      <c r="G1" s="477"/>
      <c r="H1" s="477"/>
      <c r="I1" s="477"/>
      <c r="J1" s="477"/>
      <c r="K1" s="477"/>
      <c r="L1" s="478"/>
      <c r="M1" s="479"/>
      <c r="N1" s="477"/>
      <c r="O1" s="480"/>
    </row>
    <row r="2" spans="1:28" ht="24.75" customHeight="1">
      <c r="A2" s="477"/>
      <c r="B2" s="9"/>
      <c r="C2" s="9"/>
      <c r="D2" s="17"/>
      <c r="E2" s="17"/>
      <c r="F2" s="477"/>
      <c r="G2" s="477"/>
      <c r="H2" s="477"/>
      <c r="I2" s="477"/>
      <c r="J2" s="477"/>
      <c r="K2" s="477"/>
      <c r="L2" s="478"/>
      <c r="M2" s="479"/>
      <c r="N2" s="477"/>
      <c r="O2" s="480"/>
    </row>
    <row r="3" spans="1:28" ht="24.75" customHeight="1">
      <c r="A3" s="477"/>
      <c r="B3" s="9"/>
      <c r="C3" s="9"/>
      <c r="D3" s="17"/>
      <c r="E3" s="17"/>
      <c r="F3" s="477"/>
      <c r="G3" s="477"/>
      <c r="H3" s="477"/>
      <c r="I3" s="477"/>
      <c r="J3" s="477"/>
      <c r="K3" s="477"/>
      <c r="L3" s="478"/>
      <c r="M3" s="479"/>
      <c r="N3" s="477"/>
      <c r="O3" s="480"/>
    </row>
    <row r="4" spans="1:28" ht="24.75" customHeight="1">
      <c r="A4" s="477"/>
      <c r="B4" s="1004"/>
      <c r="C4" s="1004"/>
      <c r="D4" s="17"/>
      <c r="E4" s="17"/>
      <c r="F4" s="477"/>
      <c r="G4" s="477"/>
      <c r="H4" s="477"/>
      <c r="I4" s="477"/>
      <c r="J4" s="477"/>
      <c r="K4" s="477"/>
      <c r="L4" s="478"/>
      <c r="M4" s="479"/>
      <c r="N4" s="477"/>
      <c r="O4" s="480"/>
    </row>
    <row r="5" spans="1:28" ht="24.75" customHeight="1">
      <c r="A5" s="477"/>
      <c r="B5" s="22" t="s">
        <v>349</v>
      </c>
      <c r="C5" s="22"/>
      <c r="D5" s="17"/>
      <c r="E5" s="17"/>
      <c r="F5" s="477"/>
      <c r="G5" s="477"/>
      <c r="H5" s="477"/>
      <c r="I5" s="477"/>
      <c r="J5" s="477"/>
      <c r="K5" s="477"/>
      <c r="L5" s="478"/>
      <c r="M5" s="479"/>
      <c r="N5" s="477"/>
      <c r="O5" s="480"/>
    </row>
    <row r="6" spans="1:28" ht="24.75" customHeight="1">
      <c r="A6" s="477"/>
      <c r="B6" s="481"/>
      <c r="C6" s="9"/>
      <c r="D6" s="17"/>
      <c r="E6" s="17"/>
      <c r="F6" s="477"/>
      <c r="G6" s="477"/>
      <c r="H6" s="477"/>
      <c r="I6" s="477"/>
      <c r="J6" s="477"/>
      <c r="K6" s="477"/>
      <c r="L6" s="478"/>
      <c r="M6" s="479"/>
      <c r="N6" s="477"/>
      <c r="O6" s="480"/>
    </row>
    <row r="7" spans="1:28" ht="24.75" customHeight="1">
      <c r="A7" s="477"/>
      <c r="B7" s="191"/>
      <c r="C7" s="9"/>
      <c r="D7" s="17"/>
      <c r="E7" s="17"/>
      <c r="F7" s="477"/>
      <c r="G7" s="477"/>
      <c r="H7" s="477"/>
      <c r="I7" s="477"/>
      <c r="J7" s="477"/>
      <c r="K7" s="477"/>
      <c r="L7" s="478"/>
      <c r="M7" s="479"/>
      <c r="N7" s="477"/>
      <c r="O7" s="480"/>
    </row>
    <row r="8" spans="1:28" ht="24.75" customHeight="1">
      <c r="A8" s="477"/>
      <c r="B8" s="26" t="s">
        <v>0</v>
      </c>
      <c r="C8" s="9"/>
      <c r="D8" s="26" t="s">
        <v>1</v>
      </c>
      <c r="E8" s="17"/>
      <c r="F8" s="477"/>
      <c r="G8" s="477"/>
      <c r="H8" s="477"/>
      <c r="I8" s="477"/>
      <c r="J8" s="477"/>
      <c r="K8" s="477"/>
      <c r="L8" s="478"/>
      <c r="M8" s="479"/>
      <c r="N8" s="477"/>
      <c r="O8" s="480"/>
    </row>
    <row r="9" spans="1:28" ht="24.75" customHeight="1">
      <c r="A9" s="477"/>
      <c r="B9" s="482" t="s">
        <v>350</v>
      </c>
      <c r="C9" s="9"/>
      <c r="D9" s="477"/>
      <c r="E9" s="477"/>
      <c r="F9" s="477"/>
      <c r="G9" s="477"/>
      <c r="H9" s="477"/>
      <c r="I9" s="477"/>
      <c r="J9" s="477"/>
      <c r="K9" s="477"/>
      <c r="L9" s="478"/>
      <c r="M9" s="479"/>
      <c r="N9" s="477"/>
      <c r="O9" s="480"/>
    </row>
    <row r="10" spans="1:28" ht="24.75" customHeight="1">
      <c r="A10" s="477"/>
      <c r="B10" s="483" t="s">
        <v>351</v>
      </c>
      <c r="C10" s="29"/>
      <c r="D10" s="477"/>
      <c r="E10" s="477"/>
      <c r="F10" s="477"/>
      <c r="G10" s="477"/>
      <c r="H10" s="477"/>
      <c r="I10" s="477"/>
      <c r="J10" s="477"/>
      <c r="K10" s="477"/>
      <c r="L10" s="478"/>
      <c r="M10" s="479"/>
      <c r="N10" s="477"/>
      <c r="O10" s="480"/>
    </row>
    <row r="11" spans="1:28" s="490" customFormat="1" ht="24.75" customHeight="1">
      <c r="A11" s="484"/>
      <c r="B11" s="32"/>
      <c r="C11" s="32"/>
      <c r="D11" s="1005" t="str">
        <f>"1 SEK = "&amp;EUR&amp;" EUR"</f>
        <v>1 SEK = 0,094 EUR</v>
      </c>
      <c r="E11" s="1005"/>
      <c r="F11" s="1005"/>
      <c r="G11" s="485"/>
      <c r="H11" s="485"/>
      <c r="I11" s="486"/>
      <c r="J11" s="484"/>
      <c r="K11" s="484"/>
      <c r="L11" s="487"/>
      <c r="M11" s="488"/>
      <c r="N11" s="484"/>
      <c r="O11" s="489"/>
    </row>
    <row r="12" spans="1:28" s="490" customFormat="1" ht="24.75" customHeight="1">
      <c r="A12" s="491"/>
      <c r="B12" s="41"/>
      <c r="C12" s="41"/>
      <c r="D12" s="42"/>
      <c r="E12" s="42"/>
      <c r="F12" s="491"/>
      <c r="G12" s="492"/>
      <c r="H12" s="492"/>
      <c r="I12" s="493"/>
      <c r="J12" s="491"/>
      <c r="K12" s="491"/>
      <c r="L12" s="494"/>
      <c r="M12" s="495"/>
      <c r="N12" s="496"/>
      <c r="O12" s="489"/>
    </row>
    <row r="13" spans="1:28" s="490" customFormat="1" ht="24.75" customHeight="1">
      <c r="B13" s="94"/>
      <c r="C13" s="38"/>
      <c r="D13" s="38"/>
      <c r="E13" s="38"/>
      <c r="G13" s="497"/>
      <c r="H13" s="497"/>
      <c r="I13" s="498"/>
      <c r="L13" s="499"/>
      <c r="M13" s="500"/>
      <c r="O13" s="489"/>
    </row>
    <row r="14" spans="1:28" s="490" customFormat="1" ht="24.75" customHeight="1">
      <c r="B14" s="94"/>
      <c r="C14" s="38"/>
      <c r="D14" s="38"/>
      <c r="E14" s="38"/>
      <c r="G14" s="497"/>
      <c r="H14" s="497"/>
      <c r="I14" s="498"/>
      <c r="L14" s="499"/>
      <c r="M14" s="500"/>
      <c r="O14" s="489"/>
    </row>
    <row r="15" spans="1:28" s="490" customFormat="1" ht="24.75" customHeight="1">
      <c r="B15" s="1006" t="s">
        <v>181</v>
      </c>
      <c r="C15" s="1006"/>
      <c r="D15" s="1006"/>
      <c r="E15" s="1006"/>
      <c r="F15" s="1006"/>
      <c r="G15" s="1006"/>
      <c r="H15" s="498"/>
      <c r="J15" s="501"/>
      <c r="L15" s="499"/>
      <c r="M15" s="500"/>
      <c r="O15" s="489"/>
      <c r="U15" s="502"/>
      <c r="Z15" s="502"/>
      <c r="AA15" s="502"/>
      <c r="AB15" s="502"/>
    </row>
    <row r="16" spans="1:28" s="490" customFormat="1" ht="24.75" customHeight="1">
      <c r="B16" s="1006"/>
      <c r="C16" s="1006"/>
      <c r="D16" s="1006"/>
      <c r="E16" s="1006"/>
      <c r="F16" s="1006"/>
      <c r="G16" s="1006"/>
      <c r="H16" s="498"/>
      <c r="J16" s="501"/>
      <c r="L16" s="499"/>
      <c r="M16" s="500"/>
      <c r="O16" s="489"/>
      <c r="U16" s="502"/>
      <c r="Z16" s="502"/>
      <c r="AA16" s="502"/>
      <c r="AB16" s="502"/>
    </row>
    <row r="17" spans="2:28" s="490" customFormat="1" ht="24.75" customHeight="1">
      <c r="B17" s="1006"/>
      <c r="C17" s="1006"/>
      <c r="D17" s="1006"/>
      <c r="E17" s="1006"/>
      <c r="F17" s="1006"/>
      <c r="G17" s="1006"/>
      <c r="H17" s="498"/>
      <c r="J17" s="501"/>
      <c r="L17" s="499"/>
      <c r="M17" s="500"/>
      <c r="O17" s="489"/>
      <c r="U17" s="502"/>
      <c r="Z17" s="502"/>
      <c r="AA17" s="502"/>
      <c r="AB17" s="502"/>
    </row>
    <row r="18" spans="2:28" s="490" customFormat="1" ht="24.75" customHeight="1">
      <c r="B18" s="55" t="s">
        <v>352</v>
      </c>
      <c r="C18" s="503"/>
      <c r="D18" s="503"/>
      <c r="E18" s="503"/>
      <c r="F18" s="504"/>
      <c r="H18" s="498"/>
      <c r="J18" s="501"/>
      <c r="L18" s="499"/>
      <c r="M18" s="500"/>
      <c r="O18" s="489"/>
      <c r="U18" s="502"/>
      <c r="V18" s="502"/>
      <c r="W18" s="502"/>
      <c r="X18" s="502"/>
      <c r="Y18" s="502"/>
      <c r="Z18" s="502"/>
      <c r="AA18" s="502"/>
      <c r="AB18" s="502"/>
    </row>
    <row r="19" spans="2:28" s="490" customFormat="1" ht="24.75" customHeight="1">
      <c r="B19" s="1007" t="s">
        <v>6</v>
      </c>
      <c r="C19" s="1007"/>
      <c r="D19" s="1007"/>
      <c r="E19" s="1007"/>
      <c r="F19" s="1007"/>
      <c r="G19" s="506"/>
      <c r="H19" s="507"/>
      <c r="I19" s="506"/>
      <c r="J19" s="508"/>
      <c r="K19" s="506"/>
      <c r="L19" s="509"/>
      <c r="M19" s="510"/>
      <c r="N19" s="506"/>
      <c r="O19" s="511"/>
      <c r="U19" s="502"/>
      <c r="V19" s="502"/>
      <c r="W19" s="502"/>
      <c r="X19" s="502"/>
      <c r="Y19" s="502"/>
      <c r="Z19" s="502"/>
      <c r="AA19" s="502"/>
      <c r="AB19" s="502"/>
    </row>
    <row r="20" spans="2:28" s="490" customFormat="1" ht="24.75" customHeight="1">
      <c r="B20" s="62" t="s">
        <v>353</v>
      </c>
      <c r="C20" s="63"/>
      <c r="D20" s="63"/>
      <c r="E20" s="63"/>
      <c r="F20" s="512"/>
      <c r="G20" s="506"/>
      <c r="H20" s="507"/>
      <c r="I20" s="506"/>
      <c r="J20" s="508"/>
      <c r="K20" s="506"/>
      <c r="L20" s="509"/>
      <c r="M20" s="510"/>
      <c r="N20" s="506"/>
      <c r="O20" s="511"/>
      <c r="U20" s="502"/>
      <c r="V20" s="502"/>
      <c r="W20" s="502"/>
      <c r="X20" s="502"/>
      <c r="Y20" s="513"/>
      <c r="Z20" s="514"/>
      <c r="AA20" s="502"/>
      <c r="AB20" s="502"/>
    </row>
    <row r="21" spans="2:28" s="490" customFormat="1" ht="24.75" customHeight="1">
      <c r="B21" s="64"/>
      <c r="C21" s="64"/>
      <c r="D21" s="64"/>
      <c r="E21" s="64"/>
      <c r="F21" s="512"/>
      <c r="G21" s="506"/>
      <c r="H21" s="507"/>
      <c r="I21" s="506"/>
      <c r="J21" s="508"/>
      <c r="K21" s="506"/>
      <c r="L21" s="509"/>
      <c r="M21" s="510"/>
      <c r="N21" s="506"/>
      <c r="O21" s="511"/>
      <c r="R21" s="474"/>
      <c r="S21" s="474"/>
      <c r="T21" s="474"/>
      <c r="U21" s="502"/>
      <c r="V21" s="502"/>
      <c r="W21" s="502"/>
      <c r="X21" s="502"/>
      <c r="Y21" s="502"/>
      <c r="Z21" s="502"/>
      <c r="AA21" s="513"/>
      <c r="AB21" s="502"/>
    </row>
    <row r="22" spans="2:28" s="490" customFormat="1" ht="24.75" customHeight="1">
      <c r="B22" s="64"/>
      <c r="C22" s="64"/>
      <c r="D22" s="64"/>
      <c r="E22" s="64"/>
      <c r="F22" s="512"/>
      <c r="G22" s="506"/>
      <c r="H22" s="507"/>
      <c r="I22" s="506"/>
      <c r="J22" s="508"/>
      <c r="K22" s="506"/>
      <c r="L22" s="509"/>
      <c r="M22" s="510"/>
      <c r="N22" s="506"/>
      <c r="O22" s="511"/>
      <c r="R22" s="474"/>
      <c r="S22" s="474"/>
      <c r="T22" s="474"/>
      <c r="U22" s="502"/>
      <c r="V22" s="502"/>
      <c r="W22" s="502"/>
      <c r="X22" s="502"/>
      <c r="Y22" s="502"/>
      <c r="Z22" s="502"/>
      <c r="AA22" s="513"/>
      <c r="AB22" s="502"/>
    </row>
    <row r="23" spans="2:28" ht="24.75" customHeight="1">
      <c r="B23" s="515" t="s">
        <v>354</v>
      </c>
      <c r="C23" s="516"/>
      <c r="D23" s="516"/>
      <c r="K23" s="517"/>
      <c r="O23" s="480"/>
    </row>
    <row r="24" spans="2:28" s="518" customFormat="1" ht="24.75" customHeight="1">
      <c r="B24" s="78" t="s">
        <v>10</v>
      </c>
      <c r="C24" s="79" t="s">
        <v>11</v>
      </c>
      <c r="D24" s="79" t="s">
        <v>12</v>
      </c>
      <c r="E24" s="149" t="s">
        <v>355</v>
      </c>
      <c r="F24" s="519"/>
      <c r="G24" s="520" t="s">
        <v>14</v>
      </c>
      <c r="H24" s="521" t="s">
        <v>356</v>
      </c>
      <c r="I24" s="522" t="s">
        <v>357</v>
      </c>
      <c r="J24" s="519"/>
      <c r="K24" s="520" t="s">
        <v>17</v>
      </c>
      <c r="O24" s="523"/>
      <c r="Q24" s="524"/>
      <c r="R24" s="525"/>
      <c r="S24" s="525"/>
      <c r="T24" s="525"/>
      <c r="U24" s="524"/>
    </row>
    <row r="25" spans="2:28" s="502" customFormat="1" ht="24.75" customHeight="1">
      <c r="B25" s="84" t="s">
        <v>358</v>
      </c>
      <c r="C25" s="155">
        <v>1</v>
      </c>
      <c r="D25" s="155">
        <v>1</v>
      </c>
      <c r="E25" s="155">
        <v>40</v>
      </c>
      <c r="F25" s="526"/>
      <c r="G25" s="527">
        <f t="shared" ref="G25:G37" si="0">H25/720</f>
        <v>3.6424999999999999E-2</v>
      </c>
      <c r="H25" s="527">
        <f t="shared" ref="H25:H37" si="1">C25*IAAS_vcpu_EUR+D25*IAAS_ram_EUR+E25*IAAS_ssd_EUR</f>
        <v>26.225999999999999</v>
      </c>
      <c r="I25" s="528"/>
      <c r="J25" s="526" t="s">
        <v>357</v>
      </c>
      <c r="K25" s="529">
        <f t="shared" ref="K25:K37" si="2">ROUNDUP(I25*H25,2)</f>
        <v>0</v>
      </c>
      <c r="O25" s="530"/>
    </row>
    <row r="26" spans="2:28" s="502" customFormat="1" ht="24.75" customHeight="1">
      <c r="B26" s="90" t="s">
        <v>359</v>
      </c>
      <c r="C26" s="53">
        <v>1</v>
      </c>
      <c r="D26" s="53">
        <v>2</v>
      </c>
      <c r="E26" s="53">
        <v>40</v>
      </c>
      <c r="F26" s="501"/>
      <c r="G26" s="531">
        <f t="shared" si="0"/>
        <v>4.3605555555555557E-2</v>
      </c>
      <c r="H26" s="531">
        <f t="shared" si="1"/>
        <v>31.396000000000001</v>
      </c>
      <c r="I26" s="528"/>
      <c r="J26" s="501" t="str">
        <f t="shared" ref="J26:J37" si="3">J25</f>
        <v>Instances</v>
      </c>
      <c r="K26" s="532">
        <f t="shared" si="2"/>
        <v>0</v>
      </c>
      <c r="O26" s="530"/>
    </row>
    <row r="27" spans="2:28" s="502" customFormat="1" ht="24.75" customHeight="1">
      <c r="B27" s="84" t="s">
        <v>360</v>
      </c>
      <c r="C27" s="155">
        <v>2</v>
      </c>
      <c r="D27" s="155">
        <v>4</v>
      </c>
      <c r="E27" s="155">
        <v>40</v>
      </c>
      <c r="F27" s="526"/>
      <c r="G27" s="527">
        <f t="shared" si="0"/>
        <v>6.8411111111111117E-2</v>
      </c>
      <c r="H27" s="527">
        <f t="shared" si="1"/>
        <v>49.256</v>
      </c>
      <c r="I27" s="528"/>
      <c r="J27" s="526" t="str">
        <f t="shared" si="3"/>
        <v>Instances</v>
      </c>
      <c r="K27" s="529">
        <f t="shared" si="2"/>
        <v>0</v>
      </c>
      <c r="L27" s="533"/>
      <c r="O27" s="530"/>
    </row>
    <row r="28" spans="2:28" s="502" customFormat="1" ht="24.75" customHeight="1">
      <c r="B28" s="90" t="s">
        <v>361</v>
      </c>
      <c r="C28" s="53">
        <v>4</v>
      </c>
      <c r="D28" s="53">
        <v>8</v>
      </c>
      <c r="E28" s="53">
        <v>40</v>
      </c>
      <c r="F28" s="501"/>
      <c r="G28" s="531">
        <f t="shared" si="0"/>
        <v>0.11802222222222222</v>
      </c>
      <c r="H28" s="531">
        <f t="shared" si="1"/>
        <v>84.975999999999999</v>
      </c>
      <c r="I28" s="528"/>
      <c r="J28" s="501" t="str">
        <f t="shared" si="3"/>
        <v>Instances</v>
      </c>
      <c r="K28" s="532">
        <f t="shared" si="2"/>
        <v>0</v>
      </c>
      <c r="O28" s="530"/>
    </row>
    <row r="29" spans="2:28" s="502" customFormat="1" ht="24.75" customHeight="1">
      <c r="B29" s="84" t="s">
        <v>362</v>
      </c>
      <c r="C29" s="155">
        <v>8</v>
      </c>
      <c r="D29" s="155">
        <v>16</v>
      </c>
      <c r="E29" s="155">
        <v>40</v>
      </c>
      <c r="F29" s="526"/>
      <c r="G29" s="527">
        <f t="shared" si="0"/>
        <v>0.21724444444444443</v>
      </c>
      <c r="H29" s="527">
        <f t="shared" si="1"/>
        <v>156.416</v>
      </c>
      <c r="I29" s="528"/>
      <c r="J29" s="526" t="str">
        <f t="shared" si="3"/>
        <v>Instances</v>
      </c>
      <c r="K29" s="529">
        <f t="shared" si="2"/>
        <v>0</v>
      </c>
      <c r="O29" s="530"/>
    </row>
    <row r="30" spans="2:28" s="502" customFormat="1" ht="24.75" customHeight="1">
      <c r="B30" s="90" t="s">
        <v>363</v>
      </c>
      <c r="C30" s="53">
        <v>16</v>
      </c>
      <c r="D30" s="53">
        <v>32</v>
      </c>
      <c r="E30" s="53">
        <v>40</v>
      </c>
      <c r="F30" s="501"/>
      <c r="G30" s="531">
        <f t="shared" si="0"/>
        <v>0.41568888888888889</v>
      </c>
      <c r="H30" s="531">
        <f t="shared" si="1"/>
        <v>299.29599999999999</v>
      </c>
      <c r="I30" s="528"/>
      <c r="J30" s="501" t="str">
        <f t="shared" si="3"/>
        <v>Instances</v>
      </c>
      <c r="K30" s="532">
        <f t="shared" si="2"/>
        <v>0</v>
      </c>
      <c r="O30" s="530"/>
    </row>
    <row r="31" spans="2:28" s="502" customFormat="1" ht="24.75" customHeight="1">
      <c r="B31" s="84" t="s">
        <v>364</v>
      </c>
      <c r="C31" s="155">
        <v>1</v>
      </c>
      <c r="D31" s="155">
        <v>4</v>
      </c>
      <c r="E31" s="155">
        <v>40</v>
      </c>
      <c r="F31" s="526"/>
      <c r="G31" s="527">
        <f t="shared" si="0"/>
        <v>5.7966666666666673E-2</v>
      </c>
      <c r="H31" s="527">
        <f t="shared" si="1"/>
        <v>41.736000000000004</v>
      </c>
      <c r="I31" s="528"/>
      <c r="J31" s="526" t="str">
        <f t="shared" si="3"/>
        <v>Instances</v>
      </c>
      <c r="K31" s="529">
        <f t="shared" si="2"/>
        <v>0</v>
      </c>
      <c r="O31" s="530"/>
    </row>
    <row r="32" spans="2:28" s="502" customFormat="1" ht="24.75" customHeight="1">
      <c r="B32" s="90" t="s">
        <v>365</v>
      </c>
      <c r="C32" s="53">
        <v>2</v>
      </c>
      <c r="D32" s="53">
        <v>8</v>
      </c>
      <c r="E32" s="53">
        <v>40</v>
      </c>
      <c r="F32" s="501"/>
      <c r="G32" s="531">
        <f t="shared" si="0"/>
        <v>9.7133333333333349E-2</v>
      </c>
      <c r="H32" s="531">
        <f t="shared" si="1"/>
        <v>69.936000000000007</v>
      </c>
      <c r="I32" s="528"/>
      <c r="J32" s="501" t="str">
        <f t="shared" si="3"/>
        <v>Instances</v>
      </c>
      <c r="K32" s="532">
        <f t="shared" si="2"/>
        <v>0</v>
      </c>
      <c r="O32" s="530"/>
    </row>
    <row r="33" spans="2:20" s="502" customFormat="1" ht="24.75" customHeight="1">
      <c r="B33" s="84" t="s">
        <v>366</v>
      </c>
      <c r="C33" s="155">
        <v>4</v>
      </c>
      <c r="D33" s="155">
        <v>16</v>
      </c>
      <c r="E33" s="155">
        <v>40</v>
      </c>
      <c r="F33" s="526"/>
      <c r="G33" s="527">
        <f t="shared" si="0"/>
        <v>0.17546666666666666</v>
      </c>
      <c r="H33" s="527">
        <f t="shared" si="1"/>
        <v>126.336</v>
      </c>
      <c r="I33" s="528"/>
      <c r="J33" s="526" t="str">
        <f t="shared" si="3"/>
        <v>Instances</v>
      </c>
      <c r="K33" s="529">
        <f t="shared" si="2"/>
        <v>0</v>
      </c>
      <c r="O33" s="530"/>
    </row>
    <row r="34" spans="2:20" s="502" customFormat="1" ht="24.75" customHeight="1">
      <c r="B34" s="90" t="s">
        <v>367</v>
      </c>
      <c r="C34" s="53">
        <v>8</v>
      </c>
      <c r="D34" s="53">
        <v>32</v>
      </c>
      <c r="E34" s="53">
        <v>40</v>
      </c>
      <c r="F34" s="501"/>
      <c r="G34" s="531">
        <f t="shared" si="0"/>
        <v>0.33213333333333334</v>
      </c>
      <c r="H34" s="531">
        <f t="shared" si="1"/>
        <v>239.136</v>
      </c>
      <c r="I34" s="528"/>
      <c r="J34" s="501" t="str">
        <f t="shared" si="3"/>
        <v>Instances</v>
      </c>
      <c r="K34" s="532">
        <f t="shared" si="2"/>
        <v>0</v>
      </c>
      <c r="O34" s="530"/>
      <c r="R34" s="513"/>
      <c r="S34" s="513"/>
      <c r="T34" s="513"/>
    </row>
    <row r="35" spans="2:20" s="502" customFormat="1" ht="24.75" customHeight="1">
      <c r="B35" s="84" t="s">
        <v>368</v>
      </c>
      <c r="C35" s="155">
        <v>16</v>
      </c>
      <c r="D35" s="155">
        <v>64</v>
      </c>
      <c r="E35" s="155">
        <v>40</v>
      </c>
      <c r="F35" s="526"/>
      <c r="G35" s="527">
        <f t="shared" si="0"/>
        <v>0.64546666666666663</v>
      </c>
      <c r="H35" s="527">
        <f t="shared" si="1"/>
        <v>464.73599999999999</v>
      </c>
      <c r="I35" s="528"/>
      <c r="J35" s="526" t="str">
        <f t="shared" si="3"/>
        <v>Instances</v>
      </c>
      <c r="K35" s="529">
        <f t="shared" si="2"/>
        <v>0</v>
      </c>
      <c r="O35" s="530"/>
      <c r="R35" s="513"/>
      <c r="S35" s="513"/>
      <c r="T35" s="513"/>
    </row>
    <row r="36" spans="2:20" s="502" customFormat="1" ht="24.75" customHeight="1">
      <c r="B36" s="90" t="s">
        <v>369</v>
      </c>
      <c r="C36" s="53">
        <v>32</v>
      </c>
      <c r="D36" s="53">
        <v>128</v>
      </c>
      <c r="E36" s="53">
        <v>40</v>
      </c>
      <c r="F36" s="501"/>
      <c r="G36" s="531">
        <f t="shared" si="0"/>
        <v>1.2721333333333331</v>
      </c>
      <c r="H36" s="531">
        <f t="shared" si="1"/>
        <v>915.93599999999992</v>
      </c>
      <c r="I36" s="528"/>
      <c r="J36" s="501" t="str">
        <f t="shared" si="3"/>
        <v>Instances</v>
      </c>
      <c r="K36" s="532">
        <f t="shared" si="2"/>
        <v>0</v>
      </c>
      <c r="O36" s="530"/>
      <c r="R36" s="513"/>
      <c r="S36" s="513"/>
      <c r="T36" s="513"/>
    </row>
    <row r="37" spans="2:20" s="502" customFormat="1" ht="24.75" customHeight="1">
      <c r="B37" s="84" t="s">
        <v>370</v>
      </c>
      <c r="C37" s="155">
        <v>64</v>
      </c>
      <c r="D37" s="155">
        <v>256</v>
      </c>
      <c r="E37" s="155">
        <v>40</v>
      </c>
      <c r="F37" s="526"/>
      <c r="G37" s="527">
        <f t="shared" si="0"/>
        <v>2.5254666666666665</v>
      </c>
      <c r="H37" s="527">
        <f t="shared" si="1"/>
        <v>1818.336</v>
      </c>
      <c r="I37" s="528"/>
      <c r="J37" s="526" t="str">
        <f t="shared" si="3"/>
        <v>Instances</v>
      </c>
      <c r="K37" s="529">
        <f t="shared" si="2"/>
        <v>0</v>
      </c>
      <c r="O37" s="530"/>
      <c r="R37" s="513"/>
      <c r="S37" s="513"/>
      <c r="T37" s="513"/>
    </row>
    <row r="38" spans="2:20" ht="24.75" customHeight="1">
      <c r="B38" s="534" t="s">
        <v>18</v>
      </c>
      <c r="C38" s="535">
        <f t="array" ref="C38">SUM(C25:C37*I25:I37)</f>
        <v>0</v>
      </c>
      <c r="D38" s="535">
        <f t="array" ref="D38">SUM(D25:D37*I25:I37)</f>
        <v>0</v>
      </c>
      <c r="E38" s="535">
        <f t="array" ref="E38">SUM(E25:E37*I25:I37)</f>
        <v>0</v>
      </c>
      <c r="F38" s="534"/>
      <c r="G38" s="534"/>
      <c r="H38" s="534"/>
      <c r="I38" s="535">
        <f>SUM(I25:I37)</f>
        <v>0</v>
      </c>
      <c r="J38" s="534"/>
      <c r="K38" s="536" t="str">
        <f>SUM(K25:K37)&amp;" €"</f>
        <v>0 €</v>
      </c>
      <c r="O38" s="480"/>
      <c r="R38" s="513"/>
      <c r="S38" s="513"/>
      <c r="T38" s="537"/>
    </row>
    <row r="39" spans="2:20" ht="24.75" customHeight="1">
      <c r="B39" s="103"/>
      <c r="C39" s="143"/>
      <c r="D39" s="143"/>
      <c r="E39" s="143"/>
      <c r="F39" s="538"/>
      <c r="G39" s="539"/>
      <c r="H39" s="540"/>
      <c r="I39" s="541"/>
      <c r="J39" s="542"/>
      <c r="K39" s="541"/>
      <c r="O39" s="480"/>
      <c r="R39" s="513"/>
      <c r="S39" s="513"/>
      <c r="T39" s="537"/>
    </row>
    <row r="40" spans="2:20" ht="24.75" customHeight="1">
      <c r="B40" s="103"/>
      <c r="C40" s="143"/>
      <c r="D40" s="143"/>
      <c r="E40" s="143"/>
      <c r="F40" s="538"/>
      <c r="G40" s="539"/>
      <c r="H40" s="540"/>
      <c r="I40" s="541"/>
      <c r="J40" s="542"/>
      <c r="K40" s="541"/>
      <c r="O40" s="480"/>
      <c r="R40" s="513"/>
      <c r="S40" s="513"/>
      <c r="T40" s="537"/>
    </row>
    <row r="41" spans="2:20" s="543" customFormat="1" ht="24.75" customHeight="1">
      <c r="B41" s="221" t="s">
        <v>371</v>
      </c>
      <c r="C41" s="69"/>
      <c r="D41" s="69"/>
      <c r="E41" s="69"/>
      <c r="F41" s="544"/>
      <c r="G41" s="544"/>
      <c r="H41" s="545"/>
      <c r="I41" s="546"/>
      <c r="J41" s="546"/>
      <c r="K41" s="547"/>
      <c r="O41" s="548"/>
      <c r="R41" s="549"/>
      <c r="S41" s="549"/>
      <c r="T41" s="550"/>
    </row>
    <row r="42" spans="2:20" s="551" customFormat="1" ht="24.75" customHeight="1">
      <c r="B42" s="78" t="s">
        <v>10</v>
      </c>
      <c r="C42" s="79" t="s">
        <v>11</v>
      </c>
      <c r="D42" s="79" t="s">
        <v>12</v>
      </c>
      <c r="E42" s="149" t="s">
        <v>29</v>
      </c>
      <c r="F42" s="519"/>
      <c r="G42" s="520" t="s">
        <v>14</v>
      </c>
      <c r="H42" s="521" t="s">
        <v>356</v>
      </c>
      <c r="I42" s="522" t="s">
        <v>357</v>
      </c>
      <c r="J42" s="519"/>
      <c r="K42" s="520" t="s">
        <v>17</v>
      </c>
      <c r="O42" s="480"/>
      <c r="P42" s="474"/>
      <c r="Q42" s="474"/>
      <c r="R42" s="513"/>
      <c r="S42" s="513"/>
      <c r="T42" s="537"/>
    </row>
    <row r="43" spans="2:20" s="502" customFormat="1" ht="24.75" customHeight="1">
      <c r="B43" s="84" t="s">
        <v>372</v>
      </c>
      <c r="C43" s="85">
        <v>1</v>
      </c>
      <c r="D43" s="85">
        <v>1</v>
      </c>
      <c r="E43" s="552">
        <v>10</v>
      </c>
      <c r="F43" s="553"/>
      <c r="G43" s="554">
        <f t="shared" ref="G43:G66" si="4">H43/720</f>
        <v>1.8930555555555555E-2</v>
      </c>
      <c r="H43" s="554">
        <f t="shared" ref="H43:H66" si="5">C43*IAAS_vcpu_EUR+D43*IAAS_ram_EUR+E43*IAAS_nvme_EUR</f>
        <v>13.629999999999999</v>
      </c>
      <c r="I43" s="528"/>
      <c r="J43" s="526" t="str">
        <f>J37</f>
        <v>Instances</v>
      </c>
      <c r="K43" s="529">
        <f t="shared" ref="K43:K66" si="6">ROUNDUP(I43*H43,2)</f>
        <v>0</v>
      </c>
      <c r="O43" s="530"/>
      <c r="R43" s="513"/>
      <c r="T43" s="513"/>
    </row>
    <row r="44" spans="2:20" s="502" customFormat="1" ht="24.75" customHeight="1">
      <c r="B44" s="90" t="s">
        <v>373</v>
      </c>
      <c r="C44" s="91">
        <v>1</v>
      </c>
      <c r="D44" s="91">
        <v>2</v>
      </c>
      <c r="E44" s="168">
        <v>20</v>
      </c>
      <c r="F44" s="555"/>
      <c r="G44" s="556">
        <f t="shared" si="4"/>
        <v>2.7416666666666666E-2</v>
      </c>
      <c r="H44" s="556">
        <f t="shared" si="5"/>
        <v>19.739999999999998</v>
      </c>
      <c r="I44" s="528"/>
      <c r="J44" s="501" t="str">
        <f t="shared" ref="J44:J51" si="7">J43</f>
        <v>Instances</v>
      </c>
      <c r="K44" s="532">
        <f t="shared" si="6"/>
        <v>0</v>
      </c>
      <c r="O44" s="530"/>
      <c r="R44" s="513"/>
      <c r="T44" s="513"/>
    </row>
    <row r="45" spans="2:20" s="502" customFormat="1" ht="24.75" customHeight="1">
      <c r="B45" s="84" t="s">
        <v>374</v>
      </c>
      <c r="C45" s="85">
        <v>2</v>
      </c>
      <c r="D45" s="85">
        <v>4</v>
      </c>
      <c r="E45" s="552">
        <v>250</v>
      </c>
      <c r="F45" s="553"/>
      <c r="G45" s="554">
        <f t="shared" si="4"/>
        <v>8.2250000000000004E-2</v>
      </c>
      <c r="H45" s="554">
        <f t="shared" si="5"/>
        <v>59.22</v>
      </c>
      <c r="I45" s="528"/>
      <c r="J45" s="526" t="str">
        <f t="shared" si="7"/>
        <v>Instances</v>
      </c>
      <c r="K45" s="529">
        <f t="shared" si="6"/>
        <v>0</v>
      </c>
      <c r="O45" s="530"/>
      <c r="R45" s="513"/>
      <c r="T45" s="513"/>
    </row>
    <row r="46" spans="2:20" s="502" customFormat="1" ht="24.75" customHeight="1">
      <c r="B46" s="90" t="s">
        <v>375</v>
      </c>
      <c r="C46" s="91">
        <v>4</v>
      </c>
      <c r="D46" s="91">
        <v>8</v>
      </c>
      <c r="E46" s="168">
        <v>250</v>
      </c>
      <c r="F46" s="555"/>
      <c r="G46" s="556">
        <f t="shared" si="4"/>
        <v>0.1318611111111111</v>
      </c>
      <c r="H46" s="556">
        <f t="shared" si="5"/>
        <v>94.94</v>
      </c>
      <c r="I46" s="528"/>
      <c r="J46" s="501" t="str">
        <f t="shared" si="7"/>
        <v>Instances</v>
      </c>
      <c r="K46" s="532">
        <f t="shared" si="6"/>
        <v>0</v>
      </c>
      <c r="O46" s="530"/>
      <c r="R46" s="513"/>
      <c r="T46" s="513"/>
    </row>
    <row r="47" spans="2:20" s="502" customFormat="1" ht="24.75" customHeight="1">
      <c r="B47" s="84" t="s">
        <v>376</v>
      </c>
      <c r="C47" s="85">
        <v>8</v>
      </c>
      <c r="D47" s="85">
        <v>16</v>
      </c>
      <c r="E47" s="552">
        <v>250</v>
      </c>
      <c r="F47" s="553"/>
      <c r="G47" s="554">
        <f t="shared" si="4"/>
        <v>0.23108333333333334</v>
      </c>
      <c r="H47" s="554">
        <f t="shared" si="5"/>
        <v>166.38</v>
      </c>
      <c r="I47" s="528"/>
      <c r="J47" s="526" t="str">
        <f t="shared" si="7"/>
        <v>Instances</v>
      </c>
      <c r="K47" s="529">
        <f t="shared" si="6"/>
        <v>0</v>
      </c>
      <c r="O47" s="530"/>
      <c r="R47" s="513"/>
      <c r="T47" s="513"/>
    </row>
    <row r="48" spans="2:20" s="502" customFormat="1" ht="24.75" customHeight="1">
      <c r="B48" s="90" t="s">
        <v>377</v>
      </c>
      <c r="C48" s="91">
        <v>16</v>
      </c>
      <c r="D48" s="91">
        <v>32</v>
      </c>
      <c r="E48" s="168">
        <v>250</v>
      </c>
      <c r="F48" s="555"/>
      <c r="G48" s="556">
        <f t="shared" si="4"/>
        <v>0.42952777777777779</v>
      </c>
      <c r="H48" s="556">
        <f t="shared" si="5"/>
        <v>309.26</v>
      </c>
      <c r="I48" s="528"/>
      <c r="J48" s="501" t="str">
        <f t="shared" si="7"/>
        <v>Instances</v>
      </c>
      <c r="K48" s="532">
        <f t="shared" si="6"/>
        <v>0</v>
      </c>
      <c r="O48" s="530"/>
      <c r="R48" s="513"/>
      <c r="T48" s="513"/>
    </row>
    <row r="49" spans="2:20" s="502" customFormat="1" ht="24.75" customHeight="1">
      <c r="B49" s="84" t="s">
        <v>378</v>
      </c>
      <c r="C49" s="85">
        <v>16</v>
      </c>
      <c r="D49" s="85">
        <v>32</v>
      </c>
      <c r="E49" s="552">
        <v>500</v>
      </c>
      <c r="F49" s="553"/>
      <c r="G49" s="554">
        <f t="shared" si="4"/>
        <v>0.46216666666666667</v>
      </c>
      <c r="H49" s="554">
        <f t="shared" si="5"/>
        <v>332.76</v>
      </c>
      <c r="I49" s="528"/>
      <c r="J49" s="526" t="str">
        <f t="shared" si="7"/>
        <v>Instances</v>
      </c>
      <c r="K49" s="529">
        <f t="shared" si="6"/>
        <v>0</v>
      </c>
      <c r="O49" s="530"/>
      <c r="R49" s="513"/>
      <c r="T49" s="513"/>
    </row>
    <row r="50" spans="2:20" s="502" customFormat="1" ht="24.75" customHeight="1">
      <c r="B50" s="90" t="s">
        <v>379</v>
      </c>
      <c r="C50" s="91">
        <v>16</v>
      </c>
      <c r="D50" s="91">
        <v>32</v>
      </c>
      <c r="E50" s="168">
        <v>1000</v>
      </c>
      <c r="F50" s="555"/>
      <c r="G50" s="556">
        <f t="shared" si="4"/>
        <v>0.52744444444444438</v>
      </c>
      <c r="H50" s="556">
        <f t="shared" si="5"/>
        <v>379.76</v>
      </c>
      <c r="I50" s="528"/>
      <c r="J50" s="501" t="str">
        <f t="shared" si="7"/>
        <v>Instances</v>
      </c>
      <c r="K50" s="532">
        <f t="shared" si="6"/>
        <v>0</v>
      </c>
      <c r="O50" s="530"/>
      <c r="R50" s="513"/>
      <c r="T50" s="513"/>
    </row>
    <row r="51" spans="2:20" s="502" customFormat="1" ht="24.75" customHeight="1">
      <c r="B51" s="84" t="s">
        <v>380</v>
      </c>
      <c r="C51" s="85">
        <v>32</v>
      </c>
      <c r="D51" s="85">
        <v>64</v>
      </c>
      <c r="E51" s="552">
        <v>250</v>
      </c>
      <c r="F51" s="553"/>
      <c r="G51" s="554">
        <f t="shared" si="4"/>
        <v>0.82641666666666669</v>
      </c>
      <c r="H51" s="554">
        <f t="shared" si="5"/>
        <v>595.02</v>
      </c>
      <c r="I51" s="528"/>
      <c r="J51" s="526" t="str">
        <f t="shared" si="7"/>
        <v>Instances</v>
      </c>
      <c r="K51" s="529">
        <f t="shared" si="6"/>
        <v>0</v>
      </c>
      <c r="O51" s="530"/>
      <c r="R51" s="513"/>
      <c r="T51" s="513"/>
    </row>
    <row r="52" spans="2:20" s="502" customFormat="1" ht="24.75" customHeight="1">
      <c r="B52" s="90" t="s">
        <v>381</v>
      </c>
      <c r="C52" s="91">
        <v>32</v>
      </c>
      <c r="D52" s="91">
        <v>64</v>
      </c>
      <c r="E52" s="168">
        <v>500</v>
      </c>
      <c r="F52" s="555"/>
      <c r="G52" s="556">
        <f t="shared" si="4"/>
        <v>0.85905555555555557</v>
      </c>
      <c r="H52" s="556">
        <f t="shared" si="5"/>
        <v>618.52</v>
      </c>
      <c r="I52" s="528"/>
      <c r="J52" s="501" t="str">
        <f>J47</f>
        <v>Instances</v>
      </c>
      <c r="K52" s="532">
        <f t="shared" si="6"/>
        <v>0</v>
      </c>
      <c r="O52" s="530"/>
      <c r="R52" s="513"/>
      <c r="T52" s="513"/>
    </row>
    <row r="53" spans="2:20" s="502" customFormat="1" ht="24.75" customHeight="1">
      <c r="B53" s="84" t="s">
        <v>382</v>
      </c>
      <c r="C53" s="85">
        <v>32</v>
      </c>
      <c r="D53" s="85">
        <v>64</v>
      </c>
      <c r="E53" s="552">
        <v>1000</v>
      </c>
      <c r="F53" s="553"/>
      <c r="G53" s="554">
        <f t="shared" si="4"/>
        <v>0.92433333333333334</v>
      </c>
      <c r="H53" s="554">
        <f t="shared" si="5"/>
        <v>665.52</v>
      </c>
      <c r="I53" s="528"/>
      <c r="J53" s="526" t="str">
        <f t="shared" ref="J53:J66" si="8">J52</f>
        <v>Instances</v>
      </c>
      <c r="K53" s="529">
        <f t="shared" si="6"/>
        <v>0</v>
      </c>
      <c r="O53" s="530"/>
      <c r="R53" s="513"/>
      <c r="T53" s="513"/>
    </row>
    <row r="54" spans="2:20" s="502" customFormat="1" ht="24.75" customHeight="1">
      <c r="B54" s="90" t="s">
        <v>383</v>
      </c>
      <c r="C54" s="91">
        <v>1</v>
      </c>
      <c r="D54" s="91">
        <v>4</v>
      </c>
      <c r="E54" s="168">
        <v>20</v>
      </c>
      <c r="F54" s="555"/>
      <c r="G54" s="556">
        <f t="shared" si="4"/>
        <v>4.1777777777777775E-2</v>
      </c>
      <c r="H54" s="556">
        <f t="shared" si="5"/>
        <v>30.08</v>
      </c>
      <c r="I54" s="528"/>
      <c r="J54" s="501" t="str">
        <f t="shared" si="8"/>
        <v>Instances</v>
      </c>
      <c r="K54" s="532">
        <f t="shared" si="6"/>
        <v>0</v>
      </c>
      <c r="O54" s="530"/>
      <c r="R54" s="513"/>
      <c r="T54" s="513"/>
    </row>
    <row r="55" spans="2:20" s="502" customFormat="1" ht="24.75" customHeight="1">
      <c r="B55" s="84" t="s">
        <v>384</v>
      </c>
      <c r="C55" s="85">
        <v>2</v>
      </c>
      <c r="D55" s="85">
        <v>8</v>
      </c>
      <c r="E55" s="552">
        <v>250</v>
      </c>
      <c r="F55" s="553"/>
      <c r="G55" s="554">
        <f t="shared" si="4"/>
        <v>0.11097222222222224</v>
      </c>
      <c r="H55" s="554">
        <f t="shared" si="5"/>
        <v>79.900000000000006</v>
      </c>
      <c r="I55" s="528"/>
      <c r="J55" s="526" t="str">
        <f t="shared" si="8"/>
        <v>Instances</v>
      </c>
      <c r="K55" s="529">
        <f t="shared" si="6"/>
        <v>0</v>
      </c>
      <c r="O55" s="530"/>
      <c r="R55" s="513"/>
      <c r="T55" s="513"/>
    </row>
    <row r="56" spans="2:20" s="502" customFormat="1" ht="24.75" customHeight="1">
      <c r="B56" s="90" t="s">
        <v>385</v>
      </c>
      <c r="C56" s="91">
        <v>4</v>
      </c>
      <c r="D56" s="91">
        <v>16</v>
      </c>
      <c r="E56" s="168">
        <v>250</v>
      </c>
      <c r="F56" s="555"/>
      <c r="G56" s="556">
        <f t="shared" si="4"/>
        <v>0.18930555555555556</v>
      </c>
      <c r="H56" s="556">
        <f t="shared" si="5"/>
        <v>136.30000000000001</v>
      </c>
      <c r="I56" s="528"/>
      <c r="J56" s="501" t="str">
        <f t="shared" si="8"/>
        <v>Instances</v>
      </c>
      <c r="K56" s="532">
        <f t="shared" si="6"/>
        <v>0</v>
      </c>
      <c r="O56" s="530"/>
      <c r="R56" s="513"/>
      <c r="T56" s="513"/>
    </row>
    <row r="57" spans="2:20" s="502" customFormat="1" ht="24.75" customHeight="1">
      <c r="B57" s="84" t="s">
        <v>386</v>
      </c>
      <c r="C57" s="85">
        <v>8</v>
      </c>
      <c r="D57" s="85">
        <v>32</v>
      </c>
      <c r="E57" s="552">
        <v>250</v>
      </c>
      <c r="F57" s="553"/>
      <c r="G57" s="554">
        <f t="shared" si="4"/>
        <v>0.34597222222222224</v>
      </c>
      <c r="H57" s="554">
        <f t="shared" si="5"/>
        <v>249.1</v>
      </c>
      <c r="I57" s="528"/>
      <c r="J57" s="526" t="str">
        <f t="shared" si="8"/>
        <v>Instances</v>
      </c>
      <c r="K57" s="529">
        <f t="shared" si="6"/>
        <v>0</v>
      </c>
      <c r="O57" s="530"/>
      <c r="R57" s="513"/>
      <c r="T57" s="513"/>
    </row>
    <row r="58" spans="2:20" s="502" customFormat="1" ht="24.75" customHeight="1">
      <c r="B58" s="90" t="s">
        <v>387</v>
      </c>
      <c r="C58" s="91">
        <v>8</v>
      </c>
      <c r="D58" s="91">
        <v>32</v>
      </c>
      <c r="E58" s="168">
        <v>500</v>
      </c>
      <c r="F58" s="555"/>
      <c r="G58" s="556">
        <f t="shared" si="4"/>
        <v>0.37861111111111112</v>
      </c>
      <c r="H58" s="556">
        <f t="shared" si="5"/>
        <v>272.60000000000002</v>
      </c>
      <c r="I58" s="528"/>
      <c r="J58" s="501" t="str">
        <f t="shared" si="8"/>
        <v>Instances</v>
      </c>
      <c r="K58" s="532">
        <f t="shared" si="6"/>
        <v>0</v>
      </c>
      <c r="O58" s="530"/>
      <c r="R58" s="513"/>
      <c r="T58" s="513"/>
    </row>
    <row r="59" spans="2:20" s="502" customFormat="1" ht="24.75" customHeight="1">
      <c r="B59" s="84" t="s">
        <v>388</v>
      </c>
      <c r="C59" s="85">
        <v>8</v>
      </c>
      <c r="D59" s="85">
        <v>32</v>
      </c>
      <c r="E59" s="552">
        <v>1000</v>
      </c>
      <c r="F59" s="553"/>
      <c r="G59" s="554">
        <f t="shared" si="4"/>
        <v>0.44388888888888894</v>
      </c>
      <c r="H59" s="554">
        <f t="shared" si="5"/>
        <v>319.60000000000002</v>
      </c>
      <c r="I59" s="528"/>
      <c r="J59" s="526" t="str">
        <f t="shared" si="8"/>
        <v>Instances</v>
      </c>
      <c r="K59" s="529">
        <f t="shared" si="6"/>
        <v>0</v>
      </c>
      <c r="O59" s="530"/>
      <c r="R59" s="513"/>
      <c r="T59" s="513"/>
    </row>
    <row r="60" spans="2:20" s="502" customFormat="1" ht="24.75" customHeight="1">
      <c r="B60" s="90" t="s">
        <v>389</v>
      </c>
      <c r="C60" s="91">
        <v>16</v>
      </c>
      <c r="D60" s="91">
        <v>64</v>
      </c>
      <c r="E60" s="168">
        <v>250</v>
      </c>
      <c r="F60" s="555"/>
      <c r="G60" s="556">
        <f t="shared" si="4"/>
        <v>0.65930555555555559</v>
      </c>
      <c r="H60" s="556">
        <f t="shared" si="5"/>
        <v>474.7</v>
      </c>
      <c r="I60" s="528"/>
      <c r="J60" s="501" t="str">
        <f t="shared" si="8"/>
        <v>Instances</v>
      </c>
      <c r="K60" s="532">
        <f t="shared" si="6"/>
        <v>0</v>
      </c>
      <c r="O60" s="530"/>
      <c r="R60" s="513"/>
      <c r="T60" s="513"/>
    </row>
    <row r="61" spans="2:20" s="502" customFormat="1" ht="24.75" customHeight="1">
      <c r="B61" s="84" t="s">
        <v>390</v>
      </c>
      <c r="C61" s="85">
        <v>16</v>
      </c>
      <c r="D61" s="85">
        <v>64</v>
      </c>
      <c r="E61" s="552">
        <v>500</v>
      </c>
      <c r="F61" s="553"/>
      <c r="G61" s="554">
        <f t="shared" si="4"/>
        <v>0.69194444444444447</v>
      </c>
      <c r="H61" s="554">
        <f t="shared" si="5"/>
        <v>498.2</v>
      </c>
      <c r="I61" s="528"/>
      <c r="J61" s="526" t="str">
        <f t="shared" si="8"/>
        <v>Instances</v>
      </c>
      <c r="K61" s="529">
        <f t="shared" si="6"/>
        <v>0</v>
      </c>
      <c r="O61" s="530"/>
      <c r="R61" s="513"/>
      <c r="T61" s="513"/>
    </row>
    <row r="62" spans="2:20" s="502" customFormat="1" ht="24.75" customHeight="1">
      <c r="B62" s="90" t="s">
        <v>391</v>
      </c>
      <c r="C62" s="91">
        <v>16</v>
      </c>
      <c r="D62" s="91">
        <v>64</v>
      </c>
      <c r="E62" s="168">
        <v>1000</v>
      </c>
      <c r="F62" s="555"/>
      <c r="G62" s="556">
        <f t="shared" si="4"/>
        <v>0.75722222222222224</v>
      </c>
      <c r="H62" s="556">
        <f t="shared" si="5"/>
        <v>545.20000000000005</v>
      </c>
      <c r="I62" s="528"/>
      <c r="J62" s="501" t="str">
        <f t="shared" si="8"/>
        <v>Instances</v>
      </c>
      <c r="K62" s="532">
        <f t="shared" si="6"/>
        <v>0</v>
      </c>
      <c r="O62" s="530"/>
      <c r="R62" s="513"/>
      <c r="T62" s="513"/>
    </row>
    <row r="63" spans="2:20" s="502" customFormat="1" ht="24.75" customHeight="1">
      <c r="B63" s="84" t="s">
        <v>392</v>
      </c>
      <c r="C63" s="85">
        <v>32</v>
      </c>
      <c r="D63" s="85">
        <v>128</v>
      </c>
      <c r="E63" s="552">
        <v>250</v>
      </c>
      <c r="F63" s="553"/>
      <c r="G63" s="554">
        <f t="shared" si="4"/>
        <v>1.2859722222222223</v>
      </c>
      <c r="H63" s="554">
        <f t="shared" si="5"/>
        <v>925.9</v>
      </c>
      <c r="I63" s="528"/>
      <c r="J63" s="526" t="str">
        <f t="shared" si="8"/>
        <v>Instances</v>
      </c>
      <c r="K63" s="529">
        <f t="shared" si="6"/>
        <v>0</v>
      </c>
      <c r="O63" s="530"/>
      <c r="R63" s="513"/>
      <c r="T63" s="513"/>
    </row>
    <row r="64" spans="2:20" s="502" customFormat="1" ht="24.75" customHeight="1">
      <c r="B64" s="90" t="s">
        <v>393</v>
      </c>
      <c r="C64" s="91">
        <v>32</v>
      </c>
      <c r="D64" s="91">
        <v>128</v>
      </c>
      <c r="E64" s="168">
        <v>500</v>
      </c>
      <c r="F64" s="555"/>
      <c r="G64" s="556">
        <f t="shared" si="4"/>
        <v>1.3186111111111112</v>
      </c>
      <c r="H64" s="556">
        <f t="shared" si="5"/>
        <v>949.4</v>
      </c>
      <c r="I64" s="528"/>
      <c r="J64" s="501" t="str">
        <f t="shared" si="8"/>
        <v>Instances</v>
      </c>
      <c r="K64" s="532">
        <f t="shared" si="6"/>
        <v>0</v>
      </c>
      <c r="O64" s="530"/>
      <c r="R64" s="513"/>
      <c r="T64" s="513"/>
    </row>
    <row r="65" spans="2:23" s="502" customFormat="1" ht="24.75" customHeight="1">
      <c r="B65" s="84" t="s">
        <v>394</v>
      </c>
      <c r="C65" s="85">
        <v>32</v>
      </c>
      <c r="D65" s="85">
        <v>128</v>
      </c>
      <c r="E65" s="552">
        <v>1000</v>
      </c>
      <c r="F65" s="553"/>
      <c r="G65" s="554">
        <f t="shared" si="4"/>
        <v>1.3838888888888889</v>
      </c>
      <c r="H65" s="554">
        <f t="shared" si="5"/>
        <v>996.4</v>
      </c>
      <c r="I65" s="528"/>
      <c r="J65" s="526" t="str">
        <f t="shared" si="8"/>
        <v>Instances</v>
      </c>
      <c r="K65" s="529">
        <f t="shared" si="6"/>
        <v>0</v>
      </c>
      <c r="O65" s="530"/>
      <c r="R65" s="513"/>
      <c r="T65" s="513"/>
    </row>
    <row r="66" spans="2:23" s="502" customFormat="1" ht="24.75" customHeight="1">
      <c r="B66" s="90" t="s">
        <v>395</v>
      </c>
      <c r="C66" s="91">
        <v>64</v>
      </c>
      <c r="D66" s="91">
        <v>256</v>
      </c>
      <c r="E66" s="168">
        <v>1000</v>
      </c>
      <c r="F66" s="555"/>
      <c r="G66" s="556">
        <f t="shared" si="4"/>
        <v>2.6372222222222224</v>
      </c>
      <c r="H66" s="556">
        <f t="shared" si="5"/>
        <v>1898.8</v>
      </c>
      <c r="I66" s="528"/>
      <c r="J66" s="501" t="str">
        <f t="shared" si="8"/>
        <v>Instances</v>
      </c>
      <c r="K66" s="532">
        <f t="shared" si="6"/>
        <v>0</v>
      </c>
      <c r="O66" s="530"/>
      <c r="R66" s="513"/>
      <c r="T66" s="513"/>
    </row>
    <row r="67" spans="2:23" s="502" customFormat="1" ht="24.75" customHeight="1">
      <c r="B67" s="534" t="s">
        <v>18</v>
      </c>
      <c r="C67" s="557">
        <f t="array" ref="C67">SUM(C43:C66*I43:I66)</f>
        <v>0</v>
      </c>
      <c r="D67" s="557">
        <f t="array" ref="D67">SUM(D43:D66*I43:I66)</f>
        <v>0</v>
      </c>
      <c r="E67" s="558">
        <f t="array" ref="E67">SUM(E43:E66*I43:I66)</f>
        <v>0</v>
      </c>
      <c r="F67" s="557"/>
      <c r="G67" s="557"/>
      <c r="H67" s="557"/>
      <c r="I67" s="557">
        <f>SUM(I43:I66)</f>
        <v>0</v>
      </c>
      <c r="J67" s="559"/>
      <c r="K67" s="560">
        <f>SUM(K43:K65)</f>
        <v>0</v>
      </c>
      <c r="O67" s="530"/>
      <c r="R67" s="513"/>
      <c r="T67" s="513"/>
    </row>
    <row r="68" spans="2:23" ht="24.75" customHeight="1">
      <c r="B68" s="112"/>
      <c r="C68" s="113"/>
      <c r="D68" s="113"/>
      <c r="E68" s="113"/>
      <c r="F68" s="561"/>
      <c r="G68" s="562"/>
      <c r="H68" s="563"/>
      <c r="I68" s="563"/>
      <c r="J68" s="561"/>
      <c r="K68" s="564"/>
      <c r="O68" s="480"/>
      <c r="R68" s="513"/>
      <c r="S68" s="513"/>
      <c r="T68" s="537"/>
    </row>
    <row r="69" spans="2:23" ht="24.75" customHeight="1">
      <c r="B69" s="112"/>
      <c r="C69" s="113"/>
      <c r="D69" s="113"/>
      <c r="E69" s="113"/>
      <c r="F69" s="561"/>
      <c r="G69" s="562"/>
      <c r="H69" s="563"/>
      <c r="I69" s="563"/>
      <c r="J69" s="563"/>
      <c r="K69" s="561"/>
      <c r="L69" s="565"/>
      <c r="M69" s="474"/>
      <c r="O69" s="480"/>
      <c r="S69" s="513"/>
      <c r="T69" s="513"/>
      <c r="U69" s="537"/>
    </row>
    <row r="70" spans="2:23" ht="24.75" customHeight="1">
      <c r="B70" s="566" t="s">
        <v>396</v>
      </c>
      <c r="C70" s="567"/>
      <c r="D70" s="567"/>
      <c r="E70" s="567"/>
      <c r="F70" s="567"/>
      <c r="G70" s="567"/>
      <c r="H70" s="568"/>
      <c r="I70" s="475"/>
      <c r="J70" s="475"/>
      <c r="L70" s="569"/>
      <c r="M70" s="570"/>
      <c r="O70" s="480"/>
      <c r="T70" s="513"/>
      <c r="U70" s="513"/>
      <c r="V70" s="537"/>
    </row>
    <row r="71" spans="2:23" s="571" customFormat="1" ht="24.75" customHeight="1">
      <c r="B71" s="78" t="s">
        <v>10</v>
      </c>
      <c r="C71" s="79" t="s">
        <v>11</v>
      </c>
      <c r="D71" s="79" t="s">
        <v>12</v>
      </c>
      <c r="E71" s="149" t="s">
        <v>29</v>
      </c>
      <c r="F71" s="519" t="s">
        <v>30</v>
      </c>
      <c r="G71" s="520" t="s">
        <v>14</v>
      </c>
      <c r="H71" s="520" t="s">
        <v>89</v>
      </c>
      <c r="I71" s="522" t="s">
        <v>357</v>
      </c>
      <c r="J71" s="522" t="s">
        <v>397</v>
      </c>
      <c r="K71" s="519"/>
      <c r="L71" s="520" t="s">
        <v>17</v>
      </c>
      <c r="M71" s="572" t="s">
        <v>398</v>
      </c>
      <c r="N71" s="573"/>
      <c r="O71" s="574"/>
      <c r="P71" s="573"/>
      <c r="Q71" s="573"/>
      <c r="U71" s="575"/>
      <c r="V71" s="575"/>
      <c r="W71" s="576"/>
    </row>
    <row r="72" spans="2:23" s="502" customFormat="1" ht="24.75" customHeight="1">
      <c r="B72" s="84" t="s">
        <v>399</v>
      </c>
      <c r="C72" s="85">
        <v>4</v>
      </c>
      <c r="D72" s="85">
        <v>16</v>
      </c>
      <c r="E72" s="86">
        <v>250</v>
      </c>
      <c r="F72" s="553">
        <v>1</v>
      </c>
      <c r="G72" s="554">
        <f>H72/720</f>
        <v>0.90736111111111106</v>
      </c>
      <c r="H72" s="554">
        <f>C72*IAAS_vcpu_EUR+D72*IAAS_ram_EUR+E72*IAAS_nvme_EUR+F72*IAAS_gpu_EUR</f>
        <v>653.29999999999995</v>
      </c>
      <c r="I72" s="528"/>
      <c r="J72" s="528"/>
      <c r="K72" s="526" t="str">
        <f>J61</f>
        <v>Instances</v>
      </c>
      <c r="L72" s="529">
        <f>ROUNDUP(I72*H72,2)</f>
        <v>0</v>
      </c>
      <c r="M72" s="577">
        <f>J72*C72*SW_win.ser.201X_EUR</f>
        <v>0</v>
      </c>
      <c r="O72" s="530"/>
      <c r="T72" s="513"/>
      <c r="V72" s="513"/>
    </row>
    <row r="73" spans="2:23" s="502" customFormat="1" ht="24.75" customHeight="1">
      <c r="B73" s="90" t="s">
        <v>400</v>
      </c>
      <c r="C73" s="91">
        <v>8</v>
      </c>
      <c r="D73" s="91">
        <v>32</v>
      </c>
      <c r="E73" s="92">
        <v>500</v>
      </c>
      <c r="F73" s="555">
        <v>2</v>
      </c>
      <c r="G73" s="556">
        <f>H73/720</f>
        <v>1.8147222222222221</v>
      </c>
      <c r="H73" s="556">
        <f>C73*IAAS_vcpu_EUR+D73*IAAS_ram_EUR+E73*IAAS_nvme_EUR+F73*IAAS_gpu_EUR</f>
        <v>1306.5999999999999</v>
      </c>
      <c r="I73" s="528"/>
      <c r="J73" s="528"/>
      <c r="K73" s="501" t="str">
        <f>J62</f>
        <v>Instances</v>
      </c>
      <c r="L73" s="532">
        <f>ROUNDUP(I73*H73,2)</f>
        <v>0</v>
      </c>
      <c r="M73" s="578">
        <f>J73*C73*SW_win.ser.201X_EUR</f>
        <v>0</v>
      </c>
      <c r="O73" s="530"/>
      <c r="T73" s="513"/>
      <c r="V73" s="513"/>
    </row>
    <row r="74" spans="2:23" s="502" customFormat="1" ht="24.75" customHeight="1">
      <c r="B74" s="84" t="s">
        <v>401</v>
      </c>
      <c r="C74" s="85">
        <v>16</v>
      </c>
      <c r="D74" s="85">
        <v>64</v>
      </c>
      <c r="E74" s="86">
        <v>1000</v>
      </c>
      <c r="F74" s="553">
        <v>4</v>
      </c>
      <c r="G74" s="554">
        <f>H74/720</f>
        <v>3.6294444444444443</v>
      </c>
      <c r="H74" s="554">
        <f>C74*IAAS_vcpu_EUR+D74*IAAS_ram_EUR+E74*IAAS_nvme_EUR+F74*IAAS_gpu_EUR</f>
        <v>2613.1999999999998</v>
      </c>
      <c r="I74" s="528"/>
      <c r="J74" s="528"/>
      <c r="K74" s="526" t="str">
        <f>J63</f>
        <v>Instances</v>
      </c>
      <c r="L74" s="529">
        <f>ROUNDUP(I74*H74,2)</f>
        <v>0</v>
      </c>
      <c r="M74" s="577">
        <f>J74*C74*SW_win.ser.201X_EUR</f>
        <v>0</v>
      </c>
      <c r="O74" s="530"/>
      <c r="T74" s="513"/>
      <c r="V74" s="513"/>
    </row>
    <row r="75" spans="2:23" s="502" customFormat="1" ht="24.75" customHeight="1">
      <c r="B75" s="90" t="s">
        <v>402</v>
      </c>
      <c r="C75" s="91">
        <v>32</v>
      </c>
      <c r="D75" s="91">
        <v>128</v>
      </c>
      <c r="E75" s="92">
        <v>1000</v>
      </c>
      <c r="F75" s="555">
        <v>6</v>
      </c>
      <c r="G75" s="556">
        <f>H75/720</f>
        <v>5.6922222222222221</v>
      </c>
      <c r="H75" s="556">
        <f>C75*IAAS_vcpu_EUR+D75*IAAS_ram_EUR+E75*IAAS_nvme_EUR+F75*IAAS_gpu_EUR</f>
        <v>4098.3999999999996</v>
      </c>
      <c r="I75" s="528"/>
      <c r="J75" s="528"/>
      <c r="K75" s="501" t="str">
        <f>J64</f>
        <v>Instances</v>
      </c>
      <c r="L75" s="532">
        <f>ROUNDUP(I75*H75,2)</f>
        <v>0</v>
      </c>
      <c r="M75" s="578">
        <f>J75*C75*SW_win.ser.201X_EUR</f>
        <v>0</v>
      </c>
      <c r="O75" s="530"/>
      <c r="T75" s="513"/>
      <c r="V75" s="513"/>
    </row>
    <row r="76" spans="2:23" s="579" customFormat="1" ht="24.75" customHeight="1">
      <c r="B76" s="534" t="s">
        <v>18</v>
      </c>
      <c r="C76" s="580"/>
      <c r="D76" s="580"/>
      <c r="E76" s="580"/>
      <c r="F76" s="581"/>
      <c r="G76" s="582"/>
      <c r="H76" s="583"/>
      <c r="I76" s="557">
        <f>SUM(I72:I75)</f>
        <v>0</v>
      </c>
      <c r="J76" s="557">
        <f>SUM(J72:J75)</f>
        <v>0</v>
      </c>
      <c r="K76" s="559"/>
      <c r="L76" s="560">
        <f>SUM(L72:L75)</f>
        <v>0</v>
      </c>
      <c r="M76" s="584">
        <f>SUM(M72:M75)</f>
        <v>0</v>
      </c>
      <c r="N76" s="585"/>
      <c r="O76" s="586"/>
      <c r="P76" s="587"/>
      <c r="Q76" s="587"/>
      <c r="R76" s="587"/>
      <c r="S76" s="587"/>
      <c r="T76" s="588"/>
      <c r="U76" s="587"/>
      <c r="V76" s="589"/>
    </row>
    <row r="77" spans="2:23" s="502" customFormat="1" ht="24.75" customHeight="1">
      <c r="B77" s="103"/>
      <c r="C77" s="160"/>
      <c r="D77" s="160"/>
      <c r="E77" s="143"/>
      <c r="F77" s="590"/>
      <c r="G77" s="590"/>
      <c r="H77" s="514"/>
      <c r="I77" s="514"/>
      <c r="J77" s="514"/>
      <c r="K77" s="514"/>
      <c r="L77" s="591"/>
      <c r="M77" s="592"/>
      <c r="O77" s="530"/>
      <c r="T77" s="513"/>
      <c r="V77" s="513"/>
    </row>
    <row r="78" spans="2:23" s="502" customFormat="1" ht="24.75" customHeight="1">
      <c r="B78" s="103"/>
      <c r="C78" s="160"/>
      <c r="D78" s="160"/>
      <c r="E78" s="143"/>
      <c r="F78" s="590"/>
      <c r="G78" s="590"/>
      <c r="H78" s="514"/>
      <c r="I78" s="514"/>
      <c r="J78" s="514"/>
      <c r="K78" s="514"/>
      <c r="L78" s="591"/>
      <c r="M78" s="592"/>
      <c r="O78" s="530"/>
      <c r="T78" s="513"/>
      <c r="V78" s="513"/>
    </row>
    <row r="79" spans="2:23" s="543" customFormat="1" ht="24.75" customHeight="1">
      <c r="B79" s="221" t="s">
        <v>403</v>
      </c>
      <c r="C79" s="163"/>
      <c r="D79" s="163"/>
      <c r="E79" s="163"/>
      <c r="F79" s="593"/>
      <c r="G79" s="593"/>
      <c r="H79" s="514"/>
      <c r="I79" s="514"/>
      <c r="J79" s="514"/>
      <c r="K79" s="514"/>
      <c r="L79" s="591"/>
      <c r="M79" s="592"/>
      <c r="O79" s="548"/>
      <c r="P79" s="514"/>
      <c r="Q79" s="514"/>
      <c r="R79" s="514"/>
      <c r="S79" s="514"/>
      <c r="T79" s="549"/>
      <c r="U79" s="514"/>
      <c r="V79" s="550"/>
    </row>
    <row r="80" spans="2:23" s="571" customFormat="1" ht="24.75" customHeight="1">
      <c r="B80" s="78" t="s">
        <v>10</v>
      </c>
      <c r="C80" s="79" t="s">
        <v>11</v>
      </c>
      <c r="D80" s="79" t="s">
        <v>12</v>
      </c>
      <c r="E80" s="149" t="s">
        <v>29</v>
      </c>
      <c r="F80" s="519"/>
      <c r="G80" s="520" t="s">
        <v>14</v>
      </c>
      <c r="H80" s="520" t="s">
        <v>89</v>
      </c>
      <c r="I80" s="522" t="s">
        <v>357</v>
      </c>
      <c r="J80" s="522" t="s">
        <v>397</v>
      </c>
      <c r="K80" s="519"/>
      <c r="L80" s="520" t="s">
        <v>17</v>
      </c>
      <c r="M80" s="572" t="s">
        <v>398</v>
      </c>
      <c r="N80" s="573"/>
      <c r="O80" s="574"/>
      <c r="P80" s="573"/>
      <c r="Q80" s="573"/>
      <c r="U80" s="575"/>
      <c r="V80" s="575"/>
      <c r="W80" s="576"/>
    </row>
    <row r="81" spans="2:23" s="502" customFormat="1" ht="24.75" customHeight="1">
      <c r="B81" s="594" t="s">
        <v>404</v>
      </c>
      <c r="C81" s="164">
        <v>16</v>
      </c>
      <c r="D81" s="164">
        <v>128</v>
      </c>
      <c r="E81" s="165">
        <v>3800</v>
      </c>
      <c r="F81" s="595"/>
      <c r="G81" s="554">
        <f>H81/720</f>
        <v>0.89300000000000002</v>
      </c>
      <c r="H81" s="554">
        <f>INSTANCE_p1.2xlarge.16d_EUR</f>
        <v>642.96</v>
      </c>
      <c r="I81" s="528"/>
      <c r="J81" s="528"/>
      <c r="K81" s="526" t="s">
        <v>405</v>
      </c>
      <c r="L81" s="529">
        <f>ROUNDUP(I81*H81,2)</f>
        <v>0</v>
      </c>
      <c r="M81" s="577">
        <f>J81*C81*SW_win.ser.201X_EUR</f>
        <v>0</v>
      </c>
      <c r="N81" s="514"/>
      <c r="O81" s="530"/>
    </row>
    <row r="82" spans="2:23" s="502" customFormat="1" ht="24.75" customHeight="1">
      <c r="B82" s="596" t="s">
        <v>406</v>
      </c>
      <c r="C82" s="167">
        <v>32</v>
      </c>
      <c r="D82" s="167">
        <v>256</v>
      </c>
      <c r="E82" s="168">
        <v>3800</v>
      </c>
      <c r="F82" s="597"/>
      <c r="G82" s="556">
        <f>H82/720</f>
        <v>1.786</v>
      </c>
      <c r="H82" s="556">
        <f>INSTANCE_p1.4xlarge.16d_EUR</f>
        <v>1285.92</v>
      </c>
      <c r="I82" s="528"/>
      <c r="J82" s="528"/>
      <c r="K82" s="501" t="str">
        <f>K81</f>
        <v>Instanser</v>
      </c>
      <c r="L82" s="532">
        <f>ROUNDUP(I82*H82,2)</f>
        <v>0</v>
      </c>
      <c r="M82" s="578">
        <f>J82*C82*SW_win.ser.201X_EUR</f>
        <v>0</v>
      </c>
      <c r="N82" s="514"/>
      <c r="O82" s="530"/>
      <c r="W82" s="513"/>
    </row>
    <row r="83" spans="2:23" s="587" customFormat="1" ht="24.75" customHeight="1">
      <c r="B83" s="224" t="s">
        <v>407</v>
      </c>
      <c r="C83" s="172">
        <v>64</v>
      </c>
      <c r="D83" s="172">
        <v>512</v>
      </c>
      <c r="E83" s="173">
        <v>7600</v>
      </c>
      <c r="F83" s="598"/>
      <c r="G83" s="599">
        <f>H83/720</f>
        <v>3.5720000000000001</v>
      </c>
      <c r="H83" s="600">
        <f>INSTANCE_p1.8xlarge.32d_EUR</f>
        <v>2571.84</v>
      </c>
      <c r="I83" s="528"/>
      <c r="J83" s="528"/>
      <c r="K83" s="526" t="s">
        <v>405</v>
      </c>
      <c r="L83" s="529">
        <f>ROUNDUP(I83*H83,2)</f>
        <v>0</v>
      </c>
      <c r="M83" s="577">
        <f>J83*C83*SW_win.ser.201X_EUR</f>
        <v>0</v>
      </c>
      <c r="N83" s="601"/>
      <c r="O83" s="602"/>
    </row>
    <row r="84" spans="2:23" ht="24.75" customHeight="1">
      <c r="B84" s="534" t="s">
        <v>18</v>
      </c>
      <c r="C84" s="580"/>
      <c r="D84" s="580"/>
      <c r="E84" s="580"/>
      <c r="F84" s="581"/>
      <c r="G84" s="582"/>
      <c r="H84" s="583"/>
      <c r="I84" s="557">
        <f>SUM(I81:I83)</f>
        <v>0</v>
      </c>
      <c r="J84" s="557">
        <f>SUM(J81:J83)</f>
        <v>0</v>
      </c>
      <c r="K84" s="559"/>
      <c r="L84" s="560">
        <f>SUM(L81:L83)</f>
        <v>0</v>
      </c>
      <c r="M84" s="584">
        <f>SUM(M81:M83)</f>
        <v>0</v>
      </c>
      <c r="O84" s="480"/>
    </row>
    <row r="85" spans="2:23" ht="24.75" customHeight="1">
      <c r="B85" s="175"/>
      <c r="C85" s="176"/>
      <c r="D85" s="176"/>
      <c r="E85" s="176"/>
      <c r="F85" s="603"/>
      <c r="G85" s="603"/>
      <c r="H85" s="587"/>
      <c r="I85" s="604"/>
      <c r="J85" s="604"/>
      <c r="K85" s="542"/>
      <c r="L85" s="541"/>
      <c r="M85" s="605"/>
      <c r="O85" s="480"/>
    </row>
    <row r="86" spans="2:23" s="502" customFormat="1" ht="24.75" customHeight="1">
      <c r="B86" s="177"/>
      <c r="C86" s="160"/>
      <c r="D86" s="160"/>
      <c r="E86" s="160"/>
      <c r="F86" s="590"/>
      <c r="G86" s="590"/>
      <c r="H86" s="514"/>
      <c r="I86" s="514"/>
      <c r="J86" s="514"/>
      <c r="K86" s="514"/>
      <c r="L86" s="591"/>
      <c r="M86" s="592"/>
      <c r="O86" s="530"/>
      <c r="T86" s="513"/>
      <c r="V86" s="513"/>
    </row>
    <row r="87" spans="2:23" ht="24.75" customHeight="1">
      <c r="B87" s="221" t="s">
        <v>408</v>
      </c>
      <c r="C87" s="163"/>
      <c r="D87" s="163"/>
      <c r="E87" s="163"/>
      <c r="F87" s="593"/>
      <c r="G87" s="593"/>
      <c r="H87" s="514"/>
      <c r="I87" s="514"/>
      <c r="J87" s="514"/>
      <c r="K87" s="514"/>
      <c r="L87" s="591"/>
      <c r="M87" s="592"/>
      <c r="O87" s="480"/>
      <c r="P87" s="502"/>
      <c r="Q87" s="502"/>
      <c r="R87" s="502"/>
      <c r="S87" s="502"/>
      <c r="T87" s="513"/>
      <c r="U87" s="502"/>
      <c r="V87" s="537"/>
    </row>
    <row r="88" spans="2:23" s="606" customFormat="1" ht="24.75" customHeight="1">
      <c r="B88" s="78" t="s">
        <v>10</v>
      </c>
      <c r="C88" s="179" t="s">
        <v>37</v>
      </c>
      <c r="D88" s="179"/>
      <c r="E88" s="1" t="s">
        <v>14</v>
      </c>
      <c r="F88" s="1008" t="s">
        <v>409</v>
      </c>
      <c r="G88" s="1008"/>
      <c r="H88" s="608"/>
      <c r="I88" s="609" t="s">
        <v>228</v>
      </c>
      <c r="J88" s="608"/>
      <c r="K88" s="610"/>
      <c r="L88" s="525"/>
      <c r="O88" s="611"/>
      <c r="P88" s="525"/>
      <c r="T88" s="612"/>
      <c r="U88" s="612"/>
      <c r="V88" s="613"/>
    </row>
    <row r="89" spans="2:23" s="502" customFormat="1" ht="24.75" customHeight="1">
      <c r="B89" s="594" t="s">
        <v>410</v>
      </c>
      <c r="C89" s="186" t="s">
        <v>41</v>
      </c>
      <c r="D89" s="187"/>
      <c r="E89" s="614">
        <f>F89/720</f>
        <v>1.5666666666666666E-4</v>
      </c>
      <c r="F89" s="1009">
        <f>VOLUME_large_EUR</f>
        <v>0.1128</v>
      </c>
      <c r="G89" s="1009"/>
      <c r="H89" s="615"/>
      <c r="I89" s="616"/>
      <c r="J89" s="617" t="s">
        <v>98</v>
      </c>
      <c r="K89" s="618">
        <f>ROUNDUP(I89*F89,2)</f>
        <v>0</v>
      </c>
      <c r="L89" s="514"/>
      <c r="O89" s="530"/>
    </row>
    <row r="90" spans="2:23" s="502" customFormat="1" ht="24.75" customHeight="1">
      <c r="B90" s="596" t="s">
        <v>411</v>
      </c>
      <c r="C90" s="54" t="s">
        <v>43</v>
      </c>
      <c r="D90" s="174"/>
      <c r="E90" s="619">
        <f>F90/720</f>
        <v>4.7000000000000004E-4</v>
      </c>
      <c r="F90" s="1010">
        <f>VOLUME_fast_EUR</f>
        <v>0.33840000000000003</v>
      </c>
      <c r="G90" s="1010"/>
      <c r="H90" s="620"/>
      <c r="I90" s="621"/>
      <c r="J90" s="622" t="s">
        <v>98</v>
      </c>
      <c r="K90" s="623">
        <f>ROUNDUP(I90*F90,2)</f>
        <v>0</v>
      </c>
      <c r="L90" s="514"/>
      <c r="O90" s="530"/>
      <c r="V90" s="513"/>
    </row>
    <row r="91" spans="2:23" ht="24.75" customHeight="1">
      <c r="B91" s="534" t="s">
        <v>18</v>
      </c>
      <c r="C91" s="580"/>
      <c r="D91" s="580"/>
      <c r="E91" s="580"/>
      <c r="F91" s="582"/>
      <c r="G91" s="583"/>
      <c r="H91" s="583"/>
      <c r="I91" s="624" t="str">
        <f>SUM(I89:I90)&amp;" GB"</f>
        <v>0 GB</v>
      </c>
      <c r="J91" s="625"/>
      <c r="K91" s="584">
        <f>SUM(K89:K90)</f>
        <v>0</v>
      </c>
      <c r="O91" s="480"/>
    </row>
    <row r="92" spans="2:23" ht="24.75" customHeight="1">
      <c r="B92" s="175"/>
      <c r="C92" s="176"/>
      <c r="D92" s="176"/>
      <c r="E92" s="176"/>
      <c r="F92" s="603"/>
      <c r="G92" s="603"/>
      <c r="H92" s="626"/>
      <c r="I92" s="626"/>
      <c r="J92" s="626"/>
      <c r="K92" s="627"/>
      <c r="L92" s="628"/>
      <c r="M92" s="629"/>
      <c r="O92" s="480"/>
    </row>
    <row r="93" spans="2:23" ht="24.75" customHeight="1">
      <c r="B93" s="630"/>
      <c r="C93" s="176"/>
      <c r="D93" s="176"/>
      <c r="E93" s="176"/>
      <c r="F93" s="603"/>
      <c r="G93" s="603"/>
      <c r="H93" s="626"/>
      <c r="I93" s="626"/>
      <c r="J93" s="626"/>
      <c r="K93" s="627"/>
      <c r="L93" s="628"/>
      <c r="M93" s="629"/>
      <c r="O93" s="480"/>
    </row>
    <row r="94" spans="2:23" s="490" customFormat="1" ht="24.75" customHeight="1">
      <c r="B94" s="630"/>
      <c r="C94" s="176"/>
      <c r="D94" s="176"/>
      <c r="E94" s="176"/>
      <c r="F94" s="603"/>
      <c r="G94" s="603"/>
      <c r="H94" s="626"/>
      <c r="I94" s="626"/>
      <c r="J94" s="626"/>
      <c r="K94" s="627"/>
      <c r="L94" s="628"/>
      <c r="M94" s="629"/>
      <c r="O94" s="489"/>
    </row>
    <row r="95" spans="2:23" s="490" customFormat="1" ht="24.75" customHeight="1">
      <c r="B95" s="1006" t="s">
        <v>182</v>
      </c>
      <c r="C95" s="1006"/>
      <c r="D95" s="1006"/>
      <c r="E95" s="1006"/>
      <c r="F95" s="1006"/>
      <c r="G95" s="1006"/>
      <c r="H95" s="498"/>
      <c r="J95" s="501"/>
      <c r="K95" s="501"/>
      <c r="M95" s="500"/>
      <c r="O95" s="489"/>
    </row>
    <row r="96" spans="2:23" s="490" customFormat="1" ht="24.75" customHeight="1">
      <c r="B96" s="1006"/>
      <c r="C96" s="1006"/>
      <c r="D96" s="1006"/>
      <c r="E96" s="1006"/>
      <c r="F96" s="1006"/>
      <c r="G96" s="1006"/>
      <c r="H96" s="498"/>
      <c r="J96" s="501"/>
      <c r="K96" s="501"/>
      <c r="M96" s="500"/>
      <c r="O96" s="489"/>
    </row>
    <row r="97" spans="2:22" s="490" customFormat="1" ht="24.75" customHeight="1">
      <c r="B97" s="1006"/>
      <c r="C97" s="1006"/>
      <c r="D97" s="1006"/>
      <c r="E97" s="1006"/>
      <c r="F97" s="1006"/>
      <c r="G97" s="1006"/>
      <c r="H97" s="498"/>
      <c r="J97" s="501"/>
      <c r="K97" s="501"/>
      <c r="M97" s="500"/>
      <c r="O97" s="489"/>
    </row>
    <row r="98" spans="2:22" s="490" customFormat="1" ht="24.75" customHeight="1">
      <c r="B98" s="1011" t="s">
        <v>412</v>
      </c>
      <c r="C98" s="1011"/>
      <c r="D98" s="1011"/>
      <c r="E98" s="1011"/>
      <c r="F98" s="1011"/>
      <c r="H98" s="498"/>
      <c r="J98" s="501"/>
      <c r="K98" s="501"/>
      <c r="M98" s="500"/>
      <c r="N98" s="506"/>
      <c r="O98" s="511"/>
    </row>
    <row r="99" spans="2:22" s="631" customFormat="1" ht="24.75" customHeight="1">
      <c r="B99" s="1007" t="s">
        <v>413</v>
      </c>
      <c r="C99" s="1007"/>
      <c r="D99" s="1007"/>
      <c r="E99" s="1007"/>
      <c r="F99" s="1007"/>
      <c r="G99" s="632"/>
      <c r="H99" s="633"/>
      <c r="I99" s="632"/>
      <c r="J99" s="634"/>
      <c r="K99" s="635"/>
      <c r="L99" s="632"/>
      <c r="M99" s="636"/>
      <c r="N99" s="632"/>
      <c r="O99" s="637"/>
    </row>
    <row r="100" spans="2:22" s="490" customFormat="1" ht="24.75" customHeight="1">
      <c r="B100" s="638" t="s">
        <v>414</v>
      </c>
      <c r="C100" s="63"/>
      <c r="D100" s="63"/>
      <c r="E100" s="63"/>
      <c r="F100" s="512"/>
      <c r="G100" s="506"/>
      <c r="H100" s="507"/>
      <c r="I100" s="506"/>
      <c r="J100" s="508"/>
      <c r="K100" s="639"/>
      <c r="L100" s="639"/>
      <c r="M100" s="510"/>
      <c r="N100" s="509"/>
      <c r="O100" s="530"/>
      <c r="Q100" s="502"/>
      <c r="R100" s="502"/>
    </row>
    <row r="101" spans="2:22" s="502" customFormat="1" ht="24.75" customHeight="1">
      <c r="B101" s="177"/>
      <c r="C101" s="160"/>
      <c r="D101" s="160"/>
      <c r="E101" s="160"/>
      <c r="F101" s="590"/>
      <c r="G101" s="590"/>
      <c r="H101" s="514"/>
      <c r="I101" s="514"/>
      <c r="J101" s="514"/>
      <c r="K101" s="514"/>
      <c r="L101" s="591"/>
      <c r="M101" s="592"/>
      <c r="O101" s="530"/>
      <c r="T101" s="513"/>
      <c r="V101" s="513"/>
    </row>
    <row r="102" spans="2:22" s="490" customFormat="1" ht="24.75" customHeight="1">
      <c r="B102" s="78" t="s">
        <v>10</v>
      </c>
      <c r="C102" s="209" t="s">
        <v>415</v>
      </c>
      <c r="D102" s="1008" t="s">
        <v>416</v>
      </c>
      <c r="E102" s="1008"/>
      <c r="F102" s="1008"/>
      <c r="G102" s="1008"/>
      <c r="H102" s="609" t="s">
        <v>415</v>
      </c>
      <c r="I102" s="608"/>
      <c r="J102" s="1008"/>
      <c r="K102" s="1008"/>
      <c r="L102" s="607"/>
      <c r="M102" s="640" t="s">
        <v>39</v>
      </c>
      <c r="N102" s="509"/>
      <c r="O102" s="530"/>
      <c r="Q102" s="502"/>
      <c r="R102" s="502"/>
    </row>
    <row r="103" spans="2:22" s="579" customFormat="1" ht="24.75" customHeight="1">
      <c r="B103" s="224" t="s">
        <v>417</v>
      </c>
      <c r="C103" s="225"/>
      <c r="D103" s="641"/>
      <c r="E103" s="642">
        <f t="array" ref="E103">_xlfn.IFS(H103&lt;50,D104,H103&lt;100,D105,H103&lt;500,D106,H103&lt;1000,D107,H103&gt;999,D108)</f>
        <v>32.9</v>
      </c>
      <c r="F103" s="643"/>
      <c r="G103" s="643"/>
      <c r="H103" s="644">
        <v>0</v>
      </c>
      <c r="I103" s="645" t="s">
        <v>56</v>
      </c>
      <c r="J103" s="646"/>
      <c r="K103" s="646"/>
      <c r="L103" s="646"/>
      <c r="M103" s="647">
        <f t="array" ref="M103">_xlfn.IFS(H103&lt;1000,ROUNDUP(H103*E103,2),H103&gt;999,E103)</f>
        <v>0</v>
      </c>
      <c r="N103" s="648"/>
      <c r="O103" s="602"/>
      <c r="Q103" s="587"/>
      <c r="R103" s="587"/>
    </row>
    <row r="104" spans="2:22" s="490" customFormat="1" ht="24.75" customHeight="1">
      <c r="B104" s="232" t="s">
        <v>417</v>
      </c>
      <c r="C104" s="233" t="s">
        <v>57</v>
      </c>
      <c r="D104" s="1012">
        <f>S3_storage.50_EUR</f>
        <v>32.9</v>
      </c>
      <c r="E104" s="1012"/>
      <c r="F104" s="1013"/>
      <c r="G104" s="1013"/>
      <c r="H104" s="1013"/>
      <c r="I104" s="1013"/>
      <c r="J104" s="1013"/>
      <c r="K104" s="1013"/>
      <c r="L104" s="649"/>
      <c r="M104" s="650"/>
      <c r="N104" s="509"/>
      <c r="O104" s="530"/>
      <c r="Q104" s="502"/>
      <c r="R104" s="502"/>
    </row>
    <row r="105" spans="2:22" s="490" customFormat="1" ht="24.75" customHeight="1">
      <c r="B105" s="234" t="s">
        <v>417</v>
      </c>
      <c r="C105" s="235" t="s">
        <v>58</v>
      </c>
      <c r="D105" s="1014">
        <f>S3_storage.100_EUR</f>
        <v>25.38</v>
      </c>
      <c r="E105" s="1014"/>
      <c r="F105" s="1015"/>
      <c r="G105" s="1015"/>
      <c r="H105" s="1015"/>
      <c r="I105" s="1015"/>
      <c r="J105" s="1015"/>
      <c r="K105" s="1015"/>
      <c r="L105" s="651"/>
      <c r="M105" s="652"/>
      <c r="N105" s="509"/>
      <c r="O105" s="530"/>
      <c r="Q105" s="502"/>
      <c r="R105" s="502"/>
    </row>
    <row r="106" spans="2:22" s="490" customFormat="1" ht="24.75" customHeight="1">
      <c r="B106" s="232" t="s">
        <v>417</v>
      </c>
      <c r="C106" s="233" t="s">
        <v>59</v>
      </c>
      <c r="D106" s="1016">
        <f>S3_storage.500_EUR</f>
        <v>18.8</v>
      </c>
      <c r="E106" s="1016"/>
      <c r="F106" s="1017"/>
      <c r="G106" s="1017"/>
      <c r="H106" s="1017"/>
      <c r="I106" s="1017"/>
      <c r="J106" s="1017"/>
      <c r="K106" s="1017"/>
      <c r="L106" s="653"/>
      <c r="M106" s="654"/>
      <c r="N106" s="509"/>
      <c r="O106" s="530"/>
      <c r="Q106" s="502"/>
      <c r="R106" s="502"/>
    </row>
    <row r="107" spans="2:22" s="490" customFormat="1" ht="24.75" customHeight="1">
      <c r="B107" s="234" t="s">
        <v>417</v>
      </c>
      <c r="C107" s="235" t="s">
        <v>60</v>
      </c>
      <c r="D107" s="1014">
        <f>S3_storage.1000_EUR</f>
        <v>17.39</v>
      </c>
      <c r="E107" s="1014"/>
      <c r="F107" s="1015"/>
      <c r="G107" s="1015"/>
      <c r="H107" s="1015"/>
      <c r="I107" s="1015"/>
      <c r="J107" s="1015"/>
      <c r="K107" s="1015"/>
      <c r="L107" s="651"/>
      <c r="M107" s="652"/>
      <c r="N107" s="509"/>
      <c r="O107" s="530"/>
      <c r="Q107" s="502"/>
      <c r="R107" s="502"/>
    </row>
    <row r="108" spans="2:22" s="490" customFormat="1" ht="24.75" customHeight="1">
      <c r="B108" s="236" t="s">
        <v>417</v>
      </c>
      <c r="C108" s="237" t="s">
        <v>61</v>
      </c>
      <c r="D108" s="1018" t="str">
        <f>S3_storage.quote_EUR</f>
        <v>Request a quote</v>
      </c>
      <c r="E108" s="1018"/>
      <c r="F108" s="1019"/>
      <c r="G108" s="1019"/>
      <c r="H108" s="1019"/>
      <c r="I108" s="1019"/>
      <c r="J108" s="1019"/>
      <c r="K108" s="1019"/>
      <c r="L108" s="655"/>
      <c r="M108" s="656"/>
      <c r="N108" s="509"/>
      <c r="O108" s="530"/>
      <c r="Q108" s="502"/>
      <c r="R108" s="502"/>
    </row>
    <row r="109" spans="2:22" ht="24.75" customHeight="1">
      <c r="B109" s="657" t="s">
        <v>418</v>
      </c>
      <c r="C109" s="143"/>
      <c r="D109" s="658"/>
      <c r="E109" s="658"/>
      <c r="F109" s="539"/>
      <c r="G109" s="539"/>
      <c r="H109" s="540"/>
      <c r="I109" s="540"/>
      <c r="J109" s="540"/>
      <c r="K109" s="659"/>
      <c r="L109" s="659"/>
      <c r="M109" s="584">
        <f>M103</f>
        <v>0</v>
      </c>
      <c r="N109" s="648"/>
      <c r="O109" s="530"/>
      <c r="Q109" s="502"/>
      <c r="R109" s="502"/>
    </row>
    <row r="110" spans="2:22" ht="24.75" customHeight="1">
      <c r="B110" s="112"/>
      <c r="C110" s="113"/>
      <c r="D110" s="660"/>
      <c r="E110" s="660"/>
      <c r="F110" s="561"/>
      <c r="G110" s="562"/>
      <c r="H110" s="563"/>
      <c r="I110" s="563"/>
      <c r="J110" s="561"/>
      <c r="K110" s="564"/>
      <c r="M110" s="661"/>
      <c r="O110" s="480"/>
      <c r="R110" s="513"/>
      <c r="S110" s="513"/>
      <c r="T110" s="537"/>
    </row>
    <row r="111" spans="2:22" s="490" customFormat="1" ht="24.75" customHeight="1">
      <c r="B111" s="78" t="s">
        <v>10</v>
      </c>
      <c r="C111" s="209" t="s">
        <v>415</v>
      </c>
      <c r="D111" s="1020" t="s">
        <v>416</v>
      </c>
      <c r="E111" s="1020"/>
      <c r="F111" s="1008"/>
      <c r="G111" s="1008"/>
      <c r="H111" s="609" t="s">
        <v>415</v>
      </c>
      <c r="I111" s="609"/>
      <c r="J111" s="1008"/>
      <c r="K111" s="1008"/>
      <c r="L111" s="607"/>
      <c r="M111" s="640"/>
      <c r="N111" s="509"/>
      <c r="O111" s="530"/>
      <c r="Q111" s="502"/>
      <c r="R111" s="502"/>
    </row>
    <row r="112" spans="2:22" s="579" customFormat="1" ht="24.75" customHeight="1">
      <c r="B112" s="224" t="s">
        <v>55</v>
      </c>
      <c r="C112" s="225"/>
      <c r="D112" s="641"/>
      <c r="E112" s="642">
        <f t="array" ref="E112">_xlfn.IFS(H112&lt;50,D113,H112&lt;100,D114,H112&lt;500,D115,H112&lt;1000,D116,H112&gt;999,D117)</f>
        <v>32.9</v>
      </c>
      <c r="F112" s="643"/>
      <c r="G112" s="643"/>
      <c r="H112" s="644">
        <v>0</v>
      </c>
      <c r="I112" s="645" t="s">
        <v>56</v>
      </c>
      <c r="J112" s="646"/>
      <c r="K112" s="646"/>
      <c r="L112" s="646"/>
      <c r="M112" s="647">
        <f t="array" ref="M112">_xlfn.IFS(H112&lt;1000,ROUNDUP(H112*E112,2),H112&gt;999,E112)</f>
        <v>0</v>
      </c>
      <c r="N112" s="648"/>
      <c r="O112" s="602"/>
      <c r="Q112" s="587"/>
      <c r="R112" s="587"/>
    </row>
    <row r="113" spans="2:28" s="490" customFormat="1" ht="24.75" customHeight="1">
      <c r="B113" s="232" t="s">
        <v>55</v>
      </c>
      <c r="C113" s="233" t="s">
        <v>57</v>
      </c>
      <c r="D113" s="1012">
        <f>S3_archive.50_EUR</f>
        <v>32.9</v>
      </c>
      <c r="E113" s="1012"/>
      <c r="F113" s="1013"/>
      <c r="G113" s="1013"/>
      <c r="H113" s="1013"/>
      <c r="I113" s="1013"/>
      <c r="J113" s="1013"/>
      <c r="K113" s="1013"/>
      <c r="L113" s="649"/>
      <c r="M113" s="650"/>
      <c r="N113" s="509"/>
      <c r="O113" s="530"/>
      <c r="Q113" s="502"/>
      <c r="R113" s="502"/>
    </row>
    <row r="114" spans="2:28" s="490" customFormat="1" ht="24.75" customHeight="1">
      <c r="B114" s="234" t="s">
        <v>55</v>
      </c>
      <c r="C114" s="235" t="s">
        <v>58</v>
      </c>
      <c r="D114" s="1014">
        <f>S3_archive.100_EUR</f>
        <v>25.38</v>
      </c>
      <c r="E114" s="1014"/>
      <c r="F114" s="1015"/>
      <c r="G114" s="1015"/>
      <c r="H114" s="1015"/>
      <c r="I114" s="1015"/>
      <c r="J114" s="1015"/>
      <c r="K114" s="1015"/>
      <c r="L114" s="651"/>
      <c r="M114" s="652"/>
      <c r="N114" s="509"/>
      <c r="O114" s="530"/>
      <c r="Q114" s="502"/>
      <c r="R114" s="502"/>
    </row>
    <row r="115" spans="2:28" s="490" customFormat="1" ht="24.75" customHeight="1">
      <c r="B115" s="232" t="s">
        <v>55</v>
      </c>
      <c r="C115" s="233" t="s">
        <v>59</v>
      </c>
      <c r="D115" s="1016">
        <f>S3_archive.500_EUR</f>
        <v>18.8</v>
      </c>
      <c r="E115" s="1016"/>
      <c r="F115" s="1017"/>
      <c r="G115" s="1017"/>
      <c r="H115" s="1017"/>
      <c r="I115" s="1017"/>
      <c r="J115" s="1017"/>
      <c r="K115" s="1017"/>
      <c r="L115" s="653"/>
      <c r="M115" s="654"/>
      <c r="N115" s="509"/>
      <c r="O115" s="530"/>
      <c r="Q115" s="502"/>
      <c r="R115" s="502"/>
    </row>
    <row r="116" spans="2:28" s="490" customFormat="1" ht="24.75" customHeight="1">
      <c r="B116" s="234" t="s">
        <v>55</v>
      </c>
      <c r="C116" s="235" t="s">
        <v>60</v>
      </c>
      <c r="D116" s="1014">
        <f>S3_archive.1000_EUR</f>
        <v>17.39</v>
      </c>
      <c r="E116" s="1014"/>
      <c r="F116" s="1015"/>
      <c r="G116" s="1015"/>
      <c r="H116" s="1015"/>
      <c r="I116" s="1015"/>
      <c r="J116" s="1015"/>
      <c r="K116" s="1015"/>
      <c r="L116" s="651"/>
      <c r="M116" s="652"/>
      <c r="N116" s="509"/>
      <c r="O116" s="530"/>
      <c r="Q116" s="502"/>
      <c r="R116" s="502"/>
    </row>
    <row r="117" spans="2:28" s="490" customFormat="1" ht="24.75" customHeight="1">
      <c r="B117" s="236" t="s">
        <v>55</v>
      </c>
      <c r="C117" s="237" t="s">
        <v>61</v>
      </c>
      <c r="D117" s="1018" t="str">
        <f>S3_archive.quote_EUR</f>
        <v>Request a quote</v>
      </c>
      <c r="E117" s="1018"/>
      <c r="F117" s="1019"/>
      <c r="G117" s="1019"/>
      <c r="H117" s="1019"/>
      <c r="I117" s="1019"/>
      <c r="J117" s="1019"/>
      <c r="K117" s="1019"/>
      <c r="L117" s="655"/>
      <c r="M117" s="656"/>
      <c r="N117" s="509"/>
      <c r="O117" s="530"/>
      <c r="Q117" s="502"/>
      <c r="R117" s="502"/>
    </row>
    <row r="118" spans="2:28" s="490" customFormat="1" ht="24.75" customHeight="1">
      <c r="B118" s="657" t="s">
        <v>418</v>
      </c>
      <c r="C118" s="143"/>
      <c r="D118" s="143"/>
      <c r="E118" s="143"/>
      <c r="F118" s="539"/>
      <c r="G118" s="539"/>
      <c r="H118" s="540"/>
      <c r="I118" s="540"/>
      <c r="J118" s="540"/>
      <c r="K118" s="659"/>
      <c r="L118" s="659"/>
      <c r="M118" s="662">
        <f>M112</f>
        <v>0</v>
      </c>
      <c r="N118" s="509"/>
      <c r="O118" s="530"/>
      <c r="Q118" s="502"/>
      <c r="R118" s="502"/>
    </row>
    <row r="119" spans="2:28" s="571" customFormat="1" ht="24.75" customHeight="1">
      <c r="B119" s="8"/>
      <c r="C119" s="64"/>
      <c r="D119" s="64"/>
      <c r="E119" s="64"/>
      <c r="F119" s="512"/>
      <c r="G119" s="506"/>
      <c r="H119" s="507"/>
      <c r="I119" s="506"/>
      <c r="J119" s="508"/>
      <c r="K119" s="639"/>
      <c r="L119" s="639"/>
      <c r="M119" s="510"/>
      <c r="N119" s="509"/>
      <c r="O119" s="663"/>
      <c r="Q119" s="606"/>
      <c r="R119" s="606"/>
      <c r="S119" s="606"/>
      <c r="T119" s="606"/>
      <c r="U119" s="606"/>
      <c r="V119" s="606"/>
      <c r="W119" s="606"/>
    </row>
    <row r="120" spans="2:28" ht="24.75" customHeight="1">
      <c r="B120" s="239"/>
      <c r="C120" s="239"/>
      <c r="D120" s="239"/>
      <c r="E120" s="239"/>
      <c r="F120" s="664"/>
      <c r="G120" s="665"/>
      <c r="H120" s="626"/>
      <c r="I120" s="626"/>
      <c r="J120" s="626"/>
      <c r="K120" s="626"/>
      <c r="L120" s="626"/>
      <c r="M120" s="629"/>
      <c r="N120" s="666"/>
      <c r="O120" s="530"/>
      <c r="Q120" s="502"/>
      <c r="R120" s="502"/>
      <c r="U120" s="490"/>
    </row>
    <row r="121" spans="2:28" s="490" customFormat="1" ht="24.75" customHeight="1">
      <c r="B121" s="239"/>
      <c r="C121" s="239"/>
      <c r="D121" s="239"/>
      <c r="E121" s="239"/>
      <c r="F121" s="664"/>
      <c r="G121" s="665"/>
      <c r="H121" s="626"/>
      <c r="I121" s="626"/>
      <c r="J121" s="626"/>
      <c r="K121" s="626"/>
      <c r="L121" s="626"/>
      <c r="M121" s="629"/>
      <c r="N121" s="666"/>
      <c r="O121" s="489"/>
    </row>
    <row r="122" spans="2:28" s="490" customFormat="1" ht="24.75" customHeight="1">
      <c r="B122" s="1006" t="s">
        <v>183</v>
      </c>
      <c r="C122" s="1006"/>
      <c r="D122" s="1006"/>
      <c r="E122" s="1006"/>
      <c r="F122" s="1006"/>
      <c r="G122" s="1006"/>
      <c r="H122" s="498"/>
      <c r="J122" s="501"/>
      <c r="K122" s="501"/>
      <c r="L122" s="501"/>
      <c r="M122" s="500"/>
      <c r="N122" s="499"/>
      <c r="O122" s="489"/>
    </row>
    <row r="123" spans="2:28" s="490" customFormat="1" ht="24.75" customHeight="1">
      <c r="B123" s="1006"/>
      <c r="C123" s="1006"/>
      <c r="D123" s="1006"/>
      <c r="E123" s="1006"/>
      <c r="F123" s="1006"/>
      <c r="G123" s="1006"/>
      <c r="H123" s="498"/>
      <c r="J123" s="501"/>
      <c r="K123" s="501"/>
      <c r="L123" s="501"/>
      <c r="M123" s="500"/>
      <c r="N123" s="499"/>
      <c r="O123" s="489"/>
    </row>
    <row r="124" spans="2:28" s="490" customFormat="1" ht="24.75" customHeight="1">
      <c r="B124" s="1006"/>
      <c r="C124" s="1006"/>
      <c r="D124" s="1006"/>
      <c r="E124" s="1006"/>
      <c r="F124" s="1006"/>
      <c r="G124" s="1006"/>
      <c r="H124" s="498"/>
      <c r="J124" s="501"/>
      <c r="K124" s="501"/>
      <c r="L124" s="501"/>
      <c r="M124" s="500"/>
      <c r="N124" s="499"/>
      <c r="O124" s="489"/>
    </row>
    <row r="125" spans="2:28" s="490" customFormat="1" ht="24.75" customHeight="1">
      <c r="B125" s="1021" t="s">
        <v>419</v>
      </c>
      <c r="C125" s="1021"/>
      <c r="D125" s="1021"/>
      <c r="E125" s="1021"/>
      <c r="F125" s="1021"/>
      <c r="H125" s="498"/>
      <c r="J125" s="501"/>
      <c r="K125" s="501"/>
      <c r="L125" s="501"/>
      <c r="M125" s="500"/>
      <c r="N125" s="499"/>
      <c r="O125" s="511"/>
    </row>
    <row r="126" spans="2:28" s="490" customFormat="1" ht="24.75" customHeight="1">
      <c r="B126" s="1022" t="s">
        <v>6</v>
      </c>
      <c r="C126" s="1022"/>
      <c r="D126" s="1022"/>
      <c r="E126" s="1022"/>
      <c r="F126" s="1022"/>
      <c r="G126" s="506"/>
      <c r="H126" s="507"/>
      <c r="I126" s="506"/>
      <c r="J126" s="508"/>
      <c r="K126" s="639"/>
      <c r="L126" s="639"/>
      <c r="M126" s="510"/>
      <c r="N126" s="509"/>
      <c r="O126" s="511"/>
    </row>
    <row r="127" spans="2:28" s="514" customFormat="1" ht="24.75" customHeight="1">
      <c r="B127" s="638" t="s">
        <v>414</v>
      </c>
      <c r="C127" s="63"/>
      <c r="D127" s="63"/>
      <c r="E127" s="63"/>
      <c r="F127" s="512"/>
      <c r="G127" s="506"/>
      <c r="H127" s="507"/>
      <c r="I127" s="506"/>
      <c r="J127" s="508"/>
      <c r="K127" s="639"/>
      <c r="L127" s="639"/>
      <c r="M127" s="510"/>
      <c r="N127" s="509"/>
      <c r="O127" s="530"/>
      <c r="Q127" s="502"/>
      <c r="R127" s="502"/>
      <c r="S127" s="502"/>
      <c r="T127" s="502"/>
      <c r="U127" s="502"/>
      <c r="V127" s="502"/>
      <c r="W127" s="502"/>
      <c r="Z127" s="474"/>
      <c r="AA127" s="474"/>
      <c r="AB127" s="474"/>
    </row>
    <row r="128" spans="2:28" s="571" customFormat="1" ht="24.75" customHeight="1">
      <c r="B128" s="223"/>
      <c r="C128" s="161"/>
      <c r="D128" s="161"/>
      <c r="E128" s="161"/>
      <c r="F128" s="514"/>
      <c r="G128" s="514"/>
      <c r="H128" s="514"/>
      <c r="I128" s="514"/>
      <c r="J128" s="514"/>
      <c r="K128" s="514"/>
      <c r="L128" s="514"/>
      <c r="M128" s="592"/>
      <c r="N128" s="591"/>
      <c r="O128" s="663"/>
      <c r="R128" s="606"/>
      <c r="S128" s="606"/>
      <c r="T128" s="606"/>
      <c r="U128" s="606"/>
      <c r="V128" s="606"/>
      <c r="W128" s="606"/>
    </row>
    <row r="129" spans="2:34" ht="24.75" customHeight="1">
      <c r="B129" s="78" t="s">
        <v>10</v>
      </c>
      <c r="D129" s="608" t="s">
        <v>420</v>
      </c>
      <c r="E129" s="6"/>
      <c r="F129" s="1008" t="s">
        <v>421</v>
      </c>
      <c r="G129" s="1008"/>
      <c r="H129" s="609" t="s">
        <v>241</v>
      </c>
      <c r="I129" s="608"/>
      <c r="J129" s="1023" t="s">
        <v>422</v>
      </c>
      <c r="K129" s="1023"/>
      <c r="L129" s="667"/>
      <c r="M129" s="610" t="s">
        <v>77</v>
      </c>
      <c r="N129" s="591"/>
      <c r="O129" s="480"/>
    </row>
    <row r="130" spans="2:34" ht="24.75" customHeight="1">
      <c r="B130" s="1024" t="s">
        <v>423</v>
      </c>
      <c r="C130" s="1024"/>
      <c r="D130" s="669" t="s">
        <v>20</v>
      </c>
      <c r="E130" s="246"/>
      <c r="F130" s="1025">
        <f>BAAS_on.demand_EUR</f>
        <v>0.2303</v>
      </c>
      <c r="G130" s="1025"/>
      <c r="H130" s="670">
        <v>0</v>
      </c>
      <c r="I130" s="617" t="s">
        <v>98</v>
      </c>
      <c r="J130" s="1026" t="s">
        <v>20</v>
      </c>
      <c r="K130" s="1026"/>
      <c r="L130" s="671"/>
      <c r="M130" s="618">
        <f>ROUNDUP(H130*F130,2)</f>
        <v>0</v>
      </c>
      <c r="N130" s="591"/>
      <c r="O130" s="480"/>
    </row>
    <row r="131" spans="2:34" ht="24.75" customHeight="1">
      <c r="B131" s="1027" t="s">
        <v>424</v>
      </c>
      <c r="C131" s="1027"/>
      <c r="D131" s="673">
        <f>BAAS_small.fee_EUR</f>
        <v>517</v>
      </c>
      <c r="E131" s="674"/>
      <c r="F131" s="1028">
        <f>BAAS_small_EUR</f>
        <v>0.16450000000000001</v>
      </c>
      <c r="G131" s="1028"/>
      <c r="H131" s="675">
        <v>0</v>
      </c>
      <c r="I131" s="622" t="s">
        <v>98</v>
      </c>
      <c r="J131" s="1029">
        <v>0.75</v>
      </c>
      <c r="K131" s="1029"/>
      <c r="L131" s="622"/>
      <c r="M131" s="623">
        <f>IF(H131&gt;0,IF(SUM($D$131+($F$131*((H131*(1-$J$131))-1000)))&lt;=D131,$D$131,$D$131+($F$131*((H131*(1-$J$131))-1000))),0)</f>
        <v>0</v>
      </c>
      <c r="N131" s="591"/>
      <c r="O131" s="480"/>
    </row>
    <row r="132" spans="2:34" s="676" customFormat="1" ht="24.75" customHeight="1">
      <c r="B132" s="1030" t="s">
        <v>425</v>
      </c>
      <c r="C132" s="1030"/>
      <c r="D132" s="678">
        <f>BAAS_large.fee_EUR</f>
        <v>893</v>
      </c>
      <c r="E132" s="679"/>
      <c r="F132" s="1031">
        <f>BAAS_large_EUR</f>
        <v>8.6480000000000001E-2</v>
      </c>
      <c r="G132" s="1031"/>
      <c r="H132" s="644">
        <v>0</v>
      </c>
      <c r="I132" s="680" t="s">
        <v>98</v>
      </c>
      <c r="J132" s="1032">
        <v>0.75</v>
      </c>
      <c r="K132" s="1032"/>
      <c r="L132" s="680"/>
      <c r="M132" s="681">
        <f>IF(H132&gt;0,$D$132+($F$132*(H132*(1-$J$132))),0)</f>
        <v>0</v>
      </c>
      <c r="N132" s="591"/>
      <c r="O132" s="682"/>
      <c r="V132" s="474"/>
      <c r="W132" s="474"/>
      <c r="X132" s="474"/>
      <c r="Y132" s="474"/>
      <c r="Z132" s="474"/>
      <c r="AA132" s="474"/>
      <c r="AB132" s="474"/>
      <c r="AC132" s="474"/>
      <c r="AD132" s="474"/>
      <c r="AE132" s="474"/>
      <c r="AF132" s="474"/>
      <c r="AG132" s="474"/>
      <c r="AH132" s="474"/>
    </row>
    <row r="133" spans="2:34" s="676" customFormat="1" ht="24.75" customHeight="1">
      <c r="B133" s="657" t="s">
        <v>418</v>
      </c>
      <c r="C133" s="143"/>
      <c r="D133" s="143"/>
      <c r="E133" s="143"/>
      <c r="F133" s="539"/>
      <c r="G133" s="540"/>
      <c r="H133" s="624" t="str">
        <f>SUM(H130:H132)&amp;" GB"</f>
        <v>0 GB</v>
      </c>
      <c r="I133" s="540"/>
      <c r="J133" s="540"/>
      <c r="K133" s="659"/>
      <c r="L133" s="659"/>
      <c r="M133" s="584">
        <f>SUM(M130:M132)</f>
        <v>0</v>
      </c>
      <c r="N133" s="591"/>
      <c r="O133" s="682"/>
      <c r="Q133" s="683"/>
      <c r="V133" s="474"/>
      <c r="W133" s="474"/>
      <c r="X133" s="474"/>
      <c r="Y133" s="474"/>
      <c r="Z133" s="474"/>
      <c r="AA133" s="474"/>
      <c r="AB133" s="474"/>
      <c r="AC133" s="474"/>
      <c r="AD133" s="474"/>
      <c r="AE133" s="474"/>
      <c r="AF133" s="474"/>
      <c r="AG133" s="474"/>
      <c r="AH133" s="474"/>
    </row>
    <row r="134" spans="2:34" s="676" customFormat="1" ht="24.75" customHeight="1">
      <c r="B134" s="657"/>
      <c r="C134" s="143"/>
      <c r="D134" s="143"/>
      <c r="E134" s="143"/>
      <c r="F134" s="539"/>
      <c r="G134" s="540"/>
      <c r="H134" s="540"/>
      <c r="I134" s="540"/>
      <c r="J134" s="540"/>
      <c r="K134" s="659"/>
      <c r="L134" s="659"/>
      <c r="M134" s="605"/>
      <c r="N134" s="591"/>
      <c r="O134" s="682"/>
      <c r="Q134" s="683"/>
      <c r="V134" s="474"/>
      <c r="W134" s="474"/>
      <c r="X134" s="474"/>
      <c r="Y134" s="474"/>
      <c r="Z134" s="474"/>
      <c r="AA134" s="474"/>
      <c r="AB134" s="474"/>
      <c r="AC134" s="474"/>
      <c r="AD134" s="474"/>
      <c r="AE134" s="474"/>
      <c r="AF134" s="474"/>
      <c r="AG134" s="474"/>
      <c r="AH134" s="474"/>
    </row>
    <row r="135" spans="2:34" s="676" customFormat="1" ht="24.75" customHeight="1">
      <c r="B135" s="1033" t="s">
        <v>426</v>
      </c>
      <c r="C135" s="1033"/>
      <c r="D135" s="1033"/>
      <c r="E135" s="1033"/>
      <c r="F135" s="1033"/>
      <c r="G135" s="1033"/>
      <c r="H135" s="1033"/>
      <c r="I135" s="1033"/>
      <c r="J135" s="540"/>
      <c r="K135" s="659"/>
      <c r="L135" s="659"/>
      <c r="M135" s="605"/>
      <c r="N135" s="541"/>
      <c r="O135" s="682"/>
      <c r="Q135" s="683"/>
      <c r="V135" s="474"/>
      <c r="W135" s="474"/>
      <c r="X135" s="474"/>
      <c r="Y135" s="474"/>
      <c r="Z135" s="474"/>
      <c r="AA135" s="474"/>
      <c r="AB135" s="474"/>
      <c r="AC135" s="474"/>
      <c r="AD135" s="474"/>
      <c r="AE135" s="474"/>
      <c r="AF135" s="474"/>
      <c r="AG135" s="474"/>
      <c r="AH135" s="474"/>
    </row>
    <row r="136" spans="2:34" ht="24.75" customHeight="1">
      <c r="B136" s="1033" t="s">
        <v>427</v>
      </c>
      <c r="C136" s="1033"/>
      <c r="D136" s="1033"/>
      <c r="E136" s="1033"/>
      <c r="F136" s="1033"/>
      <c r="G136" s="1033"/>
      <c r="H136" s="1033"/>
      <c r="I136" s="1033"/>
      <c r="J136" s="540"/>
      <c r="K136" s="659"/>
      <c r="L136" s="659"/>
      <c r="M136" s="605"/>
      <c r="N136" s="541"/>
      <c r="O136" s="530"/>
      <c r="Q136" s="502"/>
      <c r="R136" s="502"/>
    </row>
    <row r="137" spans="2:34" ht="24.75" customHeight="1">
      <c r="B137" s="1033" t="s">
        <v>428</v>
      </c>
      <c r="C137" s="1033"/>
      <c r="D137" s="1033"/>
      <c r="E137" s="1033"/>
      <c r="F137" s="1033"/>
      <c r="G137" s="1033"/>
      <c r="H137" s="1033"/>
      <c r="I137" s="1033"/>
      <c r="J137" s="626"/>
      <c r="K137" s="626"/>
      <c r="L137" s="626"/>
      <c r="M137" s="629"/>
      <c r="N137" s="666"/>
      <c r="O137" s="530"/>
      <c r="Q137" s="502"/>
      <c r="R137" s="502"/>
    </row>
    <row r="138" spans="2:34" ht="24.75" customHeight="1">
      <c r="B138" s="1033" t="s">
        <v>429</v>
      </c>
      <c r="C138" s="1033"/>
      <c r="D138" s="1033"/>
      <c r="E138" s="1033"/>
      <c r="F138" s="1033"/>
      <c r="G138" s="1033"/>
      <c r="H138" s="1033"/>
      <c r="I138" s="1033"/>
      <c r="J138" s="626"/>
      <c r="K138" s="626"/>
      <c r="L138" s="666"/>
      <c r="M138" s="629"/>
      <c r="N138" s="514"/>
      <c r="O138" s="530"/>
      <c r="P138" s="502"/>
      <c r="Q138" s="502"/>
    </row>
    <row r="139" spans="2:34" ht="24.75" customHeight="1">
      <c r="B139" s="260"/>
      <c r="C139" s="239"/>
      <c r="D139" s="239"/>
      <c r="E139" s="239"/>
      <c r="F139" s="664"/>
      <c r="G139" s="665"/>
      <c r="H139" s="626"/>
      <c r="I139" s="626"/>
      <c r="J139" s="626"/>
      <c r="K139" s="626"/>
      <c r="L139" s="666"/>
      <c r="M139" s="629"/>
      <c r="N139" s="514"/>
      <c r="O139" s="530"/>
      <c r="P139" s="502"/>
      <c r="Q139" s="502"/>
    </row>
    <row r="140" spans="2:34" ht="24.75" customHeight="1">
      <c r="B140" s="260"/>
      <c r="C140" s="239"/>
      <c r="D140" s="239"/>
      <c r="E140" s="239"/>
      <c r="F140" s="664"/>
      <c r="G140" s="665"/>
      <c r="H140" s="626"/>
      <c r="I140" s="626"/>
      <c r="J140" s="626"/>
      <c r="K140" s="626"/>
      <c r="L140" s="666"/>
      <c r="M140" s="629"/>
      <c r="N140" s="514"/>
      <c r="O140" s="530"/>
      <c r="P140" s="502"/>
      <c r="Q140" s="502"/>
    </row>
    <row r="141" spans="2:34" ht="24.75" customHeight="1">
      <c r="B141" s="260"/>
      <c r="C141" s="239"/>
      <c r="D141" s="239"/>
      <c r="E141" s="239"/>
      <c r="F141" s="664"/>
      <c r="G141" s="665"/>
      <c r="H141" s="626"/>
      <c r="I141" s="626"/>
      <c r="J141" s="626"/>
      <c r="K141" s="626"/>
      <c r="L141" s="666"/>
      <c r="M141" s="629"/>
      <c r="N141" s="514"/>
      <c r="O141" s="530"/>
      <c r="P141" s="502"/>
      <c r="Q141" s="502"/>
    </row>
    <row r="142" spans="2:34" ht="24.75" customHeight="1">
      <c r="B142" s="260"/>
      <c r="C142" s="239"/>
      <c r="D142" s="239"/>
      <c r="E142" s="239"/>
      <c r="F142" s="664"/>
      <c r="G142" s="665"/>
      <c r="H142" s="626"/>
      <c r="I142" s="626"/>
      <c r="J142" s="626"/>
      <c r="K142" s="626"/>
      <c r="L142" s="666"/>
      <c r="M142" s="629"/>
      <c r="N142" s="514"/>
      <c r="O142" s="530"/>
      <c r="P142" s="502"/>
      <c r="Q142" s="502"/>
    </row>
    <row r="143" spans="2:34" s="490" customFormat="1" ht="24.75" customHeight="1">
      <c r="B143" s="1006" t="s">
        <v>84</v>
      </c>
      <c r="C143" s="1006"/>
      <c r="D143" s="1006"/>
      <c r="E143" s="1006"/>
      <c r="F143" s="1006"/>
      <c r="G143" s="1006"/>
      <c r="H143" s="498"/>
      <c r="J143" s="501"/>
      <c r="K143" s="501"/>
      <c r="M143" s="629"/>
      <c r="N143" s="514"/>
      <c r="O143" s="530"/>
    </row>
    <row r="144" spans="2:34" s="490" customFormat="1" ht="24.75" customHeight="1">
      <c r="B144" s="1006"/>
      <c r="C144" s="1006"/>
      <c r="D144" s="1006"/>
      <c r="E144" s="1006"/>
      <c r="F144" s="1006"/>
      <c r="G144" s="1006"/>
      <c r="H144" s="498"/>
      <c r="J144" s="501"/>
      <c r="K144" s="501"/>
      <c r="M144" s="629"/>
      <c r="N144" s="514"/>
      <c r="O144" s="530"/>
    </row>
    <row r="145" spans="2:26" s="490" customFormat="1" ht="24.75" customHeight="1">
      <c r="B145" s="1006"/>
      <c r="C145" s="1006"/>
      <c r="D145" s="1006"/>
      <c r="E145" s="1006"/>
      <c r="F145" s="1006"/>
      <c r="G145" s="1006"/>
      <c r="H145" s="498"/>
      <c r="J145" s="501"/>
      <c r="K145" s="501"/>
      <c r="M145" s="629"/>
      <c r="N145" s="514"/>
      <c r="O145" s="530"/>
    </row>
    <row r="146" spans="2:26" s="490" customFormat="1" ht="24.75" customHeight="1">
      <c r="B146" s="1022" t="s">
        <v>6</v>
      </c>
      <c r="C146" s="1022"/>
      <c r="D146" s="1022"/>
      <c r="E146" s="1022"/>
      <c r="F146" s="1022"/>
      <c r="H146" s="498"/>
      <c r="J146" s="501"/>
      <c r="K146" s="501"/>
      <c r="M146" s="629"/>
      <c r="N146" s="514"/>
      <c r="O146" s="530"/>
    </row>
    <row r="147" spans="2:26" s="490" customFormat="1" ht="24.75" customHeight="1">
      <c r="B147" s="1034"/>
      <c r="C147" s="1034"/>
      <c r="D147" s="1034"/>
      <c r="E147" s="1034"/>
      <c r="F147" s="1034"/>
      <c r="G147" s="506"/>
      <c r="H147" s="507"/>
      <c r="I147" s="506"/>
      <c r="J147" s="508"/>
      <c r="K147" s="639"/>
      <c r="L147" s="506"/>
      <c r="M147" s="629"/>
      <c r="N147" s="514"/>
      <c r="O147" s="530"/>
    </row>
    <row r="148" spans="2:26" s="490" customFormat="1" ht="24.75" customHeight="1">
      <c r="B148" s="64"/>
      <c r="C148" s="64"/>
      <c r="D148" s="64"/>
      <c r="E148" s="64"/>
      <c r="F148" s="512"/>
      <c r="G148" s="506"/>
      <c r="H148" s="506"/>
      <c r="I148" s="506"/>
      <c r="J148" s="506"/>
      <c r="K148" s="506"/>
      <c r="L148" s="506"/>
      <c r="M148" s="510"/>
      <c r="N148" s="508"/>
      <c r="O148" s="530"/>
      <c r="P148" s="506"/>
      <c r="Q148" s="509"/>
      <c r="R148" s="666"/>
      <c r="S148" s="514"/>
    </row>
    <row r="149" spans="2:26" s="514" customFormat="1" ht="24.75" customHeight="1">
      <c r="B149" s="221" t="s">
        <v>85</v>
      </c>
      <c r="C149" s="64"/>
      <c r="D149" s="64"/>
      <c r="E149" s="64"/>
      <c r="F149" s="512"/>
      <c r="G149" s="506"/>
      <c r="H149" s="506"/>
      <c r="I149" s="506"/>
      <c r="J149" s="506"/>
      <c r="K149" s="506"/>
      <c r="L149" s="506"/>
      <c r="M149" s="510"/>
      <c r="N149" s="508"/>
      <c r="O149" s="530"/>
      <c r="P149" s="506"/>
      <c r="Q149" s="509"/>
      <c r="R149" s="666"/>
      <c r="U149" s="502"/>
      <c r="V149" s="502"/>
      <c r="W149" s="502"/>
      <c r="X149" s="502"/>
      <c r="Y149" s="502"/>
      <c r="Z149" s="502"/>
    </row>
    <row r="150" spans="2:26" ht="24.75" customHeight="1">
      <c r="B150" s="273" t="s">
        <v>10</v>
      </c>
      <c r="C150" s="262" t="s">
        <v>87</v>
      </c>
      <c r="D150" s="262"/>
      <c r="E150" s="179" t="s">
        <v>37</v>
      </c>
      <c r="F150" s="608"/>
      <c r="G150" s="607"/>
      <c r="H150" s="607"/>
      <c r="I150" s="607"/>
      <c r="J150" s="607"/>
      <c r="K150" s="685" t="s">
        <v>430</v>
      </c>
      <c r="L150" s="1035" t="s">
        <v>89</v>
      </c>
      <c r="M150" s="1035"/>
      <c r="N150" s="524"/>
      <c r="O150" s="530"/>
      <c r="P150" s="686"/>
      <c r="Q150" s="524"/>
      <c r="R150" s="666"/>
      <c r="S150" s="514"/>
    </row>
    <row r="151" spans="2:26" ht="24.75" customHeight="1">
      <c r="B151" s="594" t="s">
        <v>431</v>
      </c>
      <c r="C151" s="191" t="s">
        <v>91</v>
      </c>
      <c r="D151" s="274"/>
      <c r="E151" s="186" t="s">
        <v>92</v>
      </c>
      <c r="F151" s="617"/>
      <c r="G151" s="687"/>
      <c r="H151" s="687"/>
      <c r="I151" s="687"/>
      <c r="J151" s="687"/>
      <c r="K151" s="688" t="s">
        <v>250</v>
      </c>
      <c r="L151" s="1036">
        <f>NET_publicv4_EUR</f>
        <v>2.35</v>
      </c>
      <c r="M151" s="1036"/>
      <c r="O151" s="530"/>
      <c r="P151" s="475"/>
      <c r="R151" s="666"/>
      <c r="S151" s="514"/>
    </row>
    <row r="152" spans="2:26" ht="24.75" customHeight="1">
      <c r="B152" s="596" t="s">
        <v>432</v>
      </c>
      <c r="C152" s="197" t="s">
        <v>95</v>
      </c>
      <c r="D152" s="277"/>
      <c r="E152" s="54" t="s">
        <v>92</v>
      </c>
      <c r="F152" s="689"/>
      <c r="G152" s="690"/>
      <c r="H152" s="690"/>
      <c r="I152" s="690"/>
      <c r="J152" s="690"/>
      <c r="K152" s="691" t="s">
        <v>20</v>
      </c>
      <c r="L152" s="1037">
        <f>NET_publicv6_EUR</f>
        <v>0</v>
      </c>
      <c r="M152" s="1037"/>
      <c r="O152" s="530"/>
      <c r="P152" s="475"/>
      <c r="R152" s="666"/>
      <c r="S152" s="514"/>
    </row>
    <row r="153" spans="2:26" ht="24.75" customHeight="1">
      <c r="B153" s="594" t="s">
        <v>433</v>
      </c>
      <c r="C153" s="191" t="s">
        <v>97</v>
      </c>
      <c r="D153" s="274"/>
      <c r="E153" s="281"/>
      <c r="F153" s="692"/>
      <c r="G153" s="687"/>
      <c r="H153" s="687"/>
      <c r="I153" s="687"/>
      <c r="J153" s="687"/>
      <c r="K153" s="688" t="s">
        <v>98</v>
      </c>
      <c r="L153" s="1038">
        <f>NET_ingress_EUR</f>
        <v>0</v>
      </c>
      <c r="M153" s="1038"/>
      <c r="O153" s="530"/>
      <c r="P153" s="475"/>
      <c r="R153" s="666"/>
      <c r="S153" s="514"/>
    </row>
    <row r="154" spans="2:26" ht="24.75" customHeight="1">
      <c r="B154" s="596" t="s">
        <v>434</v>
      </c>
      <c r="C154" s="197" t="s">
        <v>97</v>
      </c>
      <c r="D154" s="277"/>
      <c r="E154" s="54" t="s">
        <v>435</v>
      </c>
      <c r="F154" s="689"/>
      <c r="G154" s="693"/>
      <c r="H154" s="693"/>
      <c r="I154" s="693"/>
      <c r="J154" s="693"/>
      <c r="K154" s="694" t="s">
        <v>98</v>
      </c>
      <c r="L154" s="1037">
        <f>NET_egress_EUR</f>
        <v>0</v>
      </c>
      <c r="M154" s="1037"/>
      <c r="O154" s="530"/>
      <c r="P154" s="475"/>
      <c r="R154" s="666"/>
      <c r="S154" s="514"/>
    </row>
    <row r="155" spans="2:26" ht="24.75" customHeight="1">
      <c r="B155" s="594" t="s">
        <v>436</v>
      </c>
      <c r="C155" s="191" t="s">
        <v>437</v>
      </c>
      <c r="D155" s="274"/>
      <c r="E155" s="191"/>
      <c r="F155" s="692"/>
      <c r="G155" s="687"/>
      <c r="H155" s="687"/>
      <c r="I155" s="687"/>
      <c r="J155" s="687"/>
      <c r="K155" s="688" t="s">
        <v>103</v>
      </c>
      <c r="L155" s="1039">
        <f>NET_mgn.slb_EUR</f>
        <v>25.85</v>
      </c>
      <c r="M155" s="1039"/>
      <c r="O155" s="530"/>
      <c r="Q155" s="517"/>
    </row>
    <row r="156" spans="2:26" ht="24.75" customHeight="1">
      <c r="B156" s="596" t="s">
        <v>438</v>
      </c>
      <c r="C156" s="197" t="s">
        <v>105</v>
      </c>
      <c r="D156" s="277"/>
      <c r="E156" s="54"/>
      <c r="F156" s="689"/>
      <c r="G156" s="693"/>
      <c r="H156" s="693"/>
      <c r="I156" s="693"/>
      <c r="J156" s="693"/>
      <c r="K156" s="691" t="s">
        <v>20</v>
      </c>
      <c r="L156" s="1037">
        <f>NET_rdns_EUR</f>
        <v>0</v>
      </c>
      <c r="M156" s="1037"/>
      <c r="O156" s="530"/>
      <c r="P156" s="475"/>
      <c r="R156" s="666"/>
      <c r="S156" s="514"/>
    </row>
    <row r="157" spans="2:26" ht="24.75" customHeight="1">
      <c r="B157" s="594" t="s">
        <v>439</v>
      </c>
      <c r="C157" s="191" t="s">
        <v>107</v>
      </c>
      <c r="D157" s="274"/>
      <c r="E157" s="191"/>
      <c r="F157" s="692"/>
      <c r="G157" s="687"/>
      <c r="H157" s="687"/>
      <c r="I157" s="687"/>
      <c r="J157" s="687"/>
      <c r="K157" s="688" t="s">
        <v>20</v>
      </c>
      <c r="L157" s="1039">
        <f>NET_byoip_EUR</f>
        <v>0</v>
      </c>
      <c r="M157" s="1039"/>
      <c r="O157" s="530"/>
      <c r="P157" s="475"/>
      <c r="R157" s="666"/>
      <c r="S157" s="514"/>
    </row>
    <row r="158" spans="2:26" ht="24.75" customHeight="1">
      <c r="B158" s="287"/>
      <c r="C158" s="287"/>
      <c r="D158" s="288"/>
      <c r="E158" s="288"/>
      <c r="F158" s="695"/>
      <c r="G158" s="695"/>
      <c r="H158" s="695"/>
      <c r="I158" s="695"/>
      <c r="J158" s="695"/>
      <c r="K158" s="696"/>
      <c r="L158" s="1040"/>
      <c r="M158" s="1040"/>
      <c r="O158" s="530"/>
      <c r="P158" s="475"/>
      <c r="R158" s="666"/>
      <c r="S158" s="514"/>
    </row>
    <row r="159" spans="2:26" ht="24.75" customHeight="1">
      <c r="B159" s="474"/>
      <c r="C159" s="474"/>
      <c r="D159" s="135"/>
      <c r="E159" s="135"/>
      <c r="F159" s="524"/>
      <c r="G159" s="524"/>
      <c r="H159" s="524"/>
      <c r="I159" s="524"/>
      <c r="J159" s="524"/>
      <c r="K159" s="697"/>
      <c r="L159" s="1041"/>
      <c r="M159" s="1041"/>
      <c r="O159" s="530"/>
      <c r="Q159" s="517"/>
      <c r="R159" s="666"/>
      <c r="S159" s="514"/>
    </row>
    <row r="160" spans="2:26" ht="24.75" customHeight="1">
      <c r="B160" s="273" t="s">
        <v>10</v>
      </c>
      <c r="C160" s="262"/>
      <c r="D160" s="179"/>
      <c r="E160" s="179" t="s">
        <v>37</v>
      </c>
      <c r="F160" s="608"/>
      <c r="G160" s="607"/>
      <c r="H160" s="607"/>
      <c r="I160" s="607"/>
      <c r="J160" s="607"/>
      <c r="K160" s="685" t="s">
        <v>430</v>
      </c>
      <c r="L160" s="1035" t="s">
        <v>89</v>
      </c>
      <c r="M160" s="1035"/>
      <c r="O160" s="530"/>
      <c r="R160" s="666"/>
      <c r="S160" s="514"/>
    </row>
    <row r="161" spans="2:22" ht="24.75" customHeight="1">
      <c r="B161" s="594" t="s">
        <v>440</v>
      </c>
      <c r="C161" s="274"/>
      <c r="D161" s="191"/>
      <c r="E161" s="191" t="s">
        <v>441</v>
      </c>
      <c r="F161" s="617"/>
      <c r="G161" s="687"/>
      <c r="H161" s="687"/>
      <c r="I161" s="687"/>
      <c r="J161" s="687"/>
      <c r="K161" s="688" t="s">
        <v>11</v>
      </c>
      <c r="L161" s="1036">
        <f>SW_win.ser.201X_EUR</f>
        <v>16.45</v>
      </c>
      <c r="M161" s="1036"/>
      <c r="N161" s="626"/>
      <c r="O161" s="530"/>
      <c r="Q161" s="666"/>
      <c r="R161" s="666"/>
      <c r="S161" s="514"/>
      <c r="U161" s="502"/>
      <c r="V161" s="502"/>
    </row>
    <row r="162" spans="2:22" ht="24.75" customHeight="1">
      <c r="B162" s="596" t="s">
        <v>442</v>
      </c>
      <c r="C162" s="277"/>
      <c r="D162" s="197"/>
      <c r="E162" s="197" t="s">
        <v>443</v>
      </c>
      <c r="F162" s="689"/>
      <c r="G162" s="690"/>
      <c r="H162" s="690"/>
      <c r="I162" s="690"/>
      <c r="J162" s="690"/>
      <c r="K162" s="694" t="s">
        <v>11</v>
      </c>
      <c r="L162" s="1042">
        <f>SW_win.ser.201X_EUR</f>
        <v>16.45</v>
      </c>
      <c r="M162" s="1042"/>
      <c r="N162" s="626"/>
      <c r="O162" s="530"/>
      <c r="Q162" s="666"/>
      <c r="R162" s="666"/>
      <c r="S162" s="514"/>
      <c r="U162" s="502"/>
      <c r="V162" s="502"/>
    </row>
    <row r="163" spans="2:22" s="490" customFormat="1" ht="24.75" customHeight="1">
      <c r="B163" s="594" t="s">
        <v>444</v>
      </c>
      <c r="C163" s="274"/>
      <c r="D163" s="191"/>
      <c r="E163" s="191" t="s">
        <v>445</v>
      </c>
      <c r="F163" s="617"/>
      <c r="G163" s="687"/>
      <c r="H163" s="687"/>
      <c r="I163" s="687"/>
      <c r="J163" s="687"/>
      <c r="K163" s="688" t="s">
        <v>11</v>
      </c>
      <c r="L163" s="1039">
        <f>SW_ms.sql.ser_EUR</f>
        <v>115.526</v>
      </c>
      <c r="M163" s="1039"/>
      <c r="O163" s="530"/>
      <c r="P163" s="474"/>
      <c r="R163" s="666"/>
      <c r="S163" s="514"/>
    </row>
    <row r="164" spans="2:22" ht="24.75" customHeight="1">
      <c r="B164" s="596" t="s">
        <v>446</v>
      </c>
      <c r="C164" s="277"/>
      <c r="D164" s="197"/>
      <c r="E164" s="197" t="s">
        <v>447</v>
      </c>
      <c r="F164" s="689"/>
      <c r="G164" s="690"/>
      <c r="H164" s="690"/>
      <c r="I164" s="690"/>
      <c r="J164" s="690"/>
      <c r="K164" s="694" t="s">
        <v>103</v>
      </c>
      <c r="L164" s="1043" t="str">
        <f>SW_stackn_EUR</f>
        <v>Request a quote</v>
      </c>
      <c r="M164" s="1043"/>
      <c r="O164" s="530"/>
      <c r="R164" s="666"/>
      <c r="S164" s="514"/>
    </row>
    <row r="165" spans="2:22" ht="24.75" customHeight="1">
      <c r="B165" s="594" t="s">
        <v>448</v>
      </c>
      <c r="C165" s="274"/>
      <c r="D165" s="191"/>
      <c r="E165" s="191" t="s">
        <v>449</v>
      </c>
      <c r="F165" s="617"/>
      <c r="G165" s="687"/>
      <c r="H165" s="687"/>
      <c r="I165" s="687"/>
      <c r="J165" s="687"/>
      <c r="K165" s="698" t="s">
        <v>20</v>
      </c>
      <c r="L165" s="1044" t="str">
        <f>SW_nextcloud_EUR</f>
        <v>Request a quote</v>
      </c>
      <c r="M165" s="1044"/>
      <c r="N165" s="626"/>
      <c r="O165" s="530"/>
      <c r="Q165" s="666"/>
      <c r="R165" s="666"/>
      <c r="S165" s="514"/>
      <c r="U165" s="502"/>
      <c r="V165" s="502"/>
    </row>
    <row r="166" spans="2:22" s="490" customFormat="1" ht="24.75" customHeight="1">
      <c r="B166" s="596" t="s">
        <v>450</v>
      </c>
      <c r="C166" s="277"/>
      <c r="D166" s="197"/>
      <c r="E166" s="197" t="s">
        <v>451</v>
      </c>
      <c r="F166" s="689"/>
      <c r="G166" s="690"/>
      <c r="H166" s="690"/>
      <c r="I166" s="690"/>
      <c r="J166" s="690"/>
      <c r="K166" s="691" t="s">
        <v>20</v>
      </c>
      <c r="L166" s="1043" t="str">
        <f>SW_suse_EUR</f>
        <v>Request a quote</v>
      </c>
      <c r="M166" s="1043"/>
      <c r="O166" s="530"/>
      <c r="P166" s="474"/>
      <c r="R166" s="666"/>
      <c r="S166" s="514"/>
    </row>
    <row r="167" spans="2:22" ht="24.75" customHeight="1">
      <c r="B167" s="594" t="s">
        <v>452</v>
      </c>
      <c r="C167" s="274"/>
      <c r="D167" s="191"/>
      <c r="E167" s="191" t="s">
        <v>453</v>
      </c>
      <c r="F167" s="617"/>
      <c r="G167" s="687"/>
      <c r="H167" s="687"/>
      <c r="I167" s="687"/>
      <c r="J167" s="687"/>
      <c r="K167" s="698" t="s">
        <v>103</v>
      </c>
      <c r="L167" s="1044" t="str">
        <f>SW_cluster.control_EUR</f>
        <v>3x instance price</v>
      </c>
      <c r="M167" s="1044"/>
      <c r="O167" s="530"/>
      <c r="R167" s="666"/>
      <c r="S167" s="514"/>
    </row>
    <row r="168" spans="2:22" ht="24.75" customHeight="1">
      <c r="B168" s="596" t="s">
        <v>454</v>
      </c>
      <c r="C168" s="277"/>
      <c r="D168" s="197"/>
      <c r="E168" s="197" t="s">
        <v>455</v>
      </c>
      <c r="F168" s="689"/>
      <c r="G168" s="690"/>
      <c r="H168" s="690"/>
      <c r="I168" s="690"/>
      <c r="J168" s="690"/>
      <c r="K168" s="694" t="s">
        <v>456</v>
      </c>
      <c r="L168" s="1045">
        <f>SW_backup.ninja_EUR</f>
        <v>37.6</v>
      </c>
      <c r="M168" s="1045"/>
      <c r="O168" s="530"/>
      <c r="R168" s="666"/>
      <c r="S168" s="514"/>
    </row>
    <row r="169" spans="2:22" ht="24.75" customHeight="1">
      <c r="B169" s="292"/>
      <c r="C169" s="293"/>
      <c r="D169" s="294"/>
      <c r="E169" s="294"/>
      <c r="F169" s="699"/>
      <c r="G169" s="700"/>
      <c r="H169" s="700"/>
      <c r="I169" s="700"/>
      <c r="J169" s="700"/>
      <c r="K169" s="701"/>
      <c r="L169" s="1046"/>
      <c r="M169" s="1046"/>
      <c r="O169" s="530"/>
      <c r="P169" s="475"/>
      <c r="R169" s="666"/>
      <c r="S169" s="514"/>
    </row>
    <row r="170" spans="2:22" ht="24.75" customHeight="1">
      <c r="B170" s="11"/>
      <c r="K170" s="702"/>
      <c r="L170" s="1047"/>
      <c r="M170" s="1047"/>
      <c r="O170" s="530"/>
      <c r="Q170" s="517"/>
      <c r="R170" s="666"/>
      <c r="S170" s="514"/>
    </row>
    <row r="171" spans="2:22" ht="24.75" customHeight="1">
      <c r="B171" s="221" t="s">
        <v>120</v>
      </c>
      <c r="C171" s="135"/>
      <c r="D171" s="135"/>
      <c r="E171" s="135"/>
      <c r="F171" s="524"/>
      <c r="G171" s="524"/>
      <c r="H171" s="524"/>
      <c r="I171" s="524"/>
      <c r="J171" s="524"/>
      <c r="K171" s="697"/>
      <c r="L171" s="1041"/>
      <c r="M171" s="1041"/>
      <c r="O171" s="530"/>
      <c r="Q171" s="517"/>
      <c r="R171" s="666"/>
      <c r="S171" s="514"/>
    </row>
    <row r="172" spans="2:22" ht="24.75" customHeight="1">
      <c r="B172" s="273" t="s">
        <v>10</v>
      </c>
      <c r="C172" s="262"/>
      <c r="D172" s="179"/>
      <c r="E172" s="179" t="s">
        <v>37</v>
      </c>
      <c r="F172" s="608"/>
      <c r="G172" s="607"/>
      <c r="H172" s="607"/>
      <c r="I172" s="607"/>
      <c r="J172" s="607"/>
      <c r="K172" s="685" t="s">
        <v>430</v>
      </c>
      <c r="L172" s="1035" t="s">
        <v>89</v>
      </c>
      <c r="M172" s="1035"/>
      <c r="O172" s="530"/>
      <c r="Q172" s="517"/>
      <c r="R172" s="666"/>
      <c r="S172" s="514"/>
    </row>
    <row r="173" spans="2:22" ht="24.75" customHeight="1">
      <c r="B173" s="594" t="s">
        <v>457</v>
      </c>
      <c r="C173" s="274"/>
      <c r="D173" s="191"/>
      <c r="E173" s="191" t="s">
        <v>458</v>
      </c>
      <c r="F173" s="617"/>
      <c r="G173" s="687"/>
      <c r="H173" s="687"/>
      <c r="I173" s="687"/>
      <c r="J173" s="687"/>
      <c r="K173" s="688"/>
      <c r="L173" s="1048" t="str">
        <f>PAAS_man.kubernetes24_EUR</f>
        <v>Request a quote</v>
      </c>
      <c r="M173" s="1048"/>
      <c r="O173" s="530"/>
      <c r="Q173" s="517"/>
      <c r="R173" s="666"/>
      <c r="S173" s="514"/>
    </row>
    <row r="174" spans="2:22" ht="24.75" customHeight="1">
      <c r="B174" s="596" t="s">
        <v>459</v>
      </c>
      <c r="C174" s="277"/>
      <c r="D174" s="197"/>
      <c r="E174" s="197" t="s">
        <v>460</v>
      </c>
      <c r="F174" s="689"/>
      <c r="G174" s="690"/>
      <c r="H174" s="690"/>
      <c r="I174" s="690"/>
      <c r="J174" s="690"/>
      <c r="K174" s="694"/>
      <c r="L174" s="1049" t="str">
        <f>PAAS_man.kubernetes8_EUR</f>
        <v>Request a quote</v>
      </c>
      <c r="M174" s="1049"/>
      <c r="O174" s="530"/>
      <c r="Q174" s="517"/>
      <c r="R174" s="666"/>
      <c r="S174" s="514"/>
    </row>
    <row r="175" spans="2:22" ht="24.75" customHeight="1">
      <c r="B175" s="594" t="s">
        <v>461</v>
      </c>
      <c r="C175" s="274"/>
      <c r="D175" s="191"/>
      <c r="E175" s="191" t="s">
        <v>462</v>
      </c>
      <c r="F175" s="617"/>
      <c r="G175" s="687"/>
      <c r="H175" s="687"/>
      <c r="I175" s="687"/>
      <c r="J175" s="687"/>
      <c r="K175" s="688" t="s">
        <v>103</v>
      </c>
      <c r="L175" s="1050" t="str">
        <f>PAAS_man.elasticsearch_EUR</f>
        <v>Request a quote</v>
      </c>
      <c r="M175" s="1050"/>
      <c r="O175" s="530"/>
      <c r="Q175" s="517"/>
      <c r="R175" s="666"/>
      <c r="S175" s="514"/>
    </row>
    <row r="176" spans="2:22" ht="24.75" customHeight="1">
      <c r="B176" s="596" t="s">
        <v>463</v>
      </c>
      <c r="C176" s="277"/>
      <c r="D176" s="197"/>
      <c r="E176" s="197" t="s">
        <v>135</v>
      </c>
      <c r="F176" s="689"/>
      <c r="G176" s="690"/>
      <c r="H176" s="690"/>
      <c r="I176" s="690"/>
      <c r="J176" s="690"/>
      <c r="K176" s="694" t="s">
        <v>464</v>
      </c>
      <c r="L176" s="1049" t="str">
        <f>PAAS_man.redis_EUR</f>
        <v>Request a quote</v>
      </c>
      <c r="M176" s="1049"/>
      <c r="O176" s="530"/>
      <c r="Q176" s="517"/>
      <c r="R176" s="666"/>
      <c r="S176" s="514"/>
    </row>
    <row r="177" spans="2:19" ht="24.75" customHeight="1">
      <c r="B177" s="594" t="s">
        <v>465</v>
      </c>
      <c r="C177" s="274"/>
      <c r="D177" s="191"/>
      <c r="E177" s="191" t="s">
        <v>466</v>
      </c>
      <c r="F177" s="617"/>
      <c r="G177" s="687"/>
      <c r="H177" s="687"/>
      <c r="I177" s="687"/>
      <c r="J177" s="687"/>
      <c r="K177" s="688" t="s">
        <v>467</v>
      </c>
      <c r="L177" s="1050" t="str">
        <f>PAAS_man.nats_EUR</f>
        <v>Request a quote</v>
      </c>
      <c r="M177" s="1050"/>
      <c r="O177" s="530"/>
      <c r="Q177" s="517"/>
      <c r="R177" s="666"/>
      <c r="S177" s="514"/>
    </row>
    <row r="178" spans="2:19" ht="24.75" customHeight="1">
      <c r="B178" s="596" t="s">
        <v>468</v>
      </c>
      <c r="C178" s="277"/>
      <c r="D178" s="197"/>
      <c r="E178" s="197" t="s">
        <v>133</v>
      </c>
      <c r="F178" s="689"/>
      <c r="G178" s="690"/>
      <c r="H178" s="690"/>
      <c r="I178" s="690"/>
      <c r="J178" s="690"/>
      <c r="K178" s="694" t="s">
        <v>469</v>
      </c>
      <c r="L178" s="1051" t="str">
        <f>PAAS_man.mariadb_EUR</f>
        <v>Request a quote</v>
      </c>
      <c r="M178" s="1051"/>
      <c r="O178" s="530"/>
      <c r="Q178" s="517"/>
      <c r="R178" s="666"/>
      <c r="S178" s="514"/>
    </row>
    <row r="179" spans="2:19" ht="24.75" customHeight="1">
      <c r="B179" s="292"/>
      <c r="C179" s="293"/>
      <c r="D179" s="303"/>
      <c r="E179" s="295"/>
      <c r="F179" s="699"/>
      <c r="G179" s="700"/>
      <c r="H179" s="700"/>
      <c r="I179" s="700"/>
      <c r="J179" s="700"/>
      <c r="K179" s="701"/>
      <c r="L179" s="1046"/>
      <c r="M179" s="1046"/>
      <c r="O179" s="530"/>
      <c r="Q179" s="517"/>
      <c r="R179" s="666"/>
      <c r="S179" s="514"/>
    </row>
    <row r="180" spans="2:19" ht="24.75" customHeight="1">
      <c r="B180" s="277"/>
      <c r="C180" s="277"/>
      <c r="D180" s="197"/>
      <c r="E180" s="299"/>
      <c r="F180" s="689"/>
      <c r="G180" s="690"/>
      <c r="H180" s="694"/>
      <c r="I180" s="703"/>
      <c r="K180" s="474"/>
      <c r="L180" s="1052"/>
      <c r="M180" s="1052"/>
      <c r="N180" s="514"/>
      <c r="O180" s="530"/>
    </row>
    <row r="181" spans="2:19" ht="24.75" customHeight="1">
      <c r="B181" s="260"/>
      <c r="C181" s="239"/>
      <c r="D181" s="239"/>
      <c r="E181" s="239"/>
      <c r="F181" s="664"/>
      <c r="G181" s="665"/>
      <c r="H181" s="704"/>
      <c r="I181" s="626"/>
      <c r="J181" s="626"/>
      <c r="K181" s="666"/>
      <c r="L181" s="1053"/>
      <c r="M181" s="1053"/>
      <c r="N181" s="514"/>
      <c r="O181" s="530"/>
      <c r="P181" s="502"/>
      <c r="Q181" s="502"/>
    </row>
    <row r="182" spans="2:19" s="490" customFormat="1" ht="24.75" customHeight="1">
      <c r="B182" s="1006" t="s">
        <v>470</v>
      </c>
      <c r="C182" s="1006"/>
      <c r="D182" s="1006"/>
      <c r="E182" s="1006"/>
      <c r="F182" s="1006"/>
      <c r="G182" s="1006"/>
      <c r="H182" s="705"/>
      <c r="J182" s="501"/>
      <c r="L182" s="1054"/>
      <c r="M182" s="1054"/>
      <c r="N182" s="514"/>
      <c r="O182" s="530"/>
    </row>
    <row r="183" spans="2:19" s="490" customFormat="1" ht="24.75" customHeight="1">
      <c r="B183" s="1006"/>
      <c r="C183" s="1006"/>
      <c r="D183" s="1006"/>
      <c r="E183" s="1006"/>
      <c r="F183" s="1006"/>
      <c r="G183" s="1006"/>
      <c r="H183" s="705"/>
      <c r="J183" s="501"/>
      <c r="L183" s="1054"/>
      <c r="M183" s="1054"/>
      <c r="N183" s="514"/>
      <c r="O183" s="530"/>
    </row>
    <row r="184" spans="2:19" s="490" customFormat="1" ht="24.75" customHeight="1">
      <c r="B184" s="1006"/>
      <c r="C184" s="1006"/>
      <c r="D184" s="1006"/>
      <c r="E184" s="1006"/>
      <c r="F184" s="1006"/>
      <c r="G184" s="1006"/>
      <c r="H184" s="705"/>
      <c r="J184" s="501"/>
      <c r="L184" s="1054"/>
      <c r="M184" s="1054"/>
      <c r="N184" s="514"/>
      <c r="O184" s="530"/>
    </row>
    <row r="185" spans="2:19" s="490" customFormat="1" ht="24.75" customHeight="1">
      <c r="B185" s="1022" t="s">
        <v>6</v>
      </c>
      <c r="C185" s="1022"/>
      <c r="D185" s="1022"/>
      <c r="E185" s="1022"/>
      <c r="F185" s="1022"/>
      <c r="H185" s="705"/>
      <c r="J185" s="501"/>
      <c r="L185" s="1054"/>
      <c r="M185" s="1054"/>
      <c r="N185" s="514"/>
      <c r="O185" s="530"/>
    </row>
    <row r="186" spans="2:19" s="490" customFormat="1" ht="24.75" customHeight="1">
      <c r="B186" s="1034"/>
      <c r="C186" s="1034"/>
      <c r="D186" s="1034"/>
      <c r="E186" s="1034"/>
      <c r="F186" s="1034"/>
      <c r="G186" s="506"/>
      <c r="H186" s="507"/>
      <c r="I186" s="506"/>
      <c r="J186" s="508"/>
      <c r="K186" s="506"/>
      <c r="L186" s="1055"/>
      <c r="M186" s="1055"/>
      <c r="N186" s="514"/>
      <c r="O186" s="530"/>
    </row>
    <row r="187" spans="2:19" s="490" customFormat="1" ht="24.75" customHeight="1">
      <c r="B187" s="64"/>
      <c r="C187" s="64"/>
      <c r="D187" s="64"/>
      <c r="E187" s="64"/>
      <c r="F187" s="512"/>
      <c r="G187" s="506"/>
      <c r="H187" s="507"/>
      <c r="I187" s="506"/>
      <c r="J187" s="508"/>
      <c r="K187" s="506"/>
      <c r="L187" s="1055"/>
      <c r="M187" s="1055"/>
      <c r="N187" s="514"/>
      <c r="O187" s="530"/>
    </row>
    <row r="188" spans="2:19" ht="24.75" customHeight="1">
      <c r="B188" s="221" t="s">
        <v>139</v>
      </c>
      <c r="C188" s="135"/>
      <c r="D188" s="135"/>
      <c r="F188" s="524"/>
      <c r="G188" s="524"/>
      <c r="H188" s="524"/>
      <c r="I188" s="524"/>
      <c r="J188" s="524"/>
      <c r="K188" s="524"/>
      <c r="L188" s="1056"/>
      <c r="M188" s="1056"/>
      <c r="N188" s="514"/>
      <c r="O188" s="530"/>
      <c r="P188" s="502"/>
      <c r="Q188" s="502"/>
    </row>
    <row r="189" spans="2:19" ht="24.75" customHeight="1">
      <c r="B189" s="262" t="s">
        <v>10</v>
      </c>
      <c r="C189" s="262"/>
      <c r="D189" s="262"/>
      <c r="E189" s="179" t="s">
        <v>37</v>
      </c>
      <c r="F189" s="608"/>
      <c r="G189" s="607"/>
      <c r="H189" s="607"/>
      <c r="I189" s="607"/>
      <c r="J189" s="607"/>
      <c r="K189" s="685" t="s">
        <v>430</v>
      </c>
      <c r="L189" s="1035" t="s">
        <v>89</v>
      </c>
      <c r="M189" s="1035"/>
      <c r="N189" s="514"/>
      <c r="O189" s="530"/>
      <c r="P189" s="502"/>
      <c r="Q189" s="502"/>
    </row>
    <row r="190" spans="2:19" ht="24.75" customHeight="1">
      <c r="B190" s="594" t="s">
        <v>471</v>
      </c>
      <c r="C190" s="274"/>
      <c r="D190" s="274"/>
      <c r="E190" s="191" t="s">
        <v>472</v>
      </c>
      <c r="F190" s="617"/>
      <c r="G190" s="687"/>
      <c r="H190" s="687"/>
      <c r="I190" s="687"/>
      <c r="J190" s="687"/>
      <c r="K190" s="698" t="s">
        <v>20</v>
      </c>
      <c r="L190" s="1057">
        <v>0</v>
      </c>
      <c r="M190" s="1057"/>
      <c r="N190" s="514"/>
      <c r="O190" s="530"/>
      <c r="P190" s="502"/>
      <c r="Q190" s="502"/>
    </row>
    <row r="191" spans="2:19" ht="24.75" customHeight="1">
      <c r="B191" s="596" t="s">
        <v>473</v>
      </c>
      <c r="C191" s="277"/>
      <c r="D191" s="277"/>
      <c r="E191" s="197" t="s">
        <v>474</v>
      </c>
      <c r="F191" s="689"/>
      <c r="G191" s="690"/>
      <c r="H191" s="690"/>
      <c r="I191" s="690"/>
      <c r="J191" s="690"/>
      <c r="K191" s="694" t="s">
        <v>475</v>
      </c>
      <c r="L191" s="1058" t="s">
        <v>476</v>
      </c>
      <c r="M191" s="1058"/>
      <c r="N191" s="514"/>
      <c r="O191" s="530"/>
      <c r="P191" s="502"/>
      <c r="Q191" s="502"/>
    </row>
    <row r="192" spans="2:19" ht="24.75" customHeight="1">
      <c r="B192" s="594" t="s">
        <v>477</v>
      </c>
      <c r="C192" s="274"/>
      <c r="D192" s="274"/>
      <c r="E192" s="191" t="s">
        <v>144</v>
      </c>
      <c r="F192" s="617"/>
      <c r="G192" s="687"/>
      <c r="H192" s="687"/>
      <c r="I192" s="687"/>
      <c r="J192" s="687"/>
      <c r="K192" s="688" t="s">
        <v>145</v>
      </c>
      <c r="L192" s="1059" t="s">
        <v>478</v>
      </c>
      <c r="M192" s="1059"/>
      <c r="N192" s="514"/>
      <c r="O192" s="530"/>
      <c r="P192" s="502"/>
      <c r="Q192" s="502"/>
    </row>
    <row r="193" spans="2:17" ht="24.75" customHeight="1">
      <c r="B193" s="292"/>
      <c r="C193" s="293"/>
      <c r="D193" s="293"/>
      <c r="E193" s="303" t="s">
        <v>479</v>
      </c>
      <c r="F193" s="699"/>
      <c r="G193" s="700"/>
      <c r="H193" s="700"/>
      <c r="I193" s="700"/>
      <c r="J193" s="700"/>
      <c r="K193" s="701"/>
      <c r="L193" s="1046"/>
      <c r="M193" s="1046"/>
      <c r="N193" s="514"/>
      <c r="O193" s="530"/>
      <c r="P193" s="502"/>
      <c r="Q193" s="502"/>
    </row>
    <row r="194" spans="2:17" ht="24.75" customHeight="1">
      <c r="B194" s="596"/>
      <c r="C194" s="277"/>
      <c r="D194" s="277"/>
      <c r="E194" s="197"/>
      <c r="F194" s="689"/>
      <c r="G194" s="690"/>
      <c r="H194" s="690"/>
      <c r="I194" s="690"/>
      <c r="J194" s="690"/>
      <c r="K194" s="694"/>
      <c r="L194" s="1060"/>
      <c r="M194" s="1060"/>
      <c r="N194" s="514"/>
      <c r="O194" s="530"/>
      <c r="P194" s="502"/>
      <c r="Q194" s="502"/>
    </row>
    <row r="195" spans="2:17" ht="24.75" customHeight="1">
      <c r="B195" s="221" t="s">
        <v>480</v>
      </c>
      <c r="C195" s="135"/>
      <c r="D195" s="135"/>
      <c r="E195" s="135"/>
      <c r="F195" s="524"/>
      <c r="G195" s="524"/>
      <c r="H195" s="524"/>
      <c r="I195" s="524"/>
      <c r="J195" s="524"/>
      <c r="K195" s="697"/>
      <c r="L195" s="1041"/>
      <c r="M195" s="1041"/>
      <c r="N195" s="514"/>
      <c r="O195" s="530"/>
      <c r="P195" s="502"/>
      <c r="Q195" s="502"/>
    </row>
    <row r="196" spans="2:17" ht="24.75" customHeight="1">
      <c r="B196" s="273" t="s">
        <v>10</v>
      </c>
      <c r="C196" s="262"/>
      <c r="D196" s="262"/>
      <c r="E196" s="179" t="s">
        <v>37</v>
      </c>
      <c r="F196" s="608"/>
      <c r="G196" s="607"/>
      <c r="H196" s="607"/>
      <c r="I196" s="607"/>
      <c r="J196" s="607"/>
      <c r="K196" s="685" t="s">
        <v>430</v>
      </c>
      <c r="L196" s="1035" t="s">
        <v>89</v>
      </c>
      <c r="M196" s="1035"/>
      <c r="N196" s="514"/>
      <c r="O196" s="530"/>
      <c r="P196" s="502"/>
      <c r="Q196" s="502"/>
    </row>
    <row r="197" spans="2:17" ht="24.75" customHeight="1">
      <c r="B197" s="594" t="s">
        <v>481</v>
      </c>
      <c r="C197" s="274"/>
      <c r="D197" s="274"/>
      <c r="E197" s="191" t="s">
        <v>150</v>
      </c>
      <c r="F197" s="617"/>
      <c r="G197" s="687"/>
      <c r="H197" s="687"/>
      <c r="I197" s="687"/>
      <c r="J197" s="687"/>
      <c r="K197" s="688" t="s">
        <v>145</v>
      </c>
      <c r="L197" s="1036">
        <f>PS_consult.jun_EUR</f>
        <v>105.938</v>
      </c>
      <c r="M197" s="1036"/>
      <c r="N197" s="514"/>
      <c r="O197" s="530"/>
      <c r="P197" s="502"/>
      <c r="Q197" s="502"/>
    </row>
    <row r="198" spans="2:17" ht="24.75" customHeight="1">
      <c r="B198" s="596" t="s">
        <v>482</v>
      </c>
      <c r="C198" s="277"/>
      <c r="D198" s="277"/>
      <c r="E198" s="197" t="s">
        <v>152</v>
      </c>
      <c r="F198" s="689"/>
      <c r="G198" s="690"/>
      <c r="H198" s="690"/>
      <c r="I198" s="690"/>
      <c r="J198" s="690"/>
      <c r="K198" s="694" t="s">
        <v>145</v>
      </c>
      <c r="L198" s="1042">
        <f>PS_consult.sen_EUR</f>
        <v>129.15600000000001</v>
      </c>
      <c r="M198" s="1042"/>
      <c r="N198" s="514"/>
      <c r="O198" s="530"/>
      <c r="P198" s="502"/>
      <c r="Q198" s="502"/>
    </row>
    <row r="199" spans="2:17" ht="24.75" customHeight="1">
      <c r="B199" s="594" t="s">
        <v>483</v>
      </c>
      <c r="C199" s="274"/>
      <c r="D199" s="274"/>
      <c r="E199" s="191" t="s">
        <v>154</v>
      </c>
      <c r="F199" s="617"/>
      <c r="G199" s="687"/>
      <c r="H199" s="687"/>
      <c r="I199" s="687"/>
      <c r="J199" s="687"/>
      <c r="K199" s="688" t="s">
        <v>145</v>
      </c>
      <c r="L199" s="1039">
        <f>PS_cloudarch.jun_EUR</f>
        <v>120.038</v>
      </c>
      <c r="M199" s="1039"/>
      <c r="N199" s="514"/>
      <c r="O199" s="530"/>
      <c r="P199" s="502"/>
      <c r="Q199" s="502"/>
    </row>
    <row r="200" spans="2:17" ht="24.75" customHeight="1">
      <c r="B200" s="596" t="s">
        <v>484</v>
      </c>
      <c r="C200" s="277"/>
      <c r="D200" s="277"/>
      <c r="E200" s="197" t="s">
        <v>156</v>
      </c>
      <c r="F200" s="622"/>
      <c r="G200" s="690"/>
      <c r="H200" s="690"/>
      <c r="I200" s="690"/>
      <c r="J200" s="690"/>
      <c r="K200" s="694" t="s">
        <v>145</v>
      </c>
      <c r="L200" s="1042">
        <f>PS_cloudarch.sen_EUR</f>
        <v>129.15600000000001</v>
      </c>
      <c r="M200" s="1042"/>
      <c r="N200" s="514"/>
      <c r="O200" s="530"/>
      <c r="P200" s="502"/>
      <c r="Q200" s="502"/>
    </row>
    <row r="201" spans="2:17" ht="24.75" customHeight="1">
      <c r="B201" s="594" t="s">
        <v>485</v>
      </c>
      <c r="C201" s="274"/>
      <c r="D201" s="274"/>
      <c r="E201" s="191" t="s">
        <v>158</v>
      </c>
      <c r="F201" s="617"/>
      <c r="G201" s="687"/>
      <c r="H201" s="687"/>
      <c r="I201" s="687"/>
      <c r="J201" s="687"/>
      <c r="K201" s="688" t="s">
        <v>145</v>
      </c>
      <c r="L201" s="1039">
        <f>PS_pm.jun_EUR</f>
        <v>107.066</v>
      </c>
      <c r="M201" s="1039"/>
      <c r="N201" s="514"/>
      <c r="O201" s="530"/>
      <c r="P201" s="502"/>
      <c r="Q201" s="502"/>
    </row>
    <row r="202" spans="2:17" ht="24.75" customHeight="1">
      <c r="B202" s="596" t="s">
        <v>486</v>
      </c>
      <c r="C202" s="277"/>
      <c r="D202" s="277"/>
      <c r="E202" s="197" t="s">
        <v>160</v>
      </c>
      <c r="F202" s="689"/>
      <c r="G202" s="690"/>
      <c r="H202" s="690"/>
      <c r="I202" s="690"/>
      <c r="J202" s="690"/>
      <c r="K202" s="694" t="s">
        <v>145</v>
      </c>
      <c r="L202" s="1045">
        <f>PS_pm.sen_EUR</f>
        <v>129.15600000000001</v>
      </c>
      <c r="M202" s="1045"/>
      <c r="N202" s="514"/>
      <c r="O202" s="530"/>
      <c r="P202" s="502"/>
      <c r="Q202" s="502"/>
    </row>
    <row r="203" spans="2:17" ht="24.75" customHeight="1">
      <c r="B203" s="292"/>
      <c r="C203" s="293"/>
      <c r="D203" s="293"/>
      <c r="E203" s="303"/>
      <c r="F203" s="699"/>
      <c r="G203" s="700"/>
      <c r="H203" s="700"/>
      <c r="I203" s="700"/>
      <c r="J203" s="700"/>
      <c r="K203" s="701"/>
      <c r="L203" s="1046"/>
      <c r="M203" s="1046"/>
      <c r="N203" s="514"/>
      <c r="O203" s="530"/>
      <c r="P203" s="502"/>
      <c r="Q203" s="502"/>
    </row>
    <row r="204" spans="2:17" ht="24.75" customHeight="1">
      <c r="B204" s="596"/>
      <c r="C204" s="277"/>
      <c r="D204" s="277"/>
      <c r="E204" s="197"/>
      <c r="F204" s="689"/>
      <c r="G204" s="690"/>
      <c r="H204" s="690"/>
      <c r="I204" s="690"/>
      <c r="J204" s="690"/>
      <c r="K204" s="694"/>
      <c r="L204" s="1060"/>
      <c r="M204" s="1060"/>
      <c r="N204" s="514"/>
      <c r="O204" s="530"/>
    </row>
    <row r="205" spans="2:17" ht="24.75" customHeight="1">
      <c r="B205" s="221" t="s">
        <v>487</v>
      </c>
      <c r="C205" s="135"/>
      <c r="D205" s="135"/>
      <c r="E205" s="135"/>
      <c r="F205" s="524"/>
      <c r="G205" s="524"/>
      <c r="H205" s="524"/>
      <c r="I205" s="524"/>
      <c r="J205" s="524"/>
      <c r="K205" s="697"/>
      <c r="L205" s="1041"/>
      <c r="M205" s="1041"/>
      <c r="N205" s="514"/>
      <c r="O205" s="530"/>
      <c r="P205" s="502"/>
      <c r="Q205" s="502"/>
    </row>
    <row r="206" spans="2:17" ht="24.75" customHeight="1">
      <c r="B206" s="273" t="s">
        <v>10</v>
      </c>
      <c r="C206" s="685" t="s">
        <v>163</v>
      </c>
      <c r="D206" s="685"/>
      <c r="E206" s="179" t="s">
        <v>37</v>
      </c>
      <c r="F206" s="608"/>
      <c r="G206" s="685"/>
      <c r="H206" s="685"/>
      <c r="I206" s="685"/>
      <c r="J206" s="685"/>
      <c r="K206" s="685" t="s">
        <v>430</v>
      </c>
      <c r="L206" s="1035" t="s">
        <v>164</v>
      </c>
      <c r="M206" s="1035"/>
      <c r="N206" s="514"/>
      <c r="O206" s="530"/>
      <c r="P206" s="502"/>
      <c r="Q206" s="502"/>
    </row>
    <row r="207" spans="2:17" ht="24.75" customHeight="1">
      <c r="B207" s="594" t="s">
        <v>488</v>
      </c>
      <c r="C207" s="688" t="s">
        <v>167</v>
      </c>
      <c r="D207" s="688"/>
      <c r="E207" s="191" t="s">
        <v>166</v>
      </c>
      <c r="F207" s="617"/>
      <c r="G207" s="688"/>
      <c r="H207" s="688"/>
      <c r="I207" s="688"/>
      <c r="J207" s="688"/>
      <c r="K207" s="688" t="s">
        <v>168</v>
      </c>
      <c r="L207" s="1057" t="s">
        <v>478</v>
      </c>
      <c r="M207" s="1057"/>
      <c r="N207" s="514"/>
      <c r="O207" s="530"/>
      <c r="P207" s="502"/>
      <c r="Q207" s="502"/>
    </row>
    <row r="208" spans="2:17" ht="24.75" customHeight="1">
      <c r="B208" s="596" t="s">
        <v>489</v>
      </c>
      <c r="C208" s="694" t="s">
        <v>167</v>
      </c>
      <c r="D208" s="694"/>
      <c r="E208" s="197" t="s">
        <v>490</v>
      </c>
      <c r="F208" s="689"/>
      <c r="G208" s="694"/>
      <c r="H208" s="694"/>
      <c r="I208" s="694"/>
      <c r="J208" s="694"/>
      <c r="K208" s="694" t="s">
        <v>168</v>
      </c>
      <c r="L208" s="1065" t="s">
        <v>478</v>
      </c>
      <c r="M208" s="1065"/>
      <c r="N208" s="514"/>
      <c r="O208" s="530"/>
      <c r="P208" s="502"/>
      <c r="Q208" s="502"/>
    </row>
    <row r="209" spans="1:17" ht="24.75" customHeight="1">
      <c r="B209" s="594" t="s">
        <v>491</v>
      </c>
      <c r="C209" s="688" t="s">
        <v>174</v>
      </c>
      <c r="D209" s="688"/>
      <c r="E209" s="191" t="s">
        <v>492</v>
      </c>
      <c r="F209" s="617"/>
      <c r="G209" s="688"/>
      <c r="H209" s="688"/>
      <c r="I209" s="688"/>
      <c r="J209" s="688"/>
      <c r="K209" s="688" t="s">
        <v>168</v>
      </c>
      <c r="L209" s="1066" t="s">
        <v>478</v>
      </c>
      <c r="M209" s="1066"/>
      <c r="N209" s="514"/>
      <c r="O209" s="530"/>
      <c r="P209" s="502"/>
      <c r="Q209" s="502"/>
    </row>
    <row r="210" spans="1:17" ht="24.75" customHeight="1">
      <c r="B210" s="596" t="s">
        <v>493</v>
      </c>
      <c r="C210" s="694" t="s">
        <v>174</v>
      </c>
      <c r="D210" s="694"/>
      <c r="E210" s="197" t="s">
        <v>494</v>
      </c>
      <c r="F210" s="689"/>
      <c r="G210" s="694"/>
      <c r="H210" s="694"/>
      <c r="I210" s="694"/>
      <c r="J210" s="694"/>
      <c r="K210" s="694" t="s">
        <v>168</v>
      </c>
      <c r="L210" s="1061" t="s">
        <v>478</v>
      </c>
      <c r="M210" s="1061"/>
      <c r="N210" s="514"/>
      <c r="O210" s="530"/>
      <c r="P210" s="502"/>
      <c r="Q210" s="502"/>
    </row>
    <row r="211" spans="1:17" ht="24.75" customHeight="1">
      <c r="B211" s="292"/>
      <c r="C211" s="293"/>
      <c r="D211" s="293"/>
      <c r="E211" s="295"/>
      <c r="F211" s="699"/>
      <c r="G211" s="700"/>
      <c r="H211" s="700"/>
      <c r="I211" s="706"/>
      <c r="J211" s="706"/>
      <c r="K211" s="706"/>
      <c r="L211" s="706"/>
      <c r="M211" s="707"/>
      <c r="N211" s="514"/>
      <c r="O211" s="530"/>
      <c r="P211" s="502"/>
      <c r="Q211" s="502"/>
    </row>
    <row r="212" spans="1:17" ht="24.75" customHeight="1">
      <c r="B212" s="305"/>
      <c r="C212" s="239"/>
      <c r="D212" s="239"/>
      <c r="E212" s="239"/>
      <c r="F212" s="664"/>
      <c r="G212" s="665"/>
      <c r="H212" s="626"/>
      <c r="I212" s="626"/>
      <c r="J212" s="626"/>
      <c r="K212" s="626"/>
      <c r="L212" s="666"/>
      <c r="M212" s="629"/>
      <c r="N212" s="514"/>
      <c r="O212" s="530"/>
      <c r="P212" s="502"/>
      <c r="Q212" s="502"/>
    </row>
    <row r="213" spans="1:17" ht="24.75" customHeight="1">
      <c r="A213" s="708"/>
      <c r="B213" s="709"/>
      <c r="C213" s="319"/>
      <c r="D213" s="319"/>
      <c r="E213" s="319"/>
      <c r="F213" s="710"/>
      <c r="G213" s="711"/>
      <c r="H213" s="712"/>
      <c r="I213" s="712"/>
      <c r="J213" s="712"/>
      <c r="K213" s="712"/>
      <c r="L213" s="713"/>
      <c r="M213" s="714"/>
      <c r="N213" s="715"/>
      <c r="O213" s="530"/>
      <c r="P213" s="502"/>
      <c r="Q213" s="502"/>
    </row>
    <row r="214" spans="1:17" s="490" customFormat="1" ht="24.75" customHeight="1">
      <c r="A214" s="484"/>
      <c r="B214" s="327"/>
      <c r="C214" s="327"/>
      <c r="D214" s="327"/>
      <c r="E214" s="327"/>
      <c r="F214" s="716"/>
      <c r="G214" s="717"/>
      <c r="H214" s="718"/>
      <c r="I214" s="718"/>
      <c r="J214" s="718"/>
      <c r="K214" s="719"/>
      <c r="L214" s="719"/>
      <c r="M214" s="720"/>
      <c r="N214" s="484"/>
      <c r="O214" s="489"/>
    </row>
    <row r="215" spans="1:17" s="490" customFormat="1" ht="24.75" customHeight="1">
      <c r="A215" s="484"/>
      <c r="B215" s="327"/>
      <c r="C215" s="327"/>
      <c r="D215" s="327"/>
      <c r="E215" s="327"/>
      <c r="F215" s="716"/>
      <c r="G215" s="717"/>
      <c r="H215" s="718"/>
      <c r="I215" s="718"/>
      <c r="J215" s="718"/>
      <c r="K215" s="719"/>
      <c r="L215" s="719"/>
      <c r="M215" s="720"/>
      <c r="N215" s="484"/>
      <c r="O215" s="489"/>
    </row>
    <row r="216" spans="1:17" s="490" customFormat="1" ht="24.75" customHeight="1">
      <c r="A216" s="484"/>
      <c r="B216" s="327"/>
      <c r="C216" s="327"/>
      <c r="D216" s="327"/>
      <c r="E216" s="327"/>
      <c r="F216" s="716"/>
      <c r="G216" s="717"/>
      <c r="H216" s="718"/>
      <c r="I216" s="718"/>
      <c r="J216" s="718"/>
      <c r="K216" s="719"/>
      <c r="L216" s="719"/>
      <c r="M216" s="720"/>
      <c r="N216" s="484"/>
      <c r="O216" s="489"/>
    </row>
    <row r="217" spans="1:17" s="490" customFormat="1" ht="24.75" customHeight="1">
      <c r="A217" s="484"/>
      <c r="B217" s="1062" t="s">
        <v>495</v>
      </c>
      <c r="C217" s="1062"/>
      <c r="D217" s="1062"/>
      <c r="E217" s="1062"/>
      <c r="F217" s="1062"/>
      <c r="G217" s="1062"/>
      <c r="H217" s="486"/>
      <c r="I217" s="484"/>
      <c r="J217" s="526"/>
      <c r="K217" s="484"/>
      <c r="L217" s="487"/>
      <c r="M217" s="488"/>
      <c r="N217" s="484"/>
      <c r="O217" s="489"/>
    </row>
    <row r="218" spans="1:17" s="490" customFormat="1" ht="24.75" customHeight="1">
      <c r="A218" s="484"/>
      <c r="B218" s="1062"/>
      <c r="C218" s="1062"/>
      <c r="D218" s="1062"/>
      <c r="E218" s="1062"/>
      <c r="F218" s="1062"/>
      <c r="G218" s="1062"/>
      <c r="H218" s="486"/>
      <c r="I218" s="484"/>
      <c r="J218" s="526"/>
      <c r="K218" s="484"/>
      <c r="L218" s="487"/>
      <c r="M218" s="488"/>
      <c r="N218" s="484"/>
      <c r="O218" s="489"/>
    </row>
    <row r="219" spans="1:17" s="490" customFormat="1" ht="24.75" customHeight="1">
      <c r="A219" s="484"/>
      <c r="B219" s="1062"/>
      <c r="C219" s="1062"/>
      <c r="D219" s="1062"/>
      <c r="E219" s="1062"/>
      <c r="F219" s="1062"/>
      <c r="G219" s="1062"/>
      <c r="H219" s="486"/>
      <c r="I219" s="484"/>
      <c r="J219" s="526"/>
      <c r="K219" s="484"/>
      <c r="L219" s="487"/>
      <c r="M219" s="488"/>
      <c r="N219" s="484"/>
      <c r="O219" s="489"/>
    </row>
    <row r="220" spans="1:17" s="490" customFormat="1" ht="24.75" customHeight="1">
      <c r="A220" s="484"/>
      <c r="B220" s="1063" t="s">
        <v>6</v>
      </c>
      <c r="C220" s="1063"/>
      <c r="D220" s="1063"/>
      <c r="E220" s="1063"/>
      <c r="F220" s="1063"/>
      <c r="G220" s="484"/>
      <c r="H220" s="486"/>
      <c r="I220" s="484"/>
      <c r="J220" s="526"/>
      <c r="K220" s="484"/>
      <c r="L220" s="487"/>
      <c r="M220" s="488"/>
      <c r="N220" s="721"/>
      <c r="O220" s="511"/>
    </row>
    <row r="221" spans="1:17" s="490" customFormat="1" ht="24.75" customHeight="1">
      <c r="A221" s="484"/>
      <c r="B221" s="32"/>
      <c r="C221" s="32"/>
      <c r="D221" s="32"/>
      <c r="E221" s="32"/>
      <c r="F221" s="722"/>
      <c r="G221" s="484"/>
      <c r="H221" s="486"/>
      <c r="I221" s="484"/>
      <c r="J221" s="526"/>
      <c r="K221" s="484"/>
      <c r="L221" s="487"/>
      <c r="M221" s="488"/>
      <c r="N221" s="721"/>
      <c r="O221" s="511"/>
    </row>
    <row r="222" spans="1:17" s="490" customFormat="1" ht="24.75" customHeight="1">
      <c r="A222" s="484"/>
      <c r="B222" s="25" t="s">
        <v>496</v>
      </c>
      <c r="C222" s="32"/>
      <c r="D222" s="32"/>
      <c r="E222" s="32"/>
      <c r="F222" s="722"/>
      <c r="G222" s="484"/>
      <c r="H222" s="486"/>
      <c r="I222" s="484"/>
      <c r="J222" s="526"/>
      <c r="K222" s="484"/>
      <c r="L222" s="487"/>
      <c r="M222" s="488"/>
      <c r="N222" s="721"/>
      <c r="O222" s="511"/>
    </row>
    <row r="223" spans="1:17" s="490" customFormat="1" ht="24.75" customHeight="1">
      <c r="A223" s="484"/>
      <c r="B223" s="27" t="s">
        <v>350</v>
      </c>
      <c r="C223" s="32"/>
      <c r="D223" s="32"/>
      <c r="E223" s="32"/>
      <c r="F223" s="722"/>
      <c r="G223" s="484"/>
      <c r="H223" s="486"/>
      <c r="I223" s="484"/>
      <c r="J223" s="526"/>
      <c r="K223" s="484"/>
      <c r="L223" s="487"/>
      <c r="M223" s="488"/>
      <c r="N223" s="721"/>
      <c r="O223" s="511"/>
    </row>
    <row r="224" spans="1:17" s="490" customFormat="1" ht="24.75" customHeight="1">
      <c r="A224" s="484"/>
      <c r="B224" s="723" t="s">
        <v>497</v>
      </c>
      <c r="C224" s="335"/>
      <c r="D224" s="335"/>
      <c r="E224" s="335"/>
      <c r="F224" s="724"/>
      <c r="G224" s="721"/>
      <c r="H224" s="725"/>
      <c r="I224" s="721"/>
      <c r="J224" s="726"/>
      <c r="K224" s="721"/>
      <c r="L224" s="727"/>
      <c r="M224" s="728"/>
      <c r="N224" s="721"/>
      <c r="O224" s="511"/>
    </row>
    <row r="225" spans="1:22" s="571" customFormat="1" ht="24.75" customHeight="1">
      <c r="A225" s="729"/>
      <c r="B225" s="340"/>
      <c r="C225" s="340"/>
      <c r="D225" s="340"/>
      <c r="E225" s="340"/>
      <c r="F225" s="730"/>
      <c r="G225" s="721"/>
      <c r="H225" s="725"/>
      <c r="I225" s="721"/>
      <c r="J225" s="726"/>
      <c r="K225" s="721"/>
      <c r="L225" s="727"/>
      <c r="M225" s="728"/>
      <c r="N225" s="729"/>
      <c r="O225" s="663"/>
      <c r="P225" s="731"/>
      <c r="Q225" s="606"/>
      <c r="R225" s="606"/>
      <c r="S225" s="606"/>
      <c r="T225" s="606"/>
      <c r="U225" s="606"/>
      <c r="V225" s="606"/>
    </row>
    <row r="226" spans="1:22" ht="24.75" customHeight="1">
      <c r="A226" s="477"/>
      <c r="B226" s="732" t="s">
        <v>498</v>
      </c>
      <c r="C226" s="344"/>
      <c r="D226" s="345"/>
      <c r="E226" s="344"/>
      <c r="F226" s="733"/>
      <c r="G226" s="733"/>
      <c r="H226" s="733"/>
      <c r="I226" s="733"/>
      <c r="J226" s="734"/>
      <c r="K226" s="734"/>
      <c r="L226" s="733" t="s">
        <v>499</v>
      </c>
      <c r="M226" s="735"/>
      <c r="N226" s="736"/>
      <c r="O226" s="480"/>
      <c r="P226" s="683"/>
    </row>
    <row r="227" spans="1:22" ht="24.75" customHeight="1">
      <c r="A227" s="477"/>
      <c r="B227" s="737" t="s">
        <v>500</v>
      </c>
      <c r="C227" s="738" t="str">
        <f>SUM(C38+C67)&amp;" vCPU"</f>
        <v>0 vCPU</v>
      </c>
      <c r="D227" s="738" t="str">
        <f>SUM(D38+D67)&amp;" GB RAM"</f>
        <v>0 GB RAM</v>
      </c>
      <c r="E227" s="738" t="str">
        <f>SUM(E38)&amp;" GB  Disk"</f>
        <v>0 GB  Disk</v>
      </c>
      <c r="F227" s="1064" t="str">
        <f>SUM(E67)&amp;" GB NVME-Disk"</f>
        <v>0 GB NVME-Disk</v>
      </c>
      <c r="G227" s="1064"/>
      <c r="H227" s="739"/>
      <c r="I227" s="739"/>
      <c r="J227" s="740"/>
      <c r="K227" s="740"/>
      <c r="L227" s="741">
        <f>L76+L84+K67+K38+K91</f>
        <v>0</v>
      </c>
      <c r="M227" s="742"/>
      <c r="N227" s="477"/>
      <c r="O227" s="480"/>
      <c r="P227" s="683"/>
    </row>
    <row r="228" spans="1:22" ht="24.75" customHeight="1">
      <c r="A228" s="477"/>
      <c r="B228" s="743" t="s">
        <v>501</v>
      </c>
      <c r="C228" s="364"/>
      <c r="D228" s="363"/>
      <c r="E228" s="364"/>
      <c r="F228" s="744"/>
      <c r="G228" s="745"/>
      <c r="H228" s="745"/>
      <c r="I228" s="745"/>
      <c r="J228" s="746"/>
      <c r="K228" s="746"/>
      <c r="L228" s="747" t="e">
        <f>#REF!</f>
        <v>#REF!</v>
      </c>
      <c r="M228" s="742"/>
      <c r="N228" s="477"/>
      <c r="O228" s="480"/>
      <c r="P228" s="683"/>
    </row>
    <row r="229" spans="1:22" ht="24.75" customHeight="1">
      <c r="A229" s="477"/>
      <c r="B229" s="362" t="s">
        <v>502</v>
      </c>
      <c r="C229" s="362"/>
      <c r="D229" s="363"/>
      <c r="E229" s="364"/>
      <c r="F229" s="744"/>
      <c r="G229" s="745"/>
      <c r="H229" s="745"/>
      <c r="I229" s="745"/>
      <c r="J229" s="746"/>
      <c r="K229" s="746"/>
      <c r="L229" s="747">
        <f>M133</f>
        <v>0</v>
      </c>
      <c r="M229" s="742"/>
      <c r="N229" s="477"/>
      <c r="O229" s="480"/>
      <c r="P229" s="683"/>
    </row>
    <row r="230" spans="1:22" s="754" customFormat="1" ht="24.75" customHeight="1">
      <c r="A230" s="748"/>
      <c r="B230" s="749" t="s">
        <v>503</v>
      </c>
      <c r="C230" s="749"/>
      <c r="D230" s="384"/>
      <c r="E230" s="385"/>
      <c r="F230" s="750"/>
      <c r="G230" s="751"/>
      <c r="H230" s="751"/>
      <c r="I230" s="751"/>
      <c r="J230" s="680"/>
      <c r="K230" s="680"/>
      <c r="L230" s="752" t="e">
        <f>M76+M84+#REF!+#REF!</f>
        <v>#REF!</v>
      </c>
      <c r="M230" s="742"/>
      <c r="N230" s="748"/>
      <c r="O230" s="753"/>
    </row>
    <row r="231" spans="1:22" ht="24.75" customHeight="1">
      <c r="A231" s="477"/>
      <c r="B231" s="372" t="s">
        <v>18</v>
      </c>
      <c r="C231" s="373"/>
      <c r="D231" s="373"/>
      <c r="E231" s="373"/>
      <c r="F231" s="755"/>
      <c r="G231" s="756"/>
      <c r="H231" s="756"/>
      <c r="I231" s="756"/>
      <c r="J231" s="757"/>
      <c r="K231" s="757"/>
      <c r="L231" s="757" t="e">
        <f>SUM(L227:L230)</f>
        <v>#REF!</v>
      </c>
      <c r="M231" s="758"/>
      <c r="N231" s="477"/>
      <c r="O231" s="480"/>
    </row>
    <row r="232" spans="1:22" ht="24.75" customHeight="1">
      <c r="A232" s="477"/>
      <c r="B232" s="759"/>
      <c r="C232" s="373"/>
      <c r="D232" s="373"/>
      <c r="E232" s="373"/>
      <c r="F232" s="755"/>
      <c r="G232" s="756"/>
      <c r="H232" s="756"/>
      <c r="I232" s="756"/>
      <c r="J232" s="760"/>
      <c r="K232" s="760"/>
      <c r="L232" s="760"/>
      <c r="M232" s="758"/>
      <c r="N232" s="477"/>
      <c r="O232" s="480"/>
    </row>
    <row r="233" spans="1:22" ht="24.75" customHeight="1">
      <c r="A233" s="477"/>
      <c r="B233" s="191"/>
      <c r="C233" s="191"/>
      <c r="D233" s="378"/>
      <c r="E233" s="282"/>
      <c r="F233" s="687"/>
      <c r="G233" s="761"/>
      <c r="H233" s="617"/>
      <c r="I233" s="617"/>
      <c r="J233" s="617"/>
      <c r="K233" s="762"/>
      <c r="L233" s="763"/>
      <c r="M233" s="742"/>
      <c r="N233" s="477"/>
      <c r="O233" s="480"/>
    </row>
    <row r="234" spans="1:22" ht="24.75" customHeight="1">
      <c r="A234" s="764"/>
      <c r="B234" s="229"/>
      <c r="C234" s="229"/>
      <c r="D234" s="384"/>
      <c r="E234" s="385"/>
      <c r="F234" s="765"/>
      <c r="G234" s="751"/>
      <c r="H234" s="680"/>
      <c r="I234" s="680"/>
      <c r="J234" s="680"/>
      <c r="K234" s="766"/>
      <c r="L234" s="767"/>
      <c r="M234" s="768"/>
      <c r="N234" s="769"/>
      <c r="O234" s="480"/>
    </row>
    <row r="235" spans="1:22" s="770" customFormat="1" ht="24.75" customHeight="1">
      <c r="B235" s="393"/>
      <c r="C235" s="393"/>
      <c r="D235" s="394"/>
      <c r="E235" s="395"/>
      <c r="F235" s="771"/>
      <c r="G235" s="772"/>
      <c r="H235" s="773"/>
      <c r="I235" s="773"/>
      <c r="J235" s="773"/>
      <c r="K235" s="774"/>
      <c r="L235" s="775"/>
      <c r="M235" s="776"/>
    </row>
    <row r="236" spans="1:22" s="770" customFormat="1" ht="24.75" customHeight="1">
      <c r="B236" s="393"/>
      <c r="C236" s="393"/>
      <c r="D236" s="393"/>
      <c r="E236" s="393"/>
      <c r="F236" s="777"/>
      <c r="G236" s="778"/>
      <c r="H236" s="779"/>
      <c r="I236" s="779"/>
      <c r="J236" s="779"/>
      <c r="K236" s="779"/>
      <c r="L236" s="775"/>
      <c r="M236" s="776"/>
      <c r="N236" s="775"/>
    </row>
    <row r="237" spans="1:22" s="770" customFormat="1" ht="24.75" customHeight="1">
      <c r="B237" s="393"/>
      <c r="C237" s="393"/>
      <c r="D237" s="393"/>
      <c r="E237" s="393"/>
      <c r="F237" s="777"/>
      <c r="G237" s="778"/>
      <c r="H237" s="779"/>
      <c r="I237" s="779"/>
      <c r="J237" s="779"/>
      <c r="K237" s="779"/>
      <c r="L237" s="775"/>
      <c r="M237" s="776"/>
      <c r="N237" s="775"/>
    </row>
    <row r="238" spans="1:22" s="770" customFormat="1" ht="24.75" customHeight="1">
      <c r="B238" s="393"/>
      <c r="C238" s="393"/>
      <c r="D238" s="393"/>
      <c r="E238" s="393"/>
      <c r="F238" s="777"/>
      <c r="G238" s="778"/>
      <c r="H238" s="779"/>
      <c r="I238" s="779"/>
      <c r="J238" s="779"/>
      <c r="K238" s="779"/>
      <c r="L238" s="775"/>
      <c r="M238" s="776"/>
      <c r="N238" s="775"/>
    </row>
    <row r="239" spans="1:22" s="770" customFormat="1" ht="24.75" customHeight="1">
      <c r="B239" s="393"/>
      <c r="C239" s="393"/>
      <c r="D239" s="393"/>
      <c r="E239" s="393"/>
      <c r="F239" s="777"/>
      <c r="G239" s="778"/>
      <c r="H239" s="779"/>
      <c r="I239" s="779"/>
      <c r="J239" s="779"/>
      <c r="K239" s="779"/>
      <c r="L239" s="775"/>
      <c r="M239" s="776"/>
      <c r="N239" s="775"/>
    </row>
    <row r="240" spans="1:22" s="770" customFormat="1" ht="24.75" customHeight="1">
      <c r="B240" s="393"/>
      <c r="C240" s="393"/>
      <c r="D240" s="393"/>
      <c r="E240" s="393"/>
      <c r="F240" s="777"/>
      <c r="G240" s="778"/>
      <c r="H240" s="779"/>
      <c r="I240" s="779"/>
      <c r="J240" s="779"/>
      <c r="K240" s="779"/>
      <c r="L240" s="775"/>
      <c r="M240" s="776"/>
      <c r="N240" s="775"/>
    </row>
    <row r="241" spans="1:23" s="770" customFormat="1" ht="24.75" customHeight="1">
      <c r="B241" s="393"/>
      <c r="C241" s="393"/>
      <c r="D241" s="393"/>
      <c r="E241" s="393"/>
      <c r="F241" s="777"/>
      <c r="G241" s="778"/>
      <c r="H241" s="779"/>
      <c r="I241" s="779"/>
      <c r="J241" s="779"/>
      <c r="K241" s="779"/>
      <c r="L241" s="775"/>
      <c r="M241" s="776"/>
      <c r="N241" s="775"/>
    </row>
    <row r="242" spans="1:23" s="770" customFormat="1" ht="24.75" customHeight="1">
      <c r="B242" s="393"/>
      <c r="C242" s="393"/>
      <c r="D242" s="393"/>
      <c r="E242" s="393"/>
      <c r="F242" s="777"/>
      <c r="G242" s="778"/>
      <c r="H242" s="779"/>
      <c r="I242" s="779"/>
      <c r="J242" s="779"/>
      <c r="K242" s="779"/>
      <c r="L242" s="775"/>
      <c r="M242" s="776"/>
      <c r="N242" s="775"/>
    </row>
    <row r="243" spans="1:23" s="770" customFormat="1" ht="24.75" customHeight="1">
      <c r="B243" s="393"/>
      <c r="C243" s="393"/>
      <c r="D243" s="393"/>
      <c r="E243" s="393"/>
      <c r="F243" s="777"/>
      <c r="G243" s="778"/>
      <c r="H243" s="779"/>
      <c r="I243" s="779"/>
      <c r="J243" s="779"/>
      <c r="K243" s="779"/>
      <c r="L243" s="775"/>
      <c r="M243" s="776"/>
      <c r="N243" s="775"/>
    </row>
    <row r="244" spans="1:23" s="770" customFormat="1" ht="24.75" customHeight="1">
      <c r="B244" s="393"/>
      <c r="C244" s="393"/>
      <c r="D244" s="393"/>
      <c r="E244" s="393"/>
      <c r="F244" s="777"/>
      <c r="G244" s="778"/>
      <c r="H244" s="779"/>
      <c r="I244" s="779"/>
      <c r="J244" s="779"/>
      <c r="K244" s="779"/>
      <c r="L244" s="775"/>
      <c r="M244" s="776"/>
      <c r="N244" s="775"/>
    </row>
    <row r="245" spans="1:23" s="780" customFormat="1" ht="24.75" customHeight="1">
      <c r="A245" s="770"/>
      <c r="B245" s="393"/>
      <c r="C245" s="393"/>
      <c r="D245" s="393"/>
      <c r="E245" s="393"/>
      <c r="F245" s="777"/>
      <c r="G245" s="778"/>
      <c r="H245" s="779"/>
      <c r="I245" s="779"/>
      <c r="J245" s="779"/>
      <c r="K245" s="779"/>
      <c r="L245" s="775"/>
      <c r="M245" s="776"/>
      <c r="N245" s="775"/>
      <c r="O245" s="770"/>
      <c r="P245" s="770"/>
      <c r="Q245" s="770"/>
      <c r="R245" s="770"/>
      <c r="S245" s="770"/>
      <c r="T245" s="770"/>
      <c r="U245" s="770"/>
      <c r="V245" s="770"/>
      <c r="W245" s="770"/>
    </row>
    <row r="246" spans="1:23" s="770" customFormat="1" ht="24.75" customHeight="1">
      <c r="B246" s="393"/>
      <c r="C246" s="393"/>
      <c r="D246" s="393"/>
      <c r="E246" s="393"/>
      <c r="F246" s="777"/>
      <c r="G246" s="778"/>
      <c r="H246" s="779"/>
      <c r="I246" s="779"/>
      <c r="J246" s="779"/>
      <c r="K246" s="779"/>
      <c r="L246" s="775"/>
      <c r="M246" s="776"/>
      <c r="N246" s="775"/>
    </row>
    <row r="247" spans="1:23" s="770" customFormat="1" ht="24.75" customHeight="1">
      <c r="B247" s="393"/>
      <c r="C247" s="393"/>
      <c r="D247" s="393"/>
      <c r="E247" s="393"/>
      <c r="F247" s="777"/>
      <c r="G247" s="778"/>
      <c r="H247" s="779"/>
      <c r="I247" s="779"/>
      <c r="J247" s="779"/>
      <c r="K247" s="779"/>
      <c r="L247" s="775"/>
      <c r="M247" s="776"/>
      <c r="N247" s="775"/>
    </row>
    <row r="248" spans="1:23" s="770" customFormat="1" ht="24.75" customHeight="1">
      <c r="B248" s="393"/>
      <c r="C248" s="393"/>
      <c r="D248" s="393"/>
      <c r="E248" s="393"/>
      <c r="F248" s="777"/>
      <c r="G248" s="778"/>
      <c r="H248" s="779"/>
      <c r="I248" s="779"/>
      <c r="J248" s="779"/>
      <c r="K248" s="779"/>
      <c r="L248" s="775"/>
      <c r="M248" s="776"/>
      <c r="N248" s="775"/>
    </row>
    <row r="249" spans="1:23" s="770" customFormat="1" ht="24.75" customHeight="1">
      <c r="B249" s="393"/>
      <c r="C249" s="393"/>
      <c r="D249" s="393"/>
      <c r="E249" s="393"/>
      <c r="F249" s="777"/>
      <c r="G249" s="778"/>
      <c r="H249" s="779"/>
      <c r="I249" s="779"/>
      <c r="J249" s="779"/>
      <c r="K249" s="779"/>
      <c r="L249" s="775"/>
      <c r="M249" s="776"/>
      <c r="N249" s="775"/>
    </row>
    <row r="250" spans="1:23" s="770" customFormat="1" ht="24.75" customHeight="1">
      <c r="B250" s="393"/>
      <c r="C250" s="393"/>
      <c r="D250" s="393"/>
      <c r="E250" s="393"/>
      <c r="F250" s="777"/>
      <c r="G250" s="778"/>
      <c r="H250" s="779"/>
      <c r="I250" s="779"/>
      <c r="J250" s="779"/>
      <c r="K250" s="779"/>
      <c r="L250" s="775"/>
      <c r="M250" s="776"/>
      <c r="N250" s="775"/>
    </row>
    <row r="251" spans="1:23" s="770" customFormat="1" ht="24.75" customHeight="1">
      <c r="B251" s="393"/>
      <c r="C251" s="393"/>
      <c r="D251" s="393"/>
      <c r="E251" s="393"/>
      <c r="F251" s="777"/>
      <c r="G251" s="778"/>
      <c r="H251" s="779"/>
      <c r="I251" s="779"/>
      <c r="J251" s="779"/>
      <c r="K251" s="779"/>
      <c r="L251" s="775"/>
      <c r="M251" s="776"/>
      <c r="N251" s="775"/>
    </row>
    <row r="252" spans="1:23" s="770" customFormat="1" ht="24.75" customHeight="1">
      <c r="B252" s="393"/>
      <c r="C252" s="393"/>
      <c r="D252" s="393"/>
      <c r="E252" s="393"/>
      <c r="F252" s="777"/>
      <c r="G252" s="778"/>
      <c r="H252" s="779"/>
      <c r="I252" s="779"/>
      <c r="J252" s="779"/>
      <c r="K252" s="779"/>
      <c r="L252" s="775"/>
      <c r="M252" s="776"/>
      <c r="N252" s="775"/>
    </row>
    <row r="253" spans="1:23" s="770" customFormat="1" ht="24.75" customHeight="1">
      <c r="B253" s="393"/>
      <c r="C253" s="393"/>
      <c r="D253" s="393"/>
      <c r="E253" s="393"/>
      <c r="F253" s="777"/>
      <c r="G253" s="778"/>
      <c r="H253" s="779"/>
      <c r="I253" s="779"/>
      <c r="J253" s="779"/>
      <c r="K253" s="779"/>
      <c r="L253" s="775"/>
      <c r="M253" s="776"/>
      <c r="N253" s="775"/>
    </row>
    <row r="254" spans="1:23" s="770" customFormat="1" ht="24.75" customHeight="1">
      <c r="B254" s="393"/>
      <c r="C254" s="393"/>
      <c r="D254" s="393"/>
      <c r="E254" s="393"/>
      <c r="F254" s="777"/>
      <c r="G254" s="778"/>
      <c r="H254" s="779"/>
      <c r="I254" s="779"/>
      <c r="J254" s="779"/>
      <c r="K254" s="779"/>
      <c r="L254" s="775"/>
      <c r="M254" s="776"/>
      <c r="N254" s="775"/>
    </row>
    <row r="255" spans="1:23" s="770" customFormat="1" ht="24.75" customHeight="1">
      <c r="B255" s="393"/>
      <c r="C255" s="393"/>
      <c r="D255" s="393"/>
      <c r="E255" s="393"/>
      <c r="F255" s="777"/>
      <c r="G255" s="778"/>
      <c r="H255" s="779"/>
      <c r="I255" s="779"/>
      <c r="J255" s="779"/>
      <c r="K255" s="779"/>
      <c r="L255" s="775"/>
      <c r="M255" s="776"/>
      <c r="N255" s="775"/>
    </row>
    <row r="256" spans="1:23" s="770" customFormat="1" ht="24.75" customHeight="1">
      <c r="B256" s="393"/>
      <c r="C256" s="393"/>
      <c r="D256" s="393"/>
      <c r="E256" s="393"/>
      <c r="F256" s="777"/>
      <c r="G256" s="778"/>
      <c r="H256" s="779"/>
      <c r="I256" s="779"/>
      <c r="J256" s="779"/>
      <c r="K256" s="779"/>
      <c r="L256" s="775"/>
      <c r="M256" s="776"/>
      <c r="N256" s="775"/>
    </row>
    <row r="257" spans="2:14" s="770" customFormat="1" ht="24.75" customHeight="1">
      <c r="B257" s="393"/>
      <c r="C257" s="393"/>
      <c r="D257" s="393"/>
      <c r="E257" s="393"/>
      <c r="F257" s="777"/>
      <c r="G257" s="778"/>
      <c r="H257" s="779"/>
      <c r="I257" s="779"/>
      <c r="J257" s="779"/>
      <c r="K257" s="779"/>
      <c r="L257" s="775"/>
      <c r="M257" s="776"/>
      <c r="N257" s="775"/>
    </row>
    <row r="258" spans="2:14" s="770" customFormat="1" ht="24.75" customHeight="1">
      <c r="B258" s="393"/>
      <c r="C258" s="393"/>
      <c r="D258" s="393"/>
      <c r="E258" s="393"/>
      <c r="F258" s="777"/>
      <c r="G258" s="778"/>
      <c r="H258" s="779"/>
      <c r="I258" s="779"/>
      <c r="J258" s="779"/>
      <c r="K258" s="779"/>
      <c r="L258" s="775"/>
      <c r="M258" s="776"/>
      <c r="N258" s="775"/>
    </row>
    <row r="259" spans="2:14" s="770" customFormat="1" ht="24.75" customHeight="1">
      <c r="B259" s="393"/>
      <c r="C259" s="393"/>
      <c r="D259" s="393"/>
      <c r="E259" s="393"/>
      <c r="F259" s="777"/>
      <c r="G259" s="778"/>
      <c r="H259" s="779"/>
      <c r="I259" s="779"/>
      <c r="J259" s="779"/>
      <c r="K259" s="779"/>
      <c r="L259" s="775"/>
      <c r="M259" s="776"/>
      <c r="N259" s="775"/>
    </row>
    <row r="260" spans="2:14" s="770" customFormat="1" ht="24.75" customHeight="1">
      <c r="B260" s="393"/>
      <c r="C260" s="393"/>
      <c r="D260" s="393"/>
      <c r="E260" s="393"/>
      <c r="F260" s="777"/>
      <c r="G260" s="778"/>
      <c r="H260" s="779"/>
      <c r="I260" s="779"/>
      <c r="J260" s="779"/>
      <c r="K260" s="779"/>
      <c r="L260" s="775"/>
      <c r="M260" s="776"/>
      <c r="N260" s="775"/>
    </row>
    <row r="261" spans="2:14" s="770" customFormat="1" ht="24.75" customHeight="1">
      <c r="B261" s="393"/>
      <c r="C261" s="393"/>
      <c r="D261" s="393"/>
      <c r="E261" s="393"/>
      <c r="F261" s="777"/>
      <c r="G261" s="778"/>
      <c r="H261" s="779"/>
      <c r="I261" s="779"/>
      <c r="J261" s="779"/>
      <c r="K261" s="779"/>
      <c r="L261" s="775"/>
      <c r="M261" s="776"/>
      <c r="N261" s="775"/>
    </row>
    <row r="262" spans="2:14" s="770" customFormat="1" ht="24.75" customHeight="1">
      <c r="B262" s="393"/>
      <c r="C262" s="393"/>
      <c r="D262" s="393"/>
      <c r="E262" s="393"/>
      <c r="F262" s="777"/>
      <c r="G262" s="778"/>
      <c r="H262" s="779"/>
      <c r="I262" s="779"/>
      <c r="J262" s="779"/>
      <c r="K262" s="779"/>
      <c r="L262" s="775"/>
      <c r="M262" s="776"/>
      <c r="N262" s="775"/>
    </row>
    <row r="263" spans="2:14" s="770" customFormat="1" ht="24.75" customHeight="1">
      <c r="B263" s="393"/>
      <c r="C263" s="393"/>
      <c r="D263" s="393"/>
      <c r="E263" s="393"/>
      <c r="F263" s="777"/>
      <c r="G263" s="778"/>
      <c r="H263" s="779"/>
      <c r="I263" s="779"/>
      <c r="J263" s="779"/>
      <c r="K263" s="779"/>
      <c r="L263" s="775"/>
      <c r="M263" s="776"/>
      <c r="N263" s="775"/>
    </row>
    <row r="264" spans="2:14" s="770" customFormat="1" ht="24.75" customHeight="1">
      <c r="B264" s="393"/>
      <c r="C264" s="393"/>
      <c r="D264" s="393"/>
      <c r="E264" s="393"/>
      <c r="F264" s="777"/>
      <c r="G264" s="778"/>
      <c r="H264" s="779"/>
      <c r="I264" s="779"/>
      <c r="J264" s="779"/>
      <c r="K264" s="779"/>
      <c r="L264" s="775"/>
      <c r="M264" s="776"/>
      <c r="N264" s="775"/>
    </row>
    <row r="265" spans="2:14" s="770" customFormat="1" ht="24.75" customHeight="1">
      <c r="B265" s="393"/>
      <c r="C265" s="401"/>
      <c r="D265" s="401"/>
      <c r="E265" s="401"/>
      <c r="K265" s="779"/>
      <c r="M265" s="781"/>
    </row>
    <row r="266" spans="2:14" s="770" customFormat="1" ht="24.75" customHeight="1">
      <c r="B266" s="393"/>
      <c r="C266" s="401"/>
      <c r="D266" s="401"/>
      <c r="E266" s="401"/>
      <c r="K266" s="779"/>
      <c r="M266" s="781"/>
    </row>
    <row r="267" spans="2:14" s="770" customFormat="1" ht="24.75" customHeight="1">
      <c r="B267" s="393"/>
      <c r="C267" s="401"/>
      <c r="D267" s="401"/>
      <c r="E267" s="401"/>
      <c r="K267" s="779"/>
      <c r="M267" s="781"/>
    </row>
    <row r="268" spans="2:14" s="770" customFormat="1" ht="24.75" customHeight="1">
      <c r="B268" s="393"/>
      <c r="C268" s="401"/>
      <c r="D268" s="401"/>
      <c r="E268" s="401"/>
      <c r="K268" s="779"/>
      <c r="M268" s="781"/>
    </row>
    <row r="269" spans="2:14" s="770" customFormat="1" ht="24.75" customHeight="1">
      <c r="B269" s="393"/>
      <c r="C269" s="401"/>
      <c r="D269" s="401"/>
      <c r="E269" s="401"/>
      <c r="K269" s="779"/>
      <c r="M269" s="781"/>
    </row>
    <row r="270" spans="2:14" s="770" customFormat="1" ht="24.75" customHeight="1">
      <c r="B270" s="393"/>
      <c r="C270" s="401"/>
      <c r="D270" s="401"/>
      <c r="E270" s="401"/>
      <c r="K270" s="779"/>
      <c r="M270" s="781"/>
    </row>
    <row r="271" spans="2:14" s="770" customFormat="1" ht="24.75" customHeight="1">
      <c r="B271" s="393"/>
      <c r="C271" s="401"/>
      <c r="D271" s="401"/>
      <c r="E271" s="401"/>
      <c r="K271" s="779"/>
      <c r="M271" s="781"/>
    </row>
    <row r="272" spans="2:14" s="770" customFormat="1" ht="24.75" customHeight="1">
      <c r="B272" s="393"/>
      <c r="C272" s="401"/>
      <c r="D272" s="401"/>
      <c r="E272" s="401"/>
      <c r="K272" s="779"/>
      <c r="M272" s="781"/>
    </row>
    <row r="273" spans="2:13" s="770" customFormat="1" ht="24.75" customHeight="1">
      <c r="B273" s="393"/>
      <c r="C273" s="401"/>
      <c r="D273" s="401"/>
      <c r="E273" s="401"/>
      <c r="K273" s="779"/>
      <c r="M273" s="781"/>
    </row>
    <row r="274" spans="2:13" s="770" customFormat="1" ht="24.75" customHeight="1">
      <c r="B274" s="393"/>
      <c r="C274" s="401"/>
      <c r="D274" s="401"/>
      <c r="E274" s="401"/>
      <c r="K274" s="779"/>
      <c r="M274" s="781"/>
    </row>
    <row r="275" spans="2:13" s="770" customFormat="1" ht="24.75" customHeight="1">
      <c r="B275" s="393"/>
      <c r="C275" s="401"/>
      <c r="D275" s="401"/>
      <c r="E275" s="401"/>
      <c r="K275" s="779"/>
      <c r="M275" s="781"/>
    </row>
    <row r="276" spans="2:13" s="770" customFormat="1" ht="24.75" customHeight="1">
      <c r="B276" s="393"/>
      <c r="C276" s="401"/>
      <c r="D276" s="401"/>
      <c r="E276" s="401"/>
      <c r="K276" s="779"/>
      <c r="M276" s="781"/>
    </row>
    <row r="277" spans="2:13" s="770" customFormat="1" ht="24.75" customHeight="1">
      <c r="B277" s="393"/>
      <c r="C277" s="401"/>
      <c r="D277" s="401"/>
      <c r="E277" s="401"/>
      <c r="K277" s="779"/>
      <c r="M277" s="781"/>
    </row>
    <row r="278" spans="2:13" s="770" customFormat="1" ht="24.75" customHeight="1">
      <c r="B278" s="393"/>
      <c r="C278" s="401"/>
      <c r="D278" s="401"/>
      <c r="E278" s="401"/>
      <c r="K278" s="779"/>
      <c r="M278" s="781"/>
    </row>
    <row r="279" spans="2:13" s="770" customFormat="1" ht="24.75" customHeight="1">
      <c r="B279" s="393"/>
      <c r="C279" s="401"/>
      <c r="D279" s="401"/>
      <c r="E279" s="401"/>
      <c r="K279" s="779"/>
      <c r="M279" s="781"/>
    </row>
    <row r="280" spans="2:13" s="770" customFormat="1" ht="24.75" customHeight="1">
      <c r="B280" s="393"/>
      <c r="C280" s="401"/>
      <c r="D280" s="401"/>
      <c r="E280" s="401"/>
      <c r="K280" s="779"/>
      <c r="M280" s="781"/>
    </row>
    <row r="281" spans="2:13" s="770" customFormat="1" ht="24.75" customHeight="1">
      <c r="B281" s="393"/>
      <c r="C281" s="401"/>
      <c r="D281" s="401"/>
      <c r="E281" s="401"/>
      <c r="K281" s="779"/>
      <c r="M281" s="781"/>
    </row>
    <row r="282" spans="2:13" s="770" customFormat="1" ht="24.75" customHeight="1">
      <c r="B282" s="393"/>
      <c r="C282" s="401"/>
      <c r="D282" s="401"/>
      <c r="E282" s="401"/>
      <c r="K282" s="779"/>
      <c r="M282" s="781"/>
    </row>
    <row r="283" spans="2:13" s="770" customFormat="1" ht="24.75" customHeight="1">
      <c r="B283" s="393"/>
      <c r="C283" s="401"/>
      <c r="D283" s="401"/>
      <c r="E283" s="401"/>
      <c r="K283" s="779"/>
      <c r="M283" s="781"/>
    </row>
    <row r="284" spans="2:13" s="770" customFormat="1" ht="24.75" customHeight="1">
      <c r="B284" s="393"/>
      <c r="C284" s="401"/>
      <c r="D284" s="401"/>
      <c r="E284" s="401"/>
      <c r="K284" s="779"/>
      <c r="M284" s="781"/>
    </row>
    <row r="285" spans="2:13" s="770" customFormat="1" ht="24.75" customHeight="1">
      <c r="B285" s="393"/>
      <c r="C285" s="401"/>
      <c r="D285" s="401"/>
      <c r="E285" s="401"/>
      <c r="K285" s="779"/>
      <c r="M285" s="781"/>
    </row>
    <row r="286" spans="2:13" s="770" customFormat="1" ht="24.75" customHeight="1">
      <c r="B286" s="393"/>
      <c r="C286" s="401"/>
      <c r="D286" s="401"/>
      <c r="E286" s="401"/>
      <c r="K286" s="779"/>
      <c r="M286" s="781"/>
    </row>
    <row r="287" spans="2:13" s="770" customFormat="1" ht="24.75" customHeight="1">
      <c r="B287" s="393"/>
      <c r="C287" s="401"/>
      <c r="D287" s="401"/>
      <c r="E287" s="401"/>
      <c r="K287" s="779"/>
      <c r="M287" s="781"/>
    </row>
    <row r="288" spans="2:13" s="770" customFormat="1" ht="24.75" customHeight="1">
      <c r="B288" s="393"/>
      <c r="C288" s="401"/>
      <c r="D288" s="401"/>
      <c r="E288" s="401"/>
      <c r="K288" s="779"/>
      <c r="M288" s="781"/>
    </row>
    <row r="289" spans="2:13" s="770" customFormat="1" ht="24.75" customHeight="1">
      <c r="B289" s="393"/>
      <c r="C289" s="401"/>
      <c r="D289" s="401"/>
      <c r="E289" s="401"/>
      <c r="K289" s="779"/>
      <c r="M289" s="781"/>
    </row>
    <row r="290" spans="2:13" s="770" customFormat="1" ht="24.75" customHeight="1">
      <c r="B290" s="393"/>
      <c r="C290" s="401"/>
      <c r="D290" s="401"/>
      <c r="E290" s="401"/>
      <c r="K290" s="779"/>
      <c r="M290" s="781"/>
    </row>
    <row r="291" spans="2:13" s="770" customFormat="1" ht="24.75" customHeight="1">
      <c r="B291" s="393"/>
      <c r="C291" s="401"/>
      <c r="D291" s="401"/>
      <c r="E291" s="401"/>
      <c r="K291" s="779"/>
      <c r="M291" s="781"/>
    </row>
    <row r="292" spans="2:13" s="770" customFormat="1" ht="24.75" customHeight="1">
      <c r="B292" s="393"/>
      <c r="C292" s="401"/>
      <c r="D292" s="401"/>
      <c r="E292" s="401"/>
      <c r="K292" s="779"/>
      <c r="M292" s="781"/>
    </row>
    <row r="293" spans="2:13" s="770" customFormat="1" ht="24.75" customHeight="1">
      <c r="B293" s="393"/>
      <c r="C293" s="401"/>
      <c r="D293" s="401"/>
      <c r="E293" s="401"/>
      <c r="K293" s="779"/>
      <c r="M293" s="781"/>
    </row>
    <row r="294" spans="2:13" s="770" customFormat="1" ht="24.75" customHeight="1">
      <c r="B294" s="393"/>
      <c r="C294" s="401"/>
      <c r="D294" s="401"/>
      <c r="E294" s="401"/>
      <c r="K294" s="779"/>
      <c r="M294" s="781"/>
    </row>
    <row r="295" spans="2:13" s="770" customFormat="1" ht="24.75" customHeight="1">
      <c r="B295" s="393"/>
      <c r="C295" s="401"/>
      <c r="D295" s="401"/>
      <c r="E295" s="401"/>
      <c r="K295" s="779"/>
      <c r="M295" s="781"/>
    </row>
    <row r="296" spans="2:13" s="770" customFormat="1" ht="24.75" customHeight="1">
      <c r="B296" s="393"/>
      <c r="C296" s="401"/>
      <c r="D296" s="401"/>
      <c r="E296" s="401"/>
      <c r="K296" s="779"/>
      <c r="M296" s="781"/>
    </row>
    <row r="297" spans="2:13" s="770" customFormat="1" ht="24.75" customHeight="1">
      <c r="B297" s="393"/>
      <c r="C297" s="401"/>
      <c r="D297" s="401"/>
      <c r="E297" s="401"/>
      <c r="K297" s="779"/>
      <c r="M297" s="781"/>
    </row>
    <row r="298" spans="2:13" s="770" customFormat="1" ht="24.75" customHeight="1">
      <c r="B298" s="393"/>
      <c r="C298" s="401"/>
      <c r="D298" s="401"/>
      <c r="E298" s="401"/>
      <c r="K298" s="779"/>
      <c r="M298" s="781"/>
    </row>
    <row r="299" spans="2:13" s="770" customFormat="1" ht="24.75" customHeight="1">
      <c r="B299" s="393"/>
      <c r="C299" s="401"/>
      <c r="D299" s="401"/>
      <c r="E299" s="401"/>
      <c r="K299" s="779"/>
      <c r="M299" s="781"/>
    </row>
    <row r="300" spans="2:13" s="770" customFormat="1" ht="24.75" customHeight="1">
      <c r="B300" s="393"/>
      <c r="C300" s="401"/>
      <c r="D300" s="401"/>
      <c r="E300" s="401"/>
      <c r="K300" s="779"/>
      <c r="M300" s="781"/>
    </row>
    <row r="301" spans="2:13" s="770" customFormat="1" ht="24.75" customHeight="1">
      <c r="B301" s="393"/>
      <c r="C301" s="401"/>
      <c r="D301" s="401"/>
      <c r="E301" s="401"/>
      <c r="K301" s="779"/>
      <c r="M301" s="781"/>
    </row>
    <row r="302" spans="2:13" s="770" customFormat="1" ht="24.75" customHeight="1">
      <c r="B302" s="393"/>
      <c r="C302" s="401"/>
      <c r="D302" s="401"/>
      <c r="E302" s="401"/>
      <c r="K302" s="779"/>
      <c r="M302" s="781"/>
    </row>
    <row r="303" spans="2:13" s="770" customFormat="1" ht="24.75" customHeight="1">
      <c r="B303" s="393"/>
      <c r="C303" s="401"/>
      <c r="D303" s="401"/>
      <c r="E303" s="401"/>
      <c r="K303" s="779"/>
      <c r="M303" s="781"/>
    </row>
    <row r="304" spans="2:13" s="770" customFormat="1" ht="24.75" customHeight="1">
      <c r="B304" s="393"/>
      <c r="C304" s="401"/>
      <c r="D304" s="401"/>
      <c r="E304" s="401"/>
      <c r="K304" s="779"/>
      <c r="M304" s="781"/>
    </row>
    <row r="305" spans="2:13" s="770" customFormat="1" ht="24.75" customHeight="1">
      <c r="B305" s="393"/>
      <c r="C305" s="401"/>
      <c r="D305" s="401"/>
      <c r="E305" s="401"/>
      <c r="K305" s="779"/>
      <c r="M305" s="781"/>
    </row>
    <row r="306" spans="2:13" s="770" customFormat="1" ht="24.75" customHeight="1">
      <c r="B306" s="393"/>
      <c r="C306" s="401"/>
      <c r="D306" s="401"/>
      <c r="E306" s="401"/>
      <c r="K306" s="779"/>
      <c r="M306" s="781"/>
    </row>
    <row r="307" spans="2:13" s="770" customFormat="1" ht="24.75" customHeight="1">
      <c r="B307" s="393"/>
      <c r="C307" s="401"/>
      <c r="D307" s="401"/>
      <c r="E307" s="401"/>
      <c r="K307" s="779"/>
      <c r="M307" s="781"/>
    </row>
    <row r="308" spans="2:13" s="770" customFormat="1" ht="24.75" customHeight="1">
      <c r="B308" s="393"/>
      <c r="C308" s="401"/>
      <c r="D308" s="401"/>
      <c r="E308" s="401"/>
      <c r="K308" s="779"/>
      <c r="M308" s="781"/>
    </row>
    <row r="309" spans="2:13" s="770" customFormat="1" ht="24.75" customHeight="1">
      <c r="B309" s="393"/>
      <c r="C309" s="401"/>
      <c r="D309" s="401"/>
      <c r="E309" s="401"/>
      <c r="K309" s="779"/>
      <c r="M309" s="781"/>
    </row>
    <row r="310" spans="2:13" s="770" customFormat="1" ht="24.75" customHeight="1">
      <c r="B310" s="393"/>
      <c r="C310" s="401"/>
      <c r="D310" s="401"/>
      <c r="E310" s="401"/>
      <c r="K310" s="779"/>
      <c r="M310" s="781"/>
    </row>
    <row r="311" spans="2:13" s="770" customFormat="1" ht="24.75" customHeight="1">
      <c r="B311" s="393"/>
      <c r="C311" s="401"/>
      <c r="D311" s="401"/>
      <c r="E311" s="401"/>
      <c r="K311" s="779"/>
      <c r="M311" s="781"/>
    </row>
    <row r="312" spans="2:13" s="770" customFormat="1" ht="24.75" customHeight="1">
      <c r="B312" s="393"/>
      <c r="C312" s="401"/>
      <c r="D312" s="401"/>
      <c r="E312" s="401"/>
      <c r="K312" s="779"/>
      <c r="M312" s="781"/>
    </row>
    <row r="313" spans="2:13" s="770" customFormat="1" ht="24.75" customHeight="1">
      <c r="B313" s="393"/>
      <c r="C313" s="401"/>
      <c r="D313" s="401"/>
      <c r="E313" s="401"/>
      <c r="K313" s="779"/>
      <c r="M313" s="781"/>
    </row>
    <row r="314" spans="2:13" s="770" customFormat="1" ht="24.75" customHeight="1">
      <c r="B314" s="393"/>
      <c r="C314" s="401"/>
      <c r="D314" s="401"/>
      <c r="E314" s="401"/>
      <c r="K314" s="779"/>
      <c r="M314" s="781"/>
    </row>
    <row r="315" spans="2:13" s="770" customFormat="1" ht="24.75" customHeight="1">
      <c r="B315" s="393"/>
      <c r="C315" s="401"/>
      <c r="D315" s="401"/>
      <c r="E315" s="401"/>
      <c r="K315" s="779"/>
      <c r="M315" s="781"/>
    </row>
    <row r="327" spans="2:4" ht="24.75" customHeight="1">
      <c r="B327" s="197"/>
      <c r="C327" s="197"/>
      <c r="D327" s="170"/>
    </row>
  </sheetData>
  <mergeCells count="144">
    <mergeCell ref="L210:M210"/>
    <mergeCell ref="B217:G219"/>
    <mergeCell ref="B220:F220"/>
    <mergeCell ref="F227:G227"/>
    <mergeCell ref="L201:M201"/>
    <mergeCell ref="L202:M202"/>
    <mergeCell ref="L203:M203"/>
    <mergeCell ref="L204:M204"/>
    <mergeCell ref="L205:M205"/>
    <mergeCell ref="L206:M206"/>
    <mergeCell ref="L207:M207"/>
    <mergeCell ref="L208:M208"/>
    <mergeCell ref="L209:M209"/>
    <mergeCell ref="L192:M192"/>
    <mergeCell ref="L193:M193"/>
    <mergeCell ref="L194:M194"/>
    <mergeCell ref="L195:M195"/>
    <mergeCell ref="L196:M196"/>
    <mergeCell ref="L197:M197"/>
    <mergeCell ref="L198:M198"/>
    <mergeCell ref="L199:M199"/>
    <mergeCell ref="L200:M200"/>
    <mergeCell ref="B185:F185"/>
    <mergeCell ref="L185:M185"/>
    <mergeCell ref="B186:F186"/>
    <mergeCell ref="L186:M186"/>
    <mergeCell ref="L187:M187"/>
    <mergeCell ref="L188:M188"/>
    <mergeCell ref="L189:M189"/>
    <mergeCell ref="L190:M190"/>
    <mergeCell ref="L191:M191"/>
    <mergeCell ref="L176:M176"/>
    <mergeCell ref="L177:M177"/>
    <mergeCell ref="L178:M178"/>
    <mergeCell ref="L179:M179"/>
    <mergeCell ref="L180:M180"/>
    <mergeCell ref="L181:M181"/>
    <mergeCell ref="B182:G184"/>
    <mergeCell ref="L182:M182"/>
    <mergeCell ref="L183:M183"/>
    <mergeCell ref="L184:M184"/>
    <mergeCell ref="L167:M167"/>
    <mergeCell ref="L168:M168"/>
    <mergeCell ref="L169:M169"/>
    <mergeCell ref="L170:M170"/>
    <mergeCell ref="L171:M171"/>
    <mergeCell ref="L172:M172"/>
    <mergeCell ref="L173:M173"/>
    <mergeCell ref="L174:M174"/>
    <mergeCell ref="L175:M175"/>
    <mergeCell ref="L158:M158"/>
    <mergeCell ref="L159:M159"/>
    <mergeCell ref="L160:M160"/>
    <mergeCell ref="L161:M161"/>
    <mergeCell ref="L162:M162"/>
    <mergeCell ref="L163:M163"/>
    <mergeCell ref="L164:M164"/>
    <mergeCell ref="L165:M165"/>
    <mergeCell ref="L166:M166"/>
    <mergeCell ref="B147:F147"/>
    <mergeCell ref="L150:M150"/>
    <mergeCell ref="L151:M151"/>
    <mergeCell ref="L152:M152"/>
    <mergeCell ref="L153:M153"/>
    <mergeCell ref="L154:M154"/>
    <mergeCell ref="L155:M155"/>
    <mergeCell ref="L156:M156"/>
    <mergeCell ref="L157:M157"/>
    <mergeCell ref="B132:C132"/>
    <mergeCell ref="F132:G132"/>
    <mergeCell ref="J132:K132"/>
    <mergeCell ref="B135:I135"/>
    <mergeCell ref="B136:I136"/>
    <mergeCell ref="B137:I137"/>
    <mergeCell ref="B138:I138"/>
    <mergeCell ref="B143:G145"/>
    <mergeCell ref="B146:F146"/>
    <mergeCell ref="B122:G124"/>
    <mergeCell ref="B125:F125"/>
    <mergeCell ref="B126:F126"/>
    <mergeCell ref="F129:G129"/>
    <mergeCell ref="J129:K129"/>
    <mergeCell ref="B130:C130"/>
    <mergeCell ref="F130:G130"/>
    <mergeCell ref="J130:K130"/>
    <mergeCell ref="B131:C131"/>
    <mergeCell ref="F131:G131"/>
    <mergeCell ref="J131:K131"/>
    <mergeCell ref="D115:E115"/>
    <mergeCell ref="F115:G115"/>
    <mergeCell ref="H115:I115"/>
    <mergeCell ref="J115:K115"/>
    <mergeCell ref="D116:E116"/>
    <mergeCell ref="F116:G116"/>
    <mergeCell ref="H116:I116"/>
    <mergeCell ref="J116:K116"/>
    <mergeCell ref="D117:E117"/>
    <mergeCell ref="F117:G117"/>
    <mergeCell ref="H117:I117"/>
    <mergeCell ref="J117:K117"/>
    <mergeCell ref="D111:E111"/>
    <mergeCell ref="F111:G111"/>
    <mergeCell ref="J111:K111"/>
    <mergeCell ref="D113:E113"/>
    <mergeCell ref="F113:G113"/>
    <mergeCell ref="H113:I113"/>
    <mergeCell ref="J113:K113"/>
    <mergeCell ref="D114:E114"/>
    <mergeCell ref="F114:G114"/>
    <mergeCell ref="H114:I114"/>
    <mergeCell ref="J114:K114"/>
    <mergeCell ref="D106:E106"/>
    <mergeCell ref="F106:G106"/>
    <mergeCell ref="H106:I106"/>
    <mergeCell ref="J106:K106"/>
    <mergeCell ref="D107:E107"/>
    <mergeCell ref="F107:G107"/>
    <mergeCell ref="H107:I107"/>
    <mergeCell ref="J107:K107"/>
    <mergeCell ref="D108:E108"/>
    <mergeCell ref="F108:G108"/>
    <mergeCell ref="H108:I108"/>
    <mergeCell ref="J108:K108"/>
    <mergeCell ref="B99:F99"/>
    <mergeCell ref="D102:E102"/>
    <mergeCell ref="F102:G102"/>
    <mergeCell ref="J102:K102"/>
    <mergeCell ref="D104:E104"/>
    <mergeCell ref="F104:G104"/>
    <mergeCell ref="H104:I104"/>
    <mergeCell ref="J104:K104"/>
    <mergeCell ref="D105:E105"/>
    <mergeCell ref="F105:G105"/>
    <mergeCell ref="H105:I105"/>
    <mergeCell ref="J105:K105"/>
    <mergeCell ref="B4:C4"/>
    <mergeCell ref="D11:F11"/>
    <mergeCell ref="B15:G17"/>
    <mergeCell ref="B19:F19"/>
    <mergeCell ref="F88:G88"/>
    <mergeCell ref="F89:G89"/>
    <mergeCell ref="F90:G90"/>
    <mergeCell ref="B95:G97"/>
    <mergeCell ref="B98:F98"/>
  </mergeCells>
  <conditionalFormatting sqref="H103">
    <cfRule type="cellIs" dxfId="58" priority="3" operator="greaterThan">
      <formula>0</formula>
    </cfRule>
  </conditionalFormatting>
  <conditionalFormatting sqref="H112">
    <cfRule type="cellIs" dxfId="57" priority="2" operator="greaterThan">
      <formula>0</formula>
    </cfRule>
  </conditionalFormatting>
  <conditionalFormatting sqref="H130:H132">
    <cfRule type="cellIs" dxfId="56" priority="14" operator="greaterThan">
      <formula>0</formula>
    </cfRule>
  </conditionalFormatting>
  <conditionalFormatting sqref="I25:I37 I43:I66">
    <cfRule type="cellIs" dxfId="55" priority="18" operator="lessThan">
      <formula>#REF!</formula>
    </cfRule>
  </conditionalFormatting>
  <conditionalFormatting sqref="I25:I37">
    <cfRule type="cellIs" dxfId="54" priority="7" operator="greaterThan">
      <formula>0</formula>
    </cfRule>
  </conditionalFormatting>
  <conditionalFormatting sqref="I43:I66">
    <cfRule type="cellIs" dxfId="53" priority="6" operator="greaterThan">
      <formula>0</formula>
    </cfRule>
  </conditionalFormatting>
  <conditionalFormatting sqref="I72:I75">
    <cfRule type="cellIs" dxfId="52" priority="9" operator="lessThan">
      <formula>$J72</formula>
    </cfRule>
  </conditionalFormatting>
  <conditionalFormatting sqref="I89:I90">
    <cfRule type="cellIs" dxfId="51" priority="15" operator="greaterThan">
      <formula>0</formula>
    </cfRule>
  </conditionalFormatting>
  <conditionalFormatting sqref="I72:J75">
    <cfRule type="cellIs" dxfId="50" priority="16" operator="greaterThan">
      <formula>0</formula>
    </cfRule>
  </conditionalFormatting>
  <conditionalFormatting sqref="I81:J83">
    <cfRule type="cellIs" dxfId="49" priority="10" operator="greaterThan">
      <formula>0</formula>
    </cfRule>
    <cfRule type="cellIs" dxfId="48" priority="11" operator="lessThan">
      <formula>$J81</formula>
    </cfRule>
  </conditionalFormatting>
  <conditionalFormatting sqref="J131:J132">
    <cfRule type="cellIs" dxfId="47" priority="13" operator="greaterThan">
      <formula>0</formula>
    </cfRule>
  </conditionalFormatting>
  <conditionalFormatting sqref="K25:K110">
    <cfRule type="cellIs" dxfId="46" priority="4" operator="greaterThan">
      <formula>0</formula>
    </cfRule>
  </conditionalFormatting>
  <conditionalFormatting sqref="L69 L70:M70">
    <cfRule type="cellIs" dxfId="45" priority="17" operator="greaterThan">
      <formula>0</formula>
    </cfRule>
  </conditionalFormatting>
  <conditionalFormatting sqref="L72:M72 L74:M74">
    <cfRule type="cellIs" dxfId="44" priority="12" operator="greaterThan">
      <formula>0</formula>
    </cfRule>
  </conditionalFormatting>
  <conditionalFormatting sqref="L72:M75">
    <cfRule type="cellIs" dxfId="43" priority="8" operator="greaterThan">
      <formula>0</formula>
    </cfRule>
  </conditionalFormatting>
  <conditionalFormatting sqref="L81:M83">
    <cfRule type="cellIs" dxfId="42" priority="5" operator="greaterThan">
      <formula>0</formula>
    </cfRule>
  </conditionalFormatting>
  <hyperlinks>
    <hyperlink ref="B10" r:id="rId1" xr:uid="{00000000-0004-0000-0300-000000000000}"/>
    <hyperlink ref="B224" r:id="rId2" xr:uid="{00000000-0004-0000-0300-000001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321"/>
  <sheetViews>
    <sheetView showGridLines="0" zoomScaleNormal="100" workbookViewId="0">
      <selection activeCell="B217" sqref="B217"/>
    </sheetView>
  </sheetViews>
  <sheetFormatPr baseColWidth="10" defaultColWidth="15" defaultRowHeight="25.5" customHeight="1"/>
  <cols>
    <col min="1" max="1" width="11.83203125" style="474" customWidth="1"/>
    <col min="2" max="2" width="30.83203125" style="290" customWidth="1"/>
    <col min="3" max="5" width="14.83203125" style="12" customWidth="1"/>
    <col min="6" max="10" width="14.83203125" style="474" customWidth="1"/>
    <col min="11" max="11" width="14.83203125" style="475" customWidth="1"/>
    <col min="12" max="12" width="14.83203125" style="474" customWidth="1"/>
    <col min="13" max="13" width="14.83203125" style="517" customWidth="1"/>
    <col min="14" max="14" width="14.83203125" style="474" customWidth="1"/>
    <col min="15" max="16384" width="15" style="474"/>
  </cols>
  <sheetData>
    <row r="1" spans="1:28" ht="25.5" customHeight="1">
      <c r="A1" s="477"/>
      <c r="B1" s="9"/>
      <c r="C1" s="9"/>
      <c r="D1" s="17"/>
      <c r="E1" s="17"/>
      <c r="F1" s="477"/>
      <c r="G1" s="477"/>
      <c r="H1" s="477"/>
      <c r="I1" s="477"/>
      <c r="J1" s="477"/>
      <c r="K1" s="782"/>
      <c r="L1" s="477"/>
      <c r="M1" s="478"/>
      <c r="N1" s="477"/>
      <c r="O1" s="480"/>
    </row>
    <row r="2" spans="1:28" ht="25.5" customHeight="1">
      <c r="A2" s="477"/>
      <c r="B2" s="9"/>
      <c r="C2" s="9"/>
      <c r="D2" s="17"/>
      <c r="E2" s="17"/>
      <c r="F2" s="477"/>
      <c r="G2" s="477"/>
      <c r="H2" s="477"/>
      <c r="I2" s="477"/>
      <c r="J2" s="477"/>
      <c r="K2" s="782"/>
      <c r="L2" s="477"/>
      <c r="M2" s="478"/>
      <c r="N2" s="477"/>
      <c r="O2" s="480"/>
    </row>
    <row r="3" spans="1:28" ht="25.5" customHeight="1">
      <c r="A3" s="477"/>
      <c r="B3" s="9"/>
      <c r="C3" s="9"/>
      <c r="D3" s="17"/>
      <c r="E3" s="17"/>
      <c r="F3" s="477"/>
      <c r="G3" s="477"/>
      <c r="H3" s="477"/>
      <c r="I3" s="477"/>
      <c r="J3" s="477"/>
      <c r="K3" s="782"/>
      <c r="L3" s="477"/>
      <c r="M3" s="478"/>
      <c r="N3" s="477"/>
      <c r="O3" s="480"/>
    </row>
    <row r="4" spans="1:28" ht="25.5" customHeight="1">
      <c r="A4" s="477"/>
      <c r="B4" s="1004"/>
      <c r="C4" s="1004"/>
      <c r="D4" s="17"/>
      <c r="E4" s="17"/>
      <c r="F4" s="477"/>
      <c r="G4" s="477"/>
      <c r="H4" s="477"/>
      <c r="I4" s="477"/>
      <c r="J4" s="477"/>
      <c r="K4" s="782"/>
      <c r="L4" s="477"/>
      <c r="M4" s="478"/>
      <c r="N4" s="477"/>
      <c r="O4" s="480"/>
    </row>
    <row r="5" spans="1:28" ht="25.5" customHeight="1">
      <c r="A5" s="477"/>
      <c r="B5" s="22" t="s">
        <v>504</v>
      </c>
      <c r="C5" s="22"/>
      <c r="D5" s="17"/>
      <c r="E5" s="17"/>
      <c r="F5" s="477"/>
      <c r="G5" s="477"/>
      <c r="H5" s="477"/>
      <c r="I5" s="477"/>
      <c r="J5" s="477"/>
      <c r="K5" s="782"/>
      <c r="L5" s="477"/>
      <c r="M5" s="478"/>
      <c r="N5" s="477"/>
      <c r="O5" s="480"/>
    </row>
    <row r="6" spans="1:28" ht="25.5" customHeight="1">
      <c r="A6" s="477"/>
      <c r="B6" s="481"/>
      <c r="C6" s="9"/>
      <c r="D6" s="17"/>
      <c r="E6" s="17"/>
      <c r="F6" s="477"/>
      <c r="G6" s="477"/>
      <c r="H6" s="477"/>
      <c r="I6" s="477"/>
      <c r="J6" s="477"/>
      <c r="K6" s="782"/>
      <c r="L6" s="477"/>
      <c r="M6" s="478"/>
      <c r="N6" s="477"/>
      <c r="O6" s="480"/>
    </row>
    <row r="7" spans="1:28" ht="25.5" customHeight="1">
      <c r="A7" s="477"/>
      <c r="B7" s="191"/>
      <c r="C7" s="9"/>
      <c r="D7" s="17"/>
      <c r="E7" s="17"/>
      <c r="F7" s="477"/>
      <c r="G7" s="477"/>
      <c r="H7" s="477"/>
      <c r="I7" s="477"/>
      <c r="J7" s="477"/>
      <c r="K7" s="782"/>
      <c r="L7" s="477"/>
      <c r="M7" s="478"/>
      <c r="N7" s="477"/>
      <c r="O7" s="480"/>
    </row>
    <row r="8" spans="1:28" ht="25.5" customHeight="1">
      <c r="A8" s="477"/>
      <c r="B8" s="26" t="s">
        <v>284</v>
      </c>
      <c r="C8" s="9"/>
      <c r="D8" s="26" t="s">
        <v>189</v>
      </c>
      <c r="E8" s="17"/>
      <c r="F8" s="477"/>
      <c r="G8" s="477"/>
      <c r="H8" s="477"/>
      <c r="I8" s="477"/>
      <c r="J8" s="477"/>
      <c r="K8" s="782"/>
      <c r="L8" s="477"/>
      <c r="M8" s="478"/>
      <c r="N8" s="477"/>
      <c r="O8" s="480"/>
    </row>
    <row r="9" spans="1:28" ht="25.5" customHeight="1">
      <c r="A9" s="477"/>
      <c r="B9" s="482" t="s">
        <v>285</v>
      </c>
      <c r="C9" s="9"/>
      <c r="D9" s="783"/>
      <c r="E9" s="477"/>
      <c r="F9" s="477"/>
      <c r="G9" s="477"/>
      <c r="H9" s="477"/>
      <c r="I9" s="477"/>
      <c r="J9" s="477"/>
      <c r="K9" s="782"/>
      <c r="L9" s="477"/>
      <c r="M9" s="478"/>
      <c r="N9" s="477"/>
      <c r="O9" s="480"/>
    </row>
    <row r="10" spans="1:28" ht="25.5" customHeight="1">
      <c r="A10" s="477"/>
      <c r="B10" s="784" t="s">
        <v>497</v>
      </c>
      <c r="C10" s="29"/>
      <c r="D10" s="477"/>
      <c r="E10" s="477"/>
      <c r="F10" s="477"/>
      <c r="G10" s="477"/>
      <c r="H10" s="477"/>
      <c r="I10" s="477"/>
      <c r="J10" s="477"/>
      <c r="K10" s="782"/>
      <c r="L10" s="477"/>
      <c r="M10" s="478"/>
      <c r="N10" s="477"/>
      <c r="O10" s="480"/>
    </row>
    <row r="11" spans="1:28" s="490" customFormat="1" ht="25.5" customHeight="1">
      <c r="A11" s="484"/>
      <c r="B11" s="32"/>
      <c r="C11" s="32"/>
      <c r="D11" s="1005" t="str">
        <f>"1 SEK = "&amp;NOK&amp;" NOK"</f>
        <v>1 SEK = 1 NOK</v>
      </c>
      <c r="E11" s="1005"/>
      <c r="F11" s="1005"/>
      <c r="G11" s="485"/>
      <c r="H11" s="485"/>
      <c r="I11" s="486"/>
      <c r="J11" s="484"/>
      <c r="K11" s="526"/>
      <c r="L11" s="484"/>
      <c r="M11" s="487"/>
      <c r="N11" s="484"/>
      <c r="O11" s="489"/>
    </row>
    <row r="12" spans="1:28" s="490" customFormat="1" ht="25.5" customHeight="1">
      <c r="A12" s="491"/>
      <c r="B12" s="41"/>
      <c r="C12" s="41"/>
      <c r="D12" s="42"/>
      <c r="E12" s="42"/>
      <c r="F12" s="492"/>
      <c r="G12" s="492"/>
      <c r="H12" s="492"/>
      <c r="I12" s="493"/>
      <c r="J12" s="491"/>
      <c r="K12" s="785"/>
      <c r="L12" s="491"/>
      <c r="M12" s="494"/>
      <c r="N12" s="496"/>
      <c r="O12" s="489"/>
    </row>
    <row r="13" spans="1:28" s="490" customFormat="1" ht="25.5" customHeight="1">
      <c r="B13" s="94"/>
      <c r="C13" s="38"/>
      <c r="D13" s="38"/>
      <c r="E13" s="38"/>
      <c r="G13" s="497"/>
      <c r="H13" s="497"/>
      <c r="I13" s="498"/>
      <c r="K13" s="501"/>
      <c r="M13" s="499"/>
      <c r="O13" s="489"/>
    </row>
    <row r="14" spans="1:28" s="490" customFormat="1" ht="25.5" customHeight="1">
      <c r="B14" s="94"/>
      <c r="C14" s="38"/>
      <c r="D14" s="38"/>
      <c r="E14" s="38"/>
      <c r="G14" s="497"/>
      <c r="H14" s="497"/>
      <c r="I14" s="498"/>
      <c r="K14" s="501"/>
      <c r="M14" s="499"/>
      <c r="O14" s="489"/>
    </row>
    <row r="15" spans="1:28" s="490" customFormat="1" ht="25.5" customHeight="1">
      <c r="B15" s="1006" t="s">
        <v>181</v>
      </c>
      <c r="C15" s="1006"/>
      <c r="D15" s="1006"/>
      <c r="E15" s="1006"/>
      <c r="F15" s="1006"/>
      <c r="G15" s="1006"/>
      <c r="H15" s="498"/>
      <c r="J15" s="501"/>
      <c r="K15" s="501"/>
      <c r="M15" s="499"/>
      <c r="O15" s="489"/>
      <c r="U15" s="502"/>
      <c r="Z15" s="502"/>
      <c r="AA15" s="502"/>
      <c r="AB15" s="502"/>
    </row>
    <row r="16" spans="1:28" s="490" customFormat="1" ht="25.5" customHeight="1">
      <c r="B16" s="1006"/>
      <c r="C16" s="1006"/>
      <c r="D16" s="1006"/>
      <c r="E16" s="1006"/>
      <c r="F16" s="1006"/>
      <c r="G16" s="1006"/>
      <c r="H16" s="498"/>
      <c r="J16" s="501"/>
      <c r="K16" s="501"/>
      <c r="M16" s="499"/>
      <c r="O16" s="489"/>
      <c r="U16" s="502"/>
      <c r="Z16" s="502"/>
      <c r="AA16" s="502"/>
      <c r="AB16" s="502"/>
    </row>
    <row r="17" spans="2:28" s="490" customFormat="1" ht="25.5" customHeight="1">
      <c r="B17" s="1006"/>
      <c r="C17" s="1006"/>
      <c r="D17" s="1006"/>
      <c r="E17" s="1006"/>
      <c r="F17" s="1006"/>
      <c r="G17" s="1006"/>
      <c r="H17" s="498"/>
      <c r="J17" s="501"/>
      <c r="K17" s="501"/>
      <c r="M17" s="499"/>
      <c r="O17" s="489"/>
      <c r="U17" s="502"/>
      <c r="Z17" s="502"/>
      <c r="AA17" s="502"/>
      <c r="AB17" s="502"/>
    </row>
    <row r="18" spans="2:28" s="490" customFormat="1" ht="25.5" customHeight="1">
      <c r="B18" s="55" t="s">
        <v>505</v>
      </c>
      <c r="C18" s="55"/>
      <c r="D18" s="55"/>
      <c r="E18" s="55"/>
      <c r="F18" s="786"/>
      <c r="H18" s="498"/>
      <c r="J18" s="501"/>
      <c r="K18" s="501"/>
      <c r="M18" s="499"/>
      <c r="O18" s="489"/>
      <c r="U18" s="502"/>
      <c r="V18" s="502"/>
      <c r="W18" s="502"/>
      <c r="X18" s="502"/>
      <c r="Y18" s="502"/>
      <c r="Z18" s="502"/>
      <c r="AA18" s="502"/>
      <c r="AB18" s="502"/>
    </row>
    <row r="19" spans="2:28" s="490" customFormat="1" ht="25.5" customHeight="1">
      <c r="B19" s="1007" t="s">
        <v>506</v>
      </c>
      <c r="C19" s="1007"/>
      <c r="D19" s="1007"/>
      <c r="E19" s="1007"/>
      <c r="F19" s="1007"/>
      <c r="G19" s="506"/>
      <c r="H19" s="507"/>
      <c r="I19" s="506"/>
      <c r="J19" s="508"/>
      <c r="K19" s="639"/>
      <c r="L19" s="506"/>
      <c r="M19" s="509"/>
      <c r="N19" s="506"/>
      <c r="O19" s="511"/>
      <c r="U19" s="502"/>
      <c r="V19" s="502"/>
      <c r="W19" s="502"/>
      <c r="X19" s="502"/>
      <c r="Y19" s="502"/>
      <c r="Z19" s="502"/>
      <c r="AA19" s="502"/>
      <c r="AB19" s="502"/>
    </row>
    <row r="20" spans="2:28" s="490" customFormat="1" ht="25.5" customHeight="1">
      <c r="B20" s="62" t="s">
        <v>288</v>
      </c>
      <c r="C20" s="464"/>
      <c r="D20" s="464"/>
      <c r="E20" s="464"/>
      <c r="F20" s="505"/>
      <c r="G20" s="506"/>
      <c r="H20" s="507"/>
      <c r="I20" s="506"/>
      <c r="J20" s="508"/>
      <c r="K20" s="639"/>
      <c r="L20" s="506"/>
      <c r="M20" s="509"/>
      <c r="N20" s="506"/>
      <c r="O20" s="511"/>
      <c r="U20" s="502"/>
      <c r="V20" s="502"/>
      <c r="W20" s="502"/>
      <c r="X20" s="502"/>
      <c r="Y20" s="513"/>
      <c r="Z20" s="514"/>
      <c r="AA20" s="502"/>
      <c r="AB20" s="502"/>
    </row>
    <row r="21" spans="2:28" s="490" customFormat="1" ht="25.5" customHeight="1">
      <c r="B21" s="64"/>
      <c r="C21" s="64"/>
      <c r="D21" s="64"/>
      <c r="E21" s="64"/>
      <c r="F21" s="512"/>
      <c r="G21" s="506"/>
      <c r="H21" s="507"/>
      <c r="I21" s="506"/>
      <c r="J21" s="508"/>
      <c r="K21" s="639"/>
      <c r="L21" s="506"/>
      <c r="M21" s="509"/>
      <c r="N21" s="506"/>
      <c r="O21" s="511"/>
      <c r="R21" s="474"/>
      <c r="S21" s="474"/>
      <c r="T21" s="474"/>
      <c r="U21" s="502"/>
      <c r="V21" s="502"/>
      <c r="W21" s="502"/>
      <c r="X21" s="502"/>
      <c r="Y21" s="502"/>
      <c r="Z21" s="502"/>
      <c r="AA21" s="513"/>
      <c r="AB21" s="502"/>
    </row>
    <row r="22" spans="2:28" s="490" customFormat="1" ht="25.5" customHeight="1">
      <c r="B22" s="64"/>
      <c r="C22" s="64"/>
      <c r="D22" s="64"/>
      <c r="E22" s="64"/>
      <c r="F22" s="512"/>
      <c r="G22" s="506"/>
      <c r="H22" s="507"/>
      <c r="I22" s="506"/>
      <c r="J22" s="508"/>
      <c r="K22" s="506"/>
      <c r="L22" s="509"/>
      <c r="M22" s="509"/>
      <c r="N22" s="506"/>
      <c r="O22" s="511"/>
      <c r="R22" s="474"/>
      <c r="S22" s="474"/>
      <c r="T22" s="474"/>
      <c r="U22" s="502"/>
      <c r="V22" s="502"/>
      <c r="W22" s="502"/>
      <c r="X22" s="502"/>
      <c r="Y22" s="502"/>
      <c r="Z22" s="502"/>
      <c r="AA22" s="513"/>
      <c r="AB22" s="502"/>
    </row>
    <row r="23" spans="2:28" ht="31">
      <c r="B23" s="515" t="s">
        <v>507</v>
      </c>
      <c r="C23" s="516"/>
      <c r="D23" s="516"/>
      <c r="K23" s="517"/>
      <c r="N23" s="787"/>
      <c r="O23" s="480"/>
    </row>
    <row r="24" spans="2:28" s="518" customFormat="1" ht="52">
      <c r="B24" s="78" t="s">
        <v>23</v>
      </c>
      <c r="C24" s="79" t="s">
        <v>11</v>
      </c>
      <c r="D24" s="79" t="s">
        <v>12</v>
      </c>
      <c r="E24" s="149" t="s">
        <v>508</v>
      </c>
      <c r="F24" s="519"/>
      <c r="G24" s="520" t="s">
        <v>290</v>
      </c>
      <c r="H24" s="520" t="s">
        <v>318</v>
      </c>
      <c r="I24" s="522" t="s">
        <v>509</v>
      </c>
      <c r="J24" s="519"/>
      <c r="K24" s="520" t="s">
        <v>34</v>
      </c>
      <c r="O24" s="523"/>
      <c r="Q24" s="524"/>
      <c r="R24" s="525"/>
      <c r="S24" s="525"/>
      <c r="T24" s="525"/>
      <c r="U24" s="524"/>
    </row>
    <row r="25" spans="2:28" s="502" customFormat="1" ht="25.5" customHeight="1">
      <c r="B25" s="84" t="s">
        <v>358</v>
      </c>
      <c r="C25" s="155">
        <v>1</v>
      </c>
      <c r="D25" s="155">
        <v>1</v>
      </c>
      <c r="E25" s="37">
        <v>40</v>
      </c>
      <c r="F25" s="526"/>
      <c r="G25" s="788">
        <f t="shared" ref="G25:G37" si="0">H25/720</f>
        <v>0.38750000000000001</v>
      </c>
      <c r="H25" s="789">
        <f t="shared" ref="H25:H37" si="1">C25*IAAS_vcpu_SEK+D25*IAAS_ram_SEK+E25*IAAS_ssd_SEK</f>
        <v>279</v>
      </c>
      <c r="I25" s="528"/>
      <c r="J25" s="526" t="s">
        <v>405</v>
      </c>
      <c r="K25" s="790">
        <f t="shared" ref="K25:K37" si="2">ROUNDUP(I25*H25,2)</f>
        <v>0</v>
      </c>
      <c r="N25" s="791"/>
      <c r="O25" s="530"/>
      <c r="P25" s="792"/>
      <c r="R25" s="793"/>
    </row>
    <row r="26" spans="2:28" s="502" customFormat="1" ht="25.5" customHeight="1">
      <c r="B26" s="90" t="s">
        <v>359</v>
      </c>
      <c r="C26" s="53">
        <v>1</v>
      </c>
      <c r="D26" s="53">
        <v>2</v>
      </c>
      <c r="E26" s="52">
        <v>40</v>
      </c>
      <c r="F26" s="501"/>
      <c r="G26" s="794">
        <f t="shared" si="0"/>
        <v>0.46388888888888891</v>
      </c>
      <c r="H26" s="795">
        <f t="shared" si="1"/>
        <v>334</v>
      </c>
      <c r="I26" s="528"/>
      <c r="J26" s="501" t="s">
        <v>405</v>
      </c>
      <c r="K26" s="796">
        <f t="shared" si="2"/>
        <v>0</v>
      </c>
      <c r="N26" s="791"/>
      <c r="O26" s="530"/>
      <c r="P26" s="792"/>
      <c r="Q26" s="793"/>
    </row>
    <row r="27" spans="2:28" s="502" customFormat="1" ht="25.5" customHeight="1">
      <c r="B27" s="84" t="s">
        <v>360</v>
      </c>
      <c r="C27" s="155">
        <v>2</v>
      </c>
      <c r="D27" s="155">
        <v>4</v>
      </c>
      <c r="E27" s="37">
        <v>40</v>
      </c>
      <c r="F27" s="526"/>
      <c r="G27" s="788">
        <f t="shared" si="0"/>
        <v>0.72777777777777775</v>
      </c>
      <c r="H27" s="789">
        <f t="shared" si="1"/>
        <v>524</v>
      </c>
      <c r="I27" s="528"/>
      <c r="J27" s="526" t="s">
        <v>405</v>
      </c>
      <c r="K27" s="790">
        <f t="shared" si="2"/>
        <v>0</v>
      </c>
      <c r="L27" s="533"/>
      <c r="N27" s="791"/>
      <c r="O27" s="530"/>
      <c r="P27" s="792"/>
      <c r="Q27" s="793"/>
    </row>
    <row r="28" spans="2:28" s="502" customFormat="1" ht="25.5" customHeight="1">
      <c r="B28" s="90" t="s">
        <v>361</v>
      </c>
      <c r="C28" s="53">
        <v>4</v>
      </c>
      <c r="D28" s="53">
        <v>8</v>
      </c>
      <c r="E28" s="52">
        <v>40</v>
      </c>
      <c r="F28" s="501"/>
      <c r="G28" s="794">
        <f t="shared" si="0"/>
        <v>1.2555555555555555</v>
      </c>
      <c r="H28" s="795">
        <f t="shared" si="1"/>
        <v>904</v>
      </c>
      <c r="I28" s="528"/>
      <c r="J28" s="501" t="s">
        <v>405</v>
      </c>
      <c r="K28" s="796">
        <f t="shared" si="2"/>
        <v>0</v>
      </c>
      <c r="N28" s="791"/>
      <c r="O28" s="530"/>
      <c r="P28" s="792"/>
      <c r="Q28" s="793"/>
    </row>
    <row r="29" spans="2:28" s="502" customFormat="1" ht="25.5" customHeight="1">
      <c r="B29" s="84" t="s">
        <v>362</v>
      </c>
      <c r="C29" s="155">
        <v>8</v>
      </c>
      <c r="D29" s="155">
        <v>16</v>
      </c>
      <c r="E29" s="37">
        <v>40</v>
      </c>
      <c r="F29" s="526"/>
      <c r="G29" s="788">
        <f t="shared" si="0"/>
        <v>2.3111111111111109</v>
      </c>
      <c r="H29" s="789">
        <f t="shared" si="1"/>
        <v>1664</v>
      </c>
      <c r="I29" s="528"/>
      <c r="J29" s="526" t="s">
        <v>405</v>
      </c>
      <c r="K29" s="790">
        <f t="shared" si="2"/>
        <v>0</v>
      </c>
      <c r="N29" s="791"/>
      <c r="O29" s="530"/>
      <c r="P29" s="792"/>
    </row>
    <row r="30" spans="2:28" s="502" customFormat="1" ht="25.5" customHeight="1">
      <c r="B30" s="90" t="s">
        <v>363</v>
      </c>
      <c r="C30" s="53">
        <v>16</v>
      </c>
      <c r="D30" s="53">
        <v>32</v>
      </c>
      <c r="E30" s="52">
        <v>40</v>
      </c>
      <c r="F30" s="501"/>
      <c r="G30" s="794">
        <f t="shared" si="0"/>
        <v>4.4222222222222225</v>
      </c>
      <c r="H30" s="795">
        <f t="shared" si="1"/>
        <v>3184</v>
      </c>
      <c r="I30" s="528"/>
      <c r="J30" s="501" t="s">
        <v>405</v>
      </c>
      <c r="K30" s="796">
        <f t="shared" si="2"/>
        <v>0</v>
      </c>
      <c r="N30" s="791"/>
      <c r="O30" s="530"/>
      <c r="P30" s="792"/>
    </row>
    <row r="31" spans="2:28" s="502" customFormat="1" ht="25.5" customHeight="1">
      <c r="B31" s="84" t="s">
        <v>364</v>
      </c>
      <c r="C31" s="155">
        <v>1</v>
      </c>
      <c r="D31" s="155">
        <v>4</v>
      </c>
      <c r="E31" s="37">
        <v>40</v>
      </c>
      <c r="F31" s="526"/>
      <c r="G31" s="788">
        <f t="shared" si="0"/>
        <v>0.6166666666666667</v>
      </c>
      <c r="H31" s="789">
        <f t="shared" si="1"/>
        <v>444</v>
      </c>
      <c r="I31" s="528"/>
      <c r="J31" s="526" t="s">
        <v>405</v>
      </c>
      <c r="K31" s="790">
        <f t="shared" si="2"/>
        <v>0</v>
      </c>
      <c r="N31" s="791"/>
      <c r="O31" s="530"/>
    </row>
    <row r="32" spans="2:28" s="502" customFormat="1" ht="25.5" customHeight="1">
      <c r="B32" s="90" t="s">
        <v>365</v>
      </c>
      <c r="C32" s="53">
        <v>2</v>
      </c>
      <c r="D32" s="53">
        <v>8</v>
      </c>
      <c r="E32" s="52">
        <v>40</v>
      </c>
      <c r="F32" s="501"/>
      <c r="G32" s="794">
        <f t="shared" si="0"/>
        <v>1.0333333333333334</v>
      </c>
      <c r="H32" s="795">
        <f t="shared" si="1"/>
        <v>744</v>
      </c>
      <c r="I32" s="528"/>
      <c r="J32" s="501" t="s">
        <v>405</v>
      </c>
      <c r="K32" s="796">
        <f t="shared" si="2"/>
        <v>0</v>
      </c>
      <c r="N32" s="791"/>
      <c r="O32" s="530"/>
    </row>
    <row r="33" spans="2:20" s="502" customFormat="1" ht="25.5" customHeight="1">
      <c r="B33" s="84" t="s">
        <v>366</v>
      </c>
      <c r="C33" s="155">
        <v>4</v>
      </c>
      <c r="D33" s="155">
        <v>16</v>
      </c>
      <c r="E33" s="37">
        <v>40</v>
      </c>
      <c r="F33" s="526"/>
      <c r="G33" s="788">
        <f t="shared" si="0"/>
        <v>1.8666666666666667</v>
      </c>
      <c r="H33" s="789">
        <f t="shared" si="1"/>
        <v>1344</v>
      </c>
      <c r="I33" s="528"/>
      <c r="J33" s="526" t="s">
        <v>405</v>
      </c>
      <c r="K33" s="790">
        <f t="shared" si="2"/>
        <v>0</v>
      </c>
      <c r="N33" s="791"/>
      <c r="O33" s="530"/>
    </row>
    <row r="34" spans="2:20" s="502" customFormat="1" ht="25.5" customHeight="1">
      <c r="B34" s="90" t="s">
        <v>367</v>
      </c>
      <c r="C34" s="53">
        <v>8</v>
      </c>
      <c r="D34" s="53">
        <v>32</v>
      </c>
      <c r="E34" s="52">
        <v>40</v>
      </c>
      <c r="F34" s="501"/>
      <c r="G34" s="794">
        <f t="shared" si="0"/>
        <v>3.5333333333333332</v>
      </c>
      <c r="H34" s="795">
        <f t="shared" si="1"/>
        <v>2544</v>
      </c>
      <c r="I34" s="528"/>
      <c r="J34" s="501" t="s">
        <v>405</v>
      </c>
      <c r="K34" s="796">
        <f t="shared" si="2"/>
        <v>0</v>
      </c>
      <c r="N34" s="791"/>
      <c r="O34" s="530"/>
      <c r="R34" s="513"/>
      <c r="S34" s="513"/>
      <c r="T34" s="513"/>
    </row>
    <row r="35" spans="2:20" s="502" customFormat="1" ht="25.5" customHeight="1">
      <c r="B35" s="84" t="s">
        <v>368</v>
      </c>
      <c r="C35" s="155">
        <v>16</v>
      </c>
      <c r="D35" s="155">
        <v>64</v>
      </c>
      <c r="E35" s="37">
        <v>40</v>
      </c>
      <c r="F35" s="526"/>
      <c r="G35" s="788">
        <f t="shared" si="0"/>
        <v>6.8666666666666663</v>
      </c>
      <c r="H35" s="789">
        <f t="shared" si="1"/>
        <v>4944</v>
      </c>
      <c r="I35" s="528"/>
      <c r="J35" s="526" t="s">
        <v>405</v>
      </c>
      <c r="K35" s="790">
        <f t="shared" si="2"/>
        <v>0</v>
      </c>
      <c r="O35" s="530"/>
      <c r="R35" s="513"/>
      <c r="S35" s="513"/>
      <c r="T35" s="513"/>
    </row>
    <row r="36" spans="2:20" s="502" customFormat="1" ht="25.5" customHeight="1">
      <c r="B36" s="90" t="s">
        <v>369</v>
      </c>
      <c r="C36" s="53">
        <v>32</v>
      </c>
      <c r="D36" s="53">
        <v>128</v>
      </c>
      <c r="E36" s="52">
        <v>40</v>
      </c>
      <c r="F36" s="501"/>
      <c r="G36" s="794">
        <f t="shared" si="0"/>
        <v>13.533333333333333</v>
      </c>
      <c r="H36" s="795">
        <f t="shared" si="1"/>
        <v>9744</v>
      </c>
      <c r="I36" s="528"/>
      <c r="J36" s="501" t="s">
        <v>405</v>
      </c>
      <c r="K36" s="796">
        <f t="shared" si="2"/>
        <v>0</v>
      </c>
      <c r="N36" s="791"/>
      <c r="O36" s="530"/>
      <c r="R36" s="513"/>
      <c r="S36" s="513"/>
      <c r="T36" s="513"/>
    </row>
    <row r="37" spans="2:20" s="502" customFormat="1" ht="25.5" customHeight="1">
      <c r="B37" s="84" t="s">
        <v>370</v>
      </c>
      <c r="C37" s="155">
        <v>64</v>
      </c>
      <c r="D37" s="155">
        <v>256</v>
      </c>
      <c r="E37" s="37">
        <v>40</v>
      </c>
      <c r="F37" s="526"/>
      <c r="G37" s="788">
        <f t="shared" si="0"/>
        <v>26.866666666666667</v>
      </c>
      <c r="H37" s="789">
        <f t="shared" si="1"/>
        <v>19344</v>
      </c>
      <c r="I37" s="528"/>
      <c r="J37" s="526" t="s">
        <v>405</v>
      </c>
      <c r="K37" s="790">
        <f t="shared" si="2"/>
        <v>0</v>
      </c>
      <c r="O37" s="530"/>
      <c r="R37" s="513"/>
      <c r="S37" s="513"/>
      <c r="T37" s="513"/>
    </row>
    <row r="38" spans="2:20" ht="25.5" customHeight="1">
      <c r="B38" s="534" t="s">
        <v>62</v>
      </c>
      <c r="C38" s="797">
        <f t="array" ref="C38">SUM(C25:C37*I25:I37)</f>
        <v>0</v>
      </c>
      <c r="D38" s="797">
        <f t="array" ref="D38">SUM(D25:D37*I25:I37)</f>
        <v>0</v>
      </c>
      <c r="E38" s="797">
        <f t="array" ref="E38">SUM(E25:E37*I25:I37)</f>
        <v>0</v>
      </c>
      <c r="F38" s="625"/>
      <c r="G38" s="625"/>
      <c r="H38" s="625"/>
      <c r="I38" s="625" t="str">
        <f>SUM(I25:I37)&amp;" st"</f>
        <v>0 st</v>
      </c>
      <c r="J38" s="559"/>
      <c r="K38" s="798">
        <f>SUM(K25:K35)</f>
        <v>0</v>
      </c>
      <c r="O38" s="480"/>
      <c r="R38" s="513"/>
      <c r="S38" s="513"/>
      <c r="T38" s="537"/>
    </row>
    <row r="39" spans="2:20" ht="25.5" customHeight="1">
      <c r="B39" s="103"/>
      <c r="C39" s="143"/>
      <c r="D39" s="143"/>
      <c r="E39" s="143"/>
      <c r="F39" s="538"/>
      <c r="G39" s="539"/>
      <c r="H39" s="540"/>
      <c r="I39" s="541"/>
      <c r="J39" s="542"/>
      <c r="K39" s="541"/>
      <c r="O39" s="480"/>
      <c r="R39" s="513"/>
      <c r="S39" s="513"/>
      <c r="T39" s="537"/>
    </row>
    <row r="40" spans="2:20" ht="25.5" customHeight="1">
      <c r="B40" s="103"/>
      <c r="C40" s="143"/>
      <c r="D40" s="143"/>
      <c r="E40" s="143"/>
      <c r="F40" s="538"/>
      <c r="G40" s="539"/>
      <c r="H40" s="540"/>
      <c r="I40" s="541"/>
      <c r="J40" s="542"/>
      <c r="K40" s="541"/>
      <c r="O40" s="480"/>
      <c r="R40" s="513"/>
      <c r="S40" s="513"/>
      <c r="T40" s="537"/>
    </row>
    <row r="41" spans="2:20" s="543" customFormat="1" ht="31">
      <c r="B41" s="221" t="s">
        <v>510</v>
      </c>
      <c r="C41" s="69"/>
      <c r="D41" s="69"/>
      <c r="E41" s="69"/>
      <c r="F41" s="544"/>
      <c r="G41" s="544"/>
      <c r="H41" s="545"/>
      <c r="I41" s="546"/>
      <c r="J41" s="546"/>
      <c r="K41" s="547"/>
      <c r="O41" s="548"/>
      <c r="R41" s="549"/>
      <c r="S41" s="549"/>
      <c r="T41" s="550"/>
    </row>
    <row r="42" spans="2:20" s="551" customFormat="1" ht="52">
      <c r="B42" s="78" t="s">
        <v>23</v>
      </c>
      <c r="C42" s="79" t="s">
        <v>11</v>
      </c>
      <c r="D42" s="79" t="s">
        <v>12</v>
      </c>
      <c r="E42" s="149" t="s">
        <v>508</v>
      </c>
      <c r="F42" s="519"/>
      <c r="G42" s="520" t="s">
        <v>290</v>
      </c>
      <c r="H42" s="520" t="s">
        <v>318</v>
      </c>
      <c r="I42" s="522" t="s">
        <v>509</v>
      </c>
      <c r="J42" s="519"/>
      <c r="K42" s="520" t="s">
        <v>34</v>
      </c>
      <c r="N42" s="474"/>
      <c r="O42" s="480"/>
      <c r="P42" s="474"/>
      <c r="Q42" s="474"/>
      <c r="R42" s="513"/>
      <c r="S42" s="513"/>
      <c r="T42" s="537"/>
    </row>
    <row r="43" spans="2:20" s="502" customFormat="1" ht="25.5" customHeight="1">
      <c r="B43" s="84" t="s">
        <v>372</v>
      </c>
      <c r="C43" s="85">
        <v>1</v>
      </c>
      <c r="D43" s="85">
        <v>1</v>
      </c>
      <c r="E43" s="552">
        <v>10</v>
      </c>
      <c r="F43" s="553"/>
      <c r="G43" s="799">
        <f t="shared" ref="G43:G66" si="3">H43/720</f>
        <v>0.2013888888888889</v>
      </c>
      <c r="H43" s="800">
        <f t="shared" ref="H43:H66" si="4">C43*IAAS_vcpu_SEK+D43*IAAS_ram_SEK+E43*IAAS_nvme_SEK</f>
        <v>145</v>
      </c>
      <c r="I43" s="528"/>
      <c r="J43" s="526" t="s">
        <v>405</v>
      </c>
      <c r="K43" s="790">
        <f t="shared" ref="K43:K66" si="5">ROUNDUP(I43*H43,2)</f>
        <v>0</v>
      </c>
      <c r="O43" s="530"/>
      <c r="R43" s="513"/>
      <c r="T43" s="513"/>
    </row>
    <row r="44" spans="2:20" s="502" customFormat="1" ht="25.5" customHeight="1">
      <c r="B44" s="90" t="s">
        <v>373</v>
      </c>
      <c r="C44" s="91">
        <v>1</v>
      </c>
      <c r="D44" s="91">
        <v>2</v>
      </c>
      <c r="E44" s="168">
        <v>20</v>
      </c>
      <c r="F44" s="555"/>
      <c r="G44" s="801">
        <f t="shared" si="3"/>
        <v>0.29166666666666669</v>
      </c>
      <c r="H44" s="802">
        <f t="shared" si="4"/>
        <v>210</v>
      </c>
      <c r="I44" s="528"/>
      <c r="J44" s="501" t="s">
        <v>405</v>
      </c>
      <c r="K44" s="796">
        <f t="shared" si="5"/>
        <v>0</v>
      </c>
      <c r="O44" s="530"/>
      <c r="R44" s="513"/>
      <c r="T44" s="513"/>
    </row>
    <row r="45" spans="2:20" s="502" customFormat="1" ht="25.5" customHeight="1">
      <c r="B45" s="84" t="s">
        <v>374</v>
      </c>
      <c r="C45" s="85">
        <v>2</v>
      </c>
      <c r="D45" s="85">
        <v>4</v>
      </c>
      <c r="E45" s="552">
        <v>250</v>
      </c>
      <c r="F45" s="553"/>
      <c r="G45" s="799">
        <f t="shared" si="3"/>
        <v>0.875</v>
      </c>
      <c r="H45" s="800">
        <f t="shared" si="4"/>
        <v>630</v>
      </c>
      <c r="I45" s="528"/>
      <c r="J45" s="526" t="s">
        <v>405</v>
      </c>
      <c r="K45" s="790">
        <f t="shared" si="5"/>
        <v>0</v>
      </c>
      <c r="O45" s="530"/>
      <c r="R45" s="513"/>
      <c r="T45" s="513"/>
    </row>
    <row r="46" spans="2:20" s="502" customFormat="1" ht="25.5" customHeight="1">
      <c r="B46" s="90" t="s">
        <v>375</v>
      </c>
      <c r="C46" s="91">
        <v>4</v>
      </c>
      <c r="D46" s="91">
        <v>8</v>
      </c>
      <c r="E46" s="168">
        <v>250</v>
      </c>
      <c r="F46" s="555"/>
      <c r="G46" s="801">
        <f t="shared" si="3"/>
        <v>1.4027777777777777</v>
      </c>
      <c r="H46" s="802">
        <f t="shared" si="4"/>
        <v>1010</v>
      </c>
      <c r="I46" s="528"/>
      <c r="J46" s="501" t="s">
        <v>405</v>
      </c>
      <c r="K46" s="796">
        <f t="shared" si="5"/>
        <v>0</v>
      </c>
      <c r="O46" s="530"/>
      <c r="R46" s="513"/>
      <c r="T46" s="513"/>
    </row>
    <row r="47" spans="2:20" s="502" customFormat="1" ht="25.5" customHeight="1">
      <c r="B47" s="84" t="s">
        <v>376</v>
      </c>
      <c r="C47" s="85">
        <v>8</v>
      </c>
      <c r="D47" s="85">
        <v>16</v>
      </c>
      <c r="E47" s="552">
        <v>250</v>
      </c>
      <c r="F47" s="553"/>
      <c r="G47" s="799">
        <f t="shared" si="3"/>
        <v>2.4583333333333335</v>
      </c>
      <c r="H47" s="800">
        <f t="shared" si="4"/>
        <v>1770</v>
      </c>
      <c r="I47" s="528"/>
      <c r="J47" s="526" t="s">
        <v>405</v>
      </c>
      <c r="K47" s="790">
        <f t="shared" si="5"/>
        <v>0</v>
      </c>
      <c r="O47" s="530"/>
      <c r="R47" s="513"/>
      <c r="T47" s="513"/>
    </row>
    <row r="48" spans="2:20" s="502" customFormat="1" ht="25.5" customHeight="1">
      <c r="B48" s="90" t="s">
        <v>377</v>
      </c>
      <c r="C48" s="91">
        <v>16</v>
      </c>
      <c r="D48" s="91">
        <v>32</v>
      </c>
      <c r="E48" s="168">
        <v>250</v>
      </c>
      <c r="F48" s="555"/>
      <c r="G48" s="801">
        <f t="shared" si="3"/>
        <v>4.5694444444444446</v>
      </c>
      <c r="H48" s="802">
        <f t="shared" si="4"/>
        <v>3290</v>
      </c>
      <c r="I48" s="528"/>
      <c r="J48" s="501" t="s">
        <v>405</v>
      </c>
      <c r="K48" s="796">
        <f t="shared" si="5"/>
        <v>0</v>
      </c>
      <c r="O48" s="530"/>
      <c r="R48" s="513"/>
      <c r="T48" s="513"/>
    </row>
    <row r="49" spans="2:20" s="502" customFormat="1" ht="25.5" customHeight="1">
      <c r="B49" s="84" t="s">
        <v>378</v>
      </c>
      <c r="C49" s="85">
        <v>16</v>
      </c>
      <c r="D49" s="85">
        <v>32</v>
      </c>
      <c r="E49" s="552">
        <v>500</v>
      </c>
      <c r="F49" s="553"/>
      <c r="G49" s="799">
        <f t="shared" si="3"/>
        <v>4.916666666666667</v>
      </c>
      <c r="H49" s="800">
        <f t="shared" si="4"/>
        <v>3540</v>
      </c>
      <c r="I49" s="528"/>
      <c r="J49" s="526" t="s">
        <v>405</v>
      </c>
      <c r="K49" s="790">
        <f t="shared" si="5"/>
        <v>0</v>
      </c>
      <c r="O49" s="530"/>
      <c r="R49" s="513"/>
      <c r="T49" s="513"/>
    </row>
    <row r="50" spans="2:20" s="502" customFormat="1" ht="25.5" customHeight="1">
      <c r="B50" s="90" t="s">
        <v>379</v>
      </c>
      <c r="C50" s="91">
        <v>16</v>
      </c>
      <c r="D50" s="91">
        <v>32</v>
      </c>
      <c r="E50" s="168">
        <v>1000</v>
      </c>
      <c r="F50" s="555"/>
      <c r="G50" s="801">
        <f t="shared" si="3"/>
        <v>5.6111111111111107</v>
      </c>
      <c r="H50" s="802">
        <f t="shared" si="4"/>
        <v>4040</v>
      </c>
      <c r="I50" s="528"/>
      <c r="J50" s="501" t="s">
        <v>405</v>
      </c>
      <c r="K50" s="796">
        <f t="shared" si="5"/>
        <v>0</v>
      </c>
      <c r="O50" s="530"/>
      <c r="R50" s="513"/>
      <c r="T50" s="513"/>
    </row>
    <row r="51" spans="2:20" s="502" customFormat="1" ht="25.5" customHeight="1">
      <c r="B51" s="84" t="s">
        <v>380</v>
      </c>
      <c r="C51" s="85">
        <v>32</v>
      </c>
      <c r="D51" s="85">
        <v>64</v>
      </c>
      <c r="E51" s="552">
        <v>250</v>
      </c>
      <c r="F51" s="553"/>
      <c r="G51" s="799">
        <f t="shared" si="3"/>
        <v>8.7916666666666661</v>
      </c>
      <c r="H51" s="800">
        <f t="shared" si="4"/>
        <v>6330</v>
      </c>
      <c r="I51" s="528"/>
      <c r="J51" s="526" t="s">
        <v>405</v>
      </c>
      <c r="K51" s="790">
        <f t="shared" si="5"/>
        <v>0</v>
      </c>
      <c r="O51" s="530"/>
      <c r="R51" s="513"/>
      <c r="T51" s="513"/>
    </row>
    <row r="52" spans="2:20" s="502" customFormat="1" ht="25.5" customHeight="1">
      <c r="B52" s="90" t="s">
        <v>381</v>
      </c>
      <c r="C52" s="91">
        <v>32</v>
      </c>
      <c r="D52" s="91">
        <v>64</v>
      </c>
      <c r="E52" s="168">
        <v>500</v>
      </c>
      <c r="F52" s="555"/>
      <c r="G52" s="801">
        <f t="shared" si="3"/>
        <v>9.1388888888888893</v>
      </c>
      <c r="H52" s="802">
        <f t="shared" si="4"/>
        <v>6580</v>
      </c>
      <c r="I52" s="528"/>
      <c r="J52" s="501" t="s">
        <v>405</v>
      </c>
      <c r="K52" s="796">
        <f t="shared" si="5"/>
        <v>0</v>
      </c>
      <c r="O52" s="530"/>
      <c r="R52" s="513"/>
      <c r="T52" s="513"/>
    </row>
    <row r="53" spans="2:20" s="502" customFormat="1" ht="25.5" customHeight="1">
      <c r="B53" s="84" t="s">
        <v>382</v>
      </c>
      <c r="C53" s="85">
        <v>32</v>
      </c>
      <c r="D53" s="85">
        <v>64</v>
      </c>
      <c r="E53" s="552">
        <v>1000</v>
      </c>
      <c r="F53" s="553"/>
      <c r="G53" s="799">
        <f t="shared" si="3"/>
        <v>9.8333333333333339</v>
      </c>
      <c r="H53" s="800">
        <f t="shared" si="4"/>
        <v>7080</v>
      </c>
      <c r="I53" s="528"/>
      <c r="J53" s="526" t="s">
        <v>405</v>
      </c>
      <c r="K53" s="790">
        <f t="shared" si="5"/>
        <v>0</v>
      </c>
      <c r="O53" s="530"/>
      <c r="R53" s="513"/>
      <c r="T53" s="513"/>
    </row>
    <row r="54" spans="2:20" s="502" customFormat="1" ht="25.5" customHeight="1">
      <c r="B54" s="90" t="s">
        <v>383</v>
      </c>
      <c r="C54" s="91">
        <v>1</v>
      </c>
      <c r="D54" s="91">
        <v>4</v>
      </c>
      <c r="E54" s="168">
        <v>20</v>
      </c>
      <c r="F54" s="555"/>
      <c r="G54" s="801">
        <f t="shared" si="3"/>
        <v>0.44444444444444442</v>
      </c>
      <c r="H54" s="802">
        <f t="shared" si="4"/>
        <v>320</v>
      </c>
      <c r="I54" s="528"/>
      <c r="J54" s="501" t="s">
        <v>405</v>
      </c>
      <c r="K54" s="796">
        <f t="shared" si="5"/>
        <v>0</v>
      </c>
      <c r="O54" s="530"/>
      <c r="R54" s="513"/>
      <c r="T54" s="513"/>
    </row>
    <row r="55" spans="2:20" s="502" customFormat="1" ht="25.5" customHeight="1">
      <c r="B55" s="84" t="s">
        <v>384</v>
      </c>
      <c r="C55" s="85">
        <v>2</v>
      </c>
      <c r="D55" s="85">
        <v>8</v>
      </c>
      <c r="E55" s="552">
        <v>250</v>
      </c>
      <c r="F55" s="553"/>
      <c r="G55" s="799">
        <f t="shared" si="3"/>
        <v>1.1805555555555556</v>
      </c>
      <c r="H55" s="800">
        <f t="shared" si="4"/>
        <v>850</v>
      </c>
      <c r="I55" s="528"/>
      <c r="J55" s="526" t="s">
        <v>405</v>
      </c>
      <c r="K55" s="790">
        <f t="shared" si="5"/>
        <v>0</v>
      </c>
      <c r="O55" s="530"/>
      <c r="R55" s="513"/>
      <c r="T55" s="513"/>
    </row>
    <row r="56" spans="2:20" s="502" customFormat="1" ht="25.5" customHeight="1">
      <c r="B56" s="90" t="s">
        <v>385</v>
      </c>
      <c r="C56" s="91">
        <v>4</v>
      </c>
      <c r="D56" s="91">
        <v>16</v>
      </c>
      <c r="E56" s="168">
        <v>250</v>
      </c>
      <c r="F56" s="555"/>
      <c r="G56" s="801">
        <f t="shared" si="3"/>
        <v>2.0138888888888888</v>
      </c>
      <c r="H56" s="802">
        <f t="shared" si="4"/>
        <v>1450</v>
      </c>
      <c r="I56" s="528"/>
      <c r="J56" s="501" t="s">
        <v>405</v>
      </c>
      <c r="K56" s="796">
        <f t="shared" si="5"/>
        <v>0</v>
      </c>
      <c r="O56" s="530"/>
      <c r="R56" s="513"/>
      <c r="T56" s="513"/>
    </row>
    <row r="57" spans="2:20" s="502" customFormat="1" ht="25.5" customHeight="1">
      <c r="B57" s="84" t="s">
        <v>386</v>
      </c>
      <c r="C57" s="85">
        <v>8</v>
      </c>
      <c r="D57" s="85">
        <v>32</v>
      </c>
      <c r="E57" s="552">
        <v>250</v>
      </c>
      <c r="F57" s="553"/>
      <c r="G57" s="799">
        <f t="shared" si="3"/>
        <v>3.6805555555555554</v>
      </c>
      <c r="H57" s="800">
        <f t="shared" si="4"/>
        <v>2650</v>
      </c>
      <c r="I57" s="528"/>
      <c r="J57" s="526" t="s">
        <v>405</v>
      </c>
      <c r="K57" s="790">
        <f t="shared" si="5"/>
        <v>0</v>
      </c>
      <c r="O57" s="530"/>
      <c r="R57" s="513"/>
      <c r="T57" s="513"/>
    </row>
    <row r="58" spans="2:20" s="502" customFormat="1" ht="25.5" customHeight="1">
      <c r="B58" s="90" t="s">
        <v>387</v>
      </c>
      <c r="C58" s="91">
        <v>8</v>
      </c>
      <c r="D58" s="91">
        <v>32</v>
      </c>
      <c r="E58" s="168">
        <v>500</v>
      </c>
      <c r="F58" s="555"/>
      <c r="G58" s="801">
        <f t="shared" si="3"/>
        <v>4.0277777777777777</v>
      </c>
      <c r="H58" s="802">
        <f t="shared" si="4"/>
        <v>2900</v>
      </c>
      <c r="I58" s="528"/>
      <c r="J58" s="501" t="s">
        <v>405</v>
      </c>
      <c r="K58" s="796">
        <f t="shared" si="5"/>
        <v>0</v>
      </c>
      <c r="O58" s="530"/>
      <c r="R58" s="513"/>
      <c r="T58" s="513"/>
    </row>
    <row r="59" spans="2:20" s="502" customFormat="1" ht="25.5" customHeight="1">
      <c r="B59" s="84" t="s">
        <v>388</v>
      </c>
      <c r="C59" s="85">
        <v>8</v>
      </c>
      <c r="D59" s="85">
        <v>32</v>
      </c>
      <c r="E59" s="552">
        <v>1000</v>
      </c>
      <c r="F59" s="553"/>
      <c r="G59" s="799">
        <f t="shared" si="3"/>
        <v>4.7222222222222223</v>
      </c>
      <c r="H59" s="800">
        <f t="shared" si="4"/>
        <v>3400</v>
      </c>
      <c r="I59" s="528"/>
      <c r="J59" s="526" t="s">
        <v>405</v>
      </c>
      <c r="K59" s="790">
        <f t="shared" si="5"/>
        <v>0</v>
      </c>
      <c r="O59" s="530"/>
      <c r="R59" s="513"/>
      <c r="T59" s="513"/>
    </row>
    <row r="60" spans="2:20" s="502" customFormat="1" ht="25.5" customHeight="1">
      <c r="B60" s="90" t="s">
        <v>389</v>
      </c>
      <c r="C60" s="91">
        <v>16</v>
      </c>
      <c r="D60" s="91">
        <v>64</v>
      </c>
      <c r="E60" s="168">
        <v>250</v>
      </c>
      <c r="F60" s="555"/>
      <c r="G60" s="801">
        <f t="shared" si="3"/>
        <v>7.0138888888888893</v>
      </c>
      <c r="H60" s="802">
        <f t="shared" si="4"/>
        <v>5050</v>
      </c>
      <c r="I60" s="528"/>
      <c r="J60" s="501" t="s">
        <v>405</v>
      </c>
      <c r="K60" s="796">
        <f t="shared" si="5"/>
        <v>0</v>
      </c>
      <c r="O60" s="530"/>
      <c r="R60" s="513"/>
      <c r="T60" s="513"/>
    </row>
    <row r="61" spans="2:20" s="502" customFormat="1" ht="25.5" customHeight="1">
      <c r="B61" s="84" t="s">
        <v>390</v>
      </c>
      <c r="C61" s="85">
        <v>16</v>
      </c>
      <c r="D61" s="85">
        <v>64</v>
      </c>
      <c r="E61" s="552">
        <v>500</v>
      </c>
      <c r="F61" s="553"/>
      <c r="G61" s="799">
        <f t="shared" si="3"/>
        <v>7.3611111111111107</v>
      </c>
      <c r="H61" s="800">
        <f t="shared" si="4"/>
        <v>5300</v>
      </c>
      <c r="I61" s="528"/>
      <c r="J61" s="526" t="s">
        <v>405</v>
      </c>
      <c r="K61" s="790">
        <f t="shared" si="5"/>
        <v>0</v>
      </c>
      <c r="O61" s="530"/>
      <c r="R61" s="513"/>
      <c r="T61" s="513"/>
    </row>
    <row r="62" spans="2:20" s="502" customFormat="1" ht="25.5" customHeight="1">
      <c r="B62" s="90" t="s">
        <v>391</v>
      </c>
      <c r="C62" s="91">
        <v>16</v>
      </c>
      <c r="D62" s="91">
        <v>64</v>
      </c>
      <c r="E62" s="168">
        <v>1000</v>
      </c>
      <c r="F62" s="555"/>
      <c r="G62" s="801">
        <f t="shared" si="3"/>
        <v>8.0555555555555554</v>
      </c>
      <c r="H62" s="802">
        <f t="shared" si="4"/>
        <v>5800</v>
      </c>
      <c r="I62" s="528"/>
      <c r="J62" s="501" t="s">
        <v>405</v>
      </c>
      <c r="K62" s="796">
        <f t="shared" si="5"/>
        <v>0</v>
      </c>
      <c r="O62" s="530"/>
      <c r="R62" s="513"/>
      <c r="T62" s="513"/>
    </row>
    <row r="63" spans="2:20" s="502" customFormat="1" ht="25.5" customHeight="1">
      <c r="B63" s="84" t="s">
        <v>392</v>
      </c>
      <c r="C63" s="85">
        <v>32</v>
      </c>
      <c r="D63" s="85">
        <v>128</v>
      </c>
      <c r="E63" s="552">
        <v>250</v>
      </c>
      <c r="F63" s="553"/>
      <c r="G63" s="799">
        <f t="shared" si="3"/>
        <v>13.680555555555555</v>
      </c>
      <c r="H63" s="800">
        <f t="shared" si="4"/>
        <v>9850</v>
      </c>
      <c r="I63" s="528"/>
      <c r="J63" s="526" t="s">
        <v>405</v>
      </c>
      <c r="K63" s="790">
        <f t="shared" si="5"/>
        <v>0</v>
      </c>
      <c r="O63" s="530"/>
      <c r="R63" s="513"/>
      <c r="T63" s="513"/>
    </row>
    <row r="64" spans="2:20" s="502" customFormat="1" ht="25.5" customHeight="1">
      <c r="B64" s="90" t="s">
        <v>393</v>
      </c>
      <c r="C64" s="91">
        <v>32</v>
      </c>
      <c r="D64" s="91">
        <v>128</v>
      </c>
      <c r="E64" s="168">
        <v>500</v>
      </c>
      <c r="F64" s="555"/>
      <c r="G64" s="801">
        <f t="shared" si="3"/>
        <v>14.027777777777779</v>
      </c>
      <c r="H64" s="802">
        <f t="shared" si="4"/>
        <v>10100</v>
      </c>
      <c r="I64" s="528"/>
      <c r="J64" s="501" t="s">
        <v>405</v>
      </c>
      <c r="K64" s="796">
        <f t="shared" si="5"/>
        <v>0</v>
      </c>
      <c r="O64" s="530"/>
      <c r="R64" s="513"/>
      <c r="T64" s="513"/>
    </row>
    <row r="65" spans="2:23" s="502" customFormat="1" ht="25.5" customHeight="1">
      <c r="B65" s="84" t="s">
        <v>394</v>
      </c>
      <c r="C65" s="85">
        <v>32</v>
      </c>
      <c r="D65" s="85">
        <v>128</v>
      </c>
      <c r="E65" s="552">
        <v>1000</v>
      </c>
      <c r="F65" s="553"/>
      <c r="G65" s="799">
        <f t="shared" si="3"/>
        <v>14.722222222222221</v>
      </c>
      <c r="H65" s="800">
        <f t="shared" si="4"/>
        <v>10600</v>
      </c>
      <c r="I65" s="528"/>
      <c r="J65" s="526" t="s">
        <v>405</v>
      </c>
      <c r="K65" s="790">
        <f t="shared" si="5"/>
        <v>0</v>
      </c>
      <c r="O65" s="530"/>
      <c r="R65" s="513"/>
      <c r="T65" s="513"/>
    </row>
    <row r="66" spans="2:23" s="502" customFormat="1" ht="25.5" customHeight="1">
      <c r="B66" s="90" t="s">
        <v>395</v>
      </c>
      <c r="C66" s="91">
        <v>64</v>
      </c>
      <c r="D66" s="91">
        <v>256</v>
      </c>
      <c r="E66" s="168">
        <v>1000</v>
      </c>
      <c r="F66" s="555"/>
      <c r="G66" s="801">
        <f t="shared" si="3"/>
        <v>28.055555555555557</v>
      </c>
      <c r="H66" s="802">
        <f t="shared" si="4"/>
        <v>20200</v>
      </c>
      <c r="I66" s="528"/>
      <c r="J66" s="501" t="s">
        <v>405</v>
      </c>
      <c r="K66" s="796">
        <f t="shared" si="5"/>
        <v>0</v>
      </c>
      <c r="O66" s="530"/>
      <c r="R66" s="513"/>
      <c r="T66" s="513"/>
    </row>
    <row r="67" spans="2:23" s="502" customFormat="1" ht="24.75" customHeight="1">
      <c r="B67" s="534" t="s">
        <v>62</v>
      </c>
      <c r="C67" s="557">
        <f t="array" ref="C67">SUM(C43:C66*I43:I66)</f>
        <v>0</v>
      </c>
      <c r="D67" s="557">
        <f t="array" ref="D67">SUM(D43:D66*I43:I66)</f>
        <v>0</v>
      </c>
      <c r="E67" s="558">
        <f t="array" ref="E67">SUM(E43:E66*I43:I66)</f>
        <v>0</v>
      </c>
      <c r="F67" s="557"/>
      <c r="G67" s="557"/>
      <c r="H67" s="557"/>
      <c r="I67" s="557" t="str">
        <f>SUM(I43:I66)&amp;" st"</f>
        <v>0 st</v>
      </c>
      <c r="J67" s="559"/>
      <c r="K67" s="798">
        <f>SUM(K43:K65)</f>
        <v>0</v>
      </c>
      <c r="O67" s="530"/>
      <c r="R67" s="513"/>
      <c r="T67" s="513"/>
    </row>
    <row r="68" spans="2:23" ht="25.5" customHeight="1">
      <c r="B68" s="112"/>
      <c r="C68" s="113"/>
      <c r="D68" s="113"/>
      <c r="E68" s="113"/>
      <c r="F68" s="561"/>
      <c r="G68" s="562"/>
      <c r="H68" s="563"/>
      <c r="I68" s="563"/>
      <c r="J68" s="561"/>
      <c r="K68" s="564"/>
      <c r="N68" s="502"/>
      <c r="O68" s="480"/>
      <c r="R68" s="513"/>
      <c r="S68" s="513"/>
      <c r="T68" s="537"/>
    </row>
    <row r="69" spans="2:23" ht="25.5" customHeight="1">
      <c r="B69" s="112"/>
      <c r="C69" s="113"/>
      <c r="D69" s="113"/>
      <c r="E69" s="113"/>
      <c r="F69" s="561"/>
      <c r="G69" s="562"/>
      <c r="H69" s="563"/>
      <c r="I69" s="563"/>
      <c r="J69" s="563"/>
      <c r="K69" s="561"/>
      <c r="L69" s="564"/>
      <c r="M69" s="564"/>
      <c r="O69" s="480"/>
      <c r="P69" s="502"/>
      <c r="T69" s="513"/>
      <c r="U69" s="513"/>
      <c r="V69" s="537"/>
    </row>
    <row r="70" spans="2:23" ht="25.5" hidden="1" customHeight="1">
      <c r="B70" s="566" t="s">
        <v>511</v>
      </c>
      <c r="C70" s="567"/>
      <c r="D70" s="567"/>
      <c r="E70" s="567"/>
      <c r="F70" s="567"/>
      <c r="G70" s="567"/>
      <c r="H70" s="568"/>
      <c r="I70" s="475"/>
      <c r="J70" s="475"/>
      <c r="L70" s="569"/>
      <c r="M70" s="569"/>
      <c r="O70" s="480"/>
      <c r="T70" s="513"/>
      <c r="U70" s="513"/>
      <c r="V70" s="537"/>
    </row>
    <row r="71" spans="2:23" s="571" customFormat="1" ht="52" hidden="1">
      <c r="B71" s="78" t="s">
        <v>23</v>
      </c>
      <c r="C71" s="79" t="s">
        <v>28</v>
      </c>
      <c r="D71" s="79" t="s">
        <v>12</v>
      </c>
      <c r="E71" s="148" t="s">
        <v>29</v>
      </c>
      <c r="F71" s="519" t="s">
        <v>30</v>
      </c>
      <c r="G71" s="520" t="s">
        <v>290</v>
      </c>
      <c r="H71" s="520" t="s">
        <v>318</v>
      </c>
      <c r="I71" s="522" t="s">
        <v>509</v>
      </c>
      <c r="J71" s="522" t="s">
        <v>512</v>
      </c>
      <c r="K71" s="519"/>
      <c r="L71" s="520" t="s">
        <v>34</v>
      </c>
      <c r="M71" s="520" t="s">
        <v>513</v>
      </c>
      <c r="N71" s="573"/>
      <c r="O71" s="574"/>
      <c r="P71" s="573"/>
      <c r="Q71" s="573"/>
      <c r="U71" s="575"/>
      <c r="V71" s="575"/>
      <c r="W71" s="576"/>
    </row>
    <row r="72" spans="2:23" s="502" customFormat="1" ht="25.5" hidden="1" customHeight="1">
      <c r="B72" s="84" t="s">
        <v>399</v>
      </c>
      <c r="C72" s="85">
        <v>4</v>
      </c>
      <c r="D72" s="85">
        <v>16</v>
      </c>
      <c r="E72" s="86">
        <v>250</v>
      </c>
      <c r="F72" s="553">
        <v>1</v>
      </c>
      <c r="G72" s="803">
        <f>H72/720</f>
        <v>9.6527777777777786</v>
      </c>
      <c r="H72" s="804">
        <f>C72*IAAS_vcpu_SEK+D72*IAAS_ram_SEK+E72*IAAS_nvme_SEK+F72*IAAS_gpu_SEK</f>
        <v>6950</v>
      </c>
      <c r="I72" s="528"/>
      <c r="J72" s="528"/>
      <c r="K72" s="526" t="str">
        <f>J63</f>
        <v>Instanser</v>
      </c>
      <c r="L72" s="790">
        <f>ROUNDUP(I72*H72,2)</f>
        <v>0</v>
      </c>
      <c r="M72" s="790">
        <f>J72*C72*SW_win.ser.201X_SEK</f>
        <v>0</v>
      </c>
      <c r="O72" s="530"/>
      <c r="T72" s="513"/>
      <c r="V72" s="513"/>
    </row>
    <row r="73" spans="2:23" s="502" customFormat="1" ht="25.5" hidden="1" customHeight="1">
      <c r="B73" s="90" t="s">
        <v>400</v>
      </c>
      <c r="C73" s="91">
        <v>8</v>
      </c>
      <c r="D73" s="91">
        <v>32</v>
      </c>
      <c r="E73" s="92">
        <v>500</v>
      </c>
      <c r="F73" s="555">
        <v>2</v>
      </c>
      <c r="G73" s="805">
        <f>H73/720</f>
        <v>19.305555555555557</v>
      </c>
      <c r="H73" s="806">
        <f>C73*IAAS_vcpu_SEK+D73*IAAS_ram_SEK+E73*IAAS_nvme_SEK+F73*IAAS_gpu_SEK</f>
        <v>13900</v>
      </c>
      <c r="I73" s="528"/>
      <c r="J73" s="528"/>
      <c r="K73" s="501" t="s">
        <v>405</v>
      </c>
      <c r="L73" s="796">
        <f>ROUNDUP(I73*H73,2)</f>
        <v>0</v>
      </c>
      <c r="M73" s="796">
        <f>J73*C73*SW_win.ser.201X_SEK</f>
        <v>0</v>
      </c>
      <c r="O73" s="530"/>
      <c r="T73" s="513"/>
      <c r="V73" s="513"/>
    </row>
    <row r="74" spans="2:23" s="502" customFormat="1" ht="25.5" hidden="1" customHeight="1">
      <c r="B74" s="84" t="s">
        <v>401</v>
      </c>
      <c r="C74" s="85">
        <v>16</v>
      </c>
      <c r="D74" s="85">
        <v>64</v>
      </c>
      <c r="E74" s="86">
        <v>1000</v>
      </c>
      <c r="F74" s="553">
        <v>4</v>
      </c>
      <c r="G74" s="803">
        <f>H74/720</f>
        <v>38.611111111111114</v>
      </c>
      <c r="H74" s="804">
        <f>C74*IAAS_vcpu_SEK+D74*IAAS_ram_SEK+E74*IAAS_nvme_SEK+F74*IAAS_gpu_SEK</f>
        <v>27800</v>
      </c>
      <c r="I74" s="528"/>
      <c r="J74" s="528"/>
      <c r="K74" s="526" t="str">
        <f>J65</f>
        <v>Instanser</v>
      </c>
      <c r="L74" s="790">
        <f>ROUNDUP(I74*H74,2)</f>
        <v>0</v>
      </c>
      <c r="M74" s="790">
        <f>J74*C74*SW_win.ser.201X_SEK</f>
        <v>0</v>
      </c>
      <c r="O74" s="530"/>
      <c r="T74" s="513"/>
      <c r="V74" s="513"/>
    </row>
    <row r="75" spans="2:23" s="502" customFormat="1" ht="25.5" hidden="1" customHeight="1">
      <c r="B75" s="90" t="s">
        <v>402</v>
      </c>
      <c r="C75" s="91">
        <v>32</v>
      </c>
      <c r="D75" s="91">
        <v>128</v>
      </c>
      <c r="E75" s="92">
        <v>1000</v>
      </c>
      <c r="F75" s="555">
        <v>6</v>
      </c>
      <c r="G75" s="805">
        <f>H75/720</f>
        <v>60.555555555555557</v>
      </c>
      <c r="H75" s="806">
        <f>C75*IAAS_vcpu_SEK+D75*IAAS_ram_SEK+E75*IAAS_nvme_SEK+F75*IAAS_gpu_SEK</f>
        <v>43600</v>
      </c>
      <c r="I75" s="528"/>
      <c r="J75" s="528"/>
      <c r="K75" s="501" t="s">
        <v>405</v>
      </c>
      <c r="L75" s="796">
        <f>ROUNDUP(I75*H75,2)</f>
        <v>0</v>
      </c>
      <c r="M75" s="796">
        <f>J75*C75*SW_win.ser.201X_SEK</f>
        <v>0</v>
      </c>
      <c r="O75" s="530"/>
      <c r="T75" s="513"/>
      <c r="V75" s="513"/>
    </row>
    <row r="76" spans="2:23" s="579" customFormat="1" ht="25.5" hidden="1" customHeight="1">
      <c r="B76" s="534" t="s">
        <v>62</v>
      </c>
      <c r="C76" s="580"/>
      <c r="D76" s="580"/>
      <c r="E76" s="580"/>
      <c r="F76" s="581"/>
      <c r="G76" s="582"/>
      <c r="H76" s="583"/>
      <c r="I76" s="557" t="str">
        <f>SUM(I72:I75)&amp;" st"</f>
        <v>0 st</v>
      </c>
      <c r="J76" s="557" t="str">
        <f>SUM(J72:J75)&amp;" st"</f>
        <v>0 st</v>
      </c>
      <c r="K76" s="559"/>
      <c r="L76" s="798">
        <f>SUM(L72:L75)</f>
        <v>0</v>
      </c>
      <c r="M76" s="807">
        <f>SUM(M72:M75)</f>
        <v>0</v>
      </c>
      <c r="N76" s="585"/>
      <c r="O76" s="586"/>
      <c r="P76" s="587"/>
      <c r="Q76" s="587"/>
      <c r="R76" s="587"/>
      <c r="S76" s="587"/>
      <c r="T76" s="588"/>
      <c r="U76" s="587"/>
      <c r="V76" s="589"/>
    </row>
    <row r="77" spans="2:23" s="502" customFormat="1" ht="25.5" hidden="1" customHeight="1">
      <c r="B77" s="103"/>
      <c r="C77" s="160"/>
      <c r="D77" s="160"/>
      <c r="E77" s="143"/>
      <c r="F77" s="590"/>
      <c r="G77" s="590"/>
      <c r="H77" s="514"/>
      <c r="I77" s="514"/>
      <c r="J77" s="514"/>
      <c r="K77" s="514"/>
      <c r="L77" s="591"/>
      <c r="M77" s="591"/>
      <c r="O77" s="530"/>
      <c r="T77" s="513"/>
      <c r="V77" s="513"/>
    </row>
    <row r="78" spans="2:23" s="502" customFormat="1" ht="25.5" hidden="1" customHeight="1">
      <c r="B78" s="103"/>
      <c r="C78" s="160"/>
      <c r="D78" s="160"/>
      <c r="E78" s="143"/>
      <c r="F78" s="590"/>
      <c r="G78" s="590"/>
      <c r="H78" s="514"/>
      <c r="I78" s="514"/>
      <c r="J78" s="514"/>
      <c r="K78" s="514"/>
      <c r="L78" s="591"/>
      <c r="M78" s="591"/>
      <c r="O78" s="530"/>
      <c r="T78" s="513"/>
      <c r="V78" s="513"/>
    </row>
    <row r="79" spans="2:23" s="543" customFormat="1" ht="31" hidden="1">
      <c r="B79" s="221" t="s">
        <v>514</v>
      </c>
      <c r="C79" s="163"/>
      <c r="D79" s="163"/>
      <c r="E79" s="163"/>
      <c r="F79" s="593"/>
      <c r="G79" s="593"/>
      <c r="H79" s="514"/>
      <c r="I79" s="514"/>
      <c r="J79" s="514"/>
      <c r="K79" s="514"/>
      <c r="L79" s="591"/>
      <c r="M79" s="591"/>
      <c r="O79" s="548"/>
      <c r="P79" s="514"/>
      <c r="Q79" s="514"/>
      <c r="R79" s="514"/>
      <c r="S79" s="514"/>
      <c r="T79" s="549"/>
      <c r="U79" s="514"/>
      <c r="V79" s="550"/>
    </row>
    <row r="80" spans="2:23" s="571" customFormat="1" ht="52" hidden="1">
      <c r="B80" s="78" t="s">
        <v>23</v>
      </c>
      <c r="C80" s="79" t="s">
        <v>28</v>
      </c>
      <c r="D80" s="79" t="s">
        <v>12</v>
      </c>
      <c r="E80" s="149" t="s">
        <v>29</v>
      </c>
      <c r="F80" s="808"/>
      <c r="G80" s="520" t="s">
        <v>290</v>
      </c>
      <c r="H80" s="520" t="s">
        <v>318</v>
      </c>
      <c r="I80" s="522" t="s">
        <v>509</v>
      </c>
      <c r="J80" s="522" t="s">
        <v>512</v>
      </c>
      <c r="K80" s="519"/>
      <c r="L80" s="520" t="s">
        <v>34</v>
      </c>
      <c r="M80" s="520" t="s">
        <v>513</v>
      </c>
      <c r="N80" s="573"/>
      <c r="O80" s="574"/>
      <c r="P80" s="573"/>
      <c r="Q80" s="573"/>
      <c r="U80" s="575"/>
      <c r="V80" s="575"/>
      <c r="W80" s="576"/>
    </row>
    <row r="81" spans="2:23" s="502" customFormat="1" ht="25.5" hidden="1" customHeight="1">
      <c r="B81" s="594" t="s">
        <v>404</v>
      </c>
      <c r="C81" s="164">
        <v>16</v>
      </c>
      <c r="D81" s="164">
        <v>128</v>
      </c>
      <c r="E81" s="165">
        <v>3800</v>
      </c>
      <c r="F81" s="595"/>
      <c r="G81" s="799">
        <f>H81/720</f>
        <v>9.5</v>
      </c>
      <c r="H81" s="800">
        <f>INSTANCE_p1.2xlarge.16d_SEK</f>
        <v>6840</v>
      </c>
      <c r="I81" s="528"/>
      <c r="J81" s="528"/>
      <c r="K81" s="526" t="s">
        <v>405</v>
      </c>
      <c r="L81" s="790">
        <f>ROUNDUP(I81*H81,2)</f>
        <v>0</v>
      </c>
      <c r="M81" s="790">
        <f>J81*C81*SW_win.ser.201X_SEK</f>
        <v>0</v>
      </c>
      <c r="N81" s="514"/>
      <c r="O81" s="530"/>
    </row>
    <row r="82" spans="2:23" s="502" customFormat="1" ht="25.5" hidden="1" customHeight="1">
      <c r="B82" s="596" t="s">
        <v>406</v>
      </c>
      <c r="C82" s="167">
        <v>32</v>
      </c>
      <c r="D82" s="167">
        <v>256</v>
      </c>
      <c r="E82" s="168">
        <v>3800</v>
      </c>
      <c r="F82" s="597"/>
      <c r="G82" s="801">
        <f>H82/720</f>
        <v>19</v>
      </c>
      <c r="H82" s="802">
        <f>INSTANCE_p1.4xlarge.16d_SEK</f>
        <v>13680</v>
      </c>
      <c r="I82" s="528"/>
      <c r="J82" s="528"/>
      <c r="K82" s="501" t="str">
        <f>K81</f>
        <v>Instanser</v>
      </c>
      <c r="L82" s="796">
        <f>ROUNDUP(I82*H82,2)</f>
        <v>0</v>
      </c>
      <c r="M82" s="796">
        <f>J82*C82*SW_win.ser.201X_SEK</f>
        <v>0</v>
      </c>
      <c r="N82" s="514"/>
      <c r="O82" s="530"/>
      <c r="W82" s="513"/>
    </row>
    <row r="83" spans="2:23" s="587" customFormat="1" ht="25.5" hidden="1" customHeight="1">
      <c r="B83" s="224" t="s">
        <v>407</v>
      </c>
      <c r="C83" s="172">
        <v>64</v>
      </c>
      <c r="D83" s="172">
        <v>512</v>
      </c>
      <c r="E83" s="173">
        <v>7600</v>
      </c>
      <c r="F83" s="598"/>
      <c r="G83" s="809">
        <f>H83/720</f>
        <v>38</v>
      </c>
      <c r="H83" s="810">
        <f>INSTANCE_p1.8xlarge.32d_SEK</f>
        <v>27360</v>
      </c>
      <c r="I83" s="528"/>
      <c r="J83" s="528"/>
      <c r="K83" s="526" t="s">
        <v>405</v>
      </c>
      <c r="L83" s="790">
        <f>ROUNDUP(I83*H83,2)</f>
        <v>0</v>
      </c>
      <c r="M83" s="790">
        <f>J83*C83*SW_win.ser.201X_SEK</f>
        <v>0</v>
      </c>
      <c r="N83" s="601"/>
      <c r="O83" s="602"/>
    </row>
    <row r="84" spans="2:23" ht="25.5" hidden="1" customHeight="1">
      <c r="B84" s="103" t="s">
        <v>62</v>
      </c>
      <c r="C84" s="143"/>
      <c r="D84" s="143"/>
      <c r="E84" s="143"/>
      <c r="F84" s="587"/>
      <c r="G84" s="587"/>
      <c r="H84" s="587"/>
      <c r="I84" s="557" t="str">
        <f>SUM(I81:I83)&amp;" st"</f>
        <v>0 st</v>
      </c>
      <c r="J84" s="557" t="str">
        <f>SUM(J81:J83)&amp;" st"</f>
        <v>0 st</v>
      </c>
      <c r="K84" s="559"/>
      <c r="L84" s="798">
        <f>SUM(L81:L83)</f>
        <v>0</v>
      </c>
      <c r="M84" s="807">
        <f>SUM(M81:M83)</f>
        <v>0</v>
      </c>
      <c r="O84" s="480"/>
    </row>
    <row r="85" spans="2:23" ht="25.5" hidden="1" customHeight="1">
      <c r="B85" s="175"/>
      <c r="C85" s="176"/>
      <c r="D85" s="176"/>
      <c r="E85" s="176"/>
      <c r="F85" s="603"/>
      <c r="G85" s="603"/>
      <c r="H85" s="587"/>
      <c r="I85" s="604"/>
      <c r="J85" s="604"/>
      <c r="K85" s="542"/>
      <c r="L85" s="541"/>
      <c r="M85" s="585"/>
      <c r="O85" s="480"/>
    </row>
    <row r="86" spans="2:23" s="502" customFormat="1" ht="25.5" hidden="1" customHeight="1">
      <c r="B86" s="177"/>
      <c r="C86" s="160"/>
      <c r="D86" s="160"/>
      <c r="E86" s="160"/>
      <c r="F86" s="590"/>
      <c r="G86" s="590"/>
      <c r="H86" s="514"/>
      <c r="I86" s="514"/>
      <c r="J86" s="514"/>
      <c r="K86" s="514"/>
      <c r="L86" s="591"/>
      <c r="M86" s="591"/>
      <c r="O86" s="530"/>
      <c r="T86" s="513"/>
      <c r="V86" s="513"/>
    </row>
    <row r="87" spans="2:23" ht="25.5" customHeight="1">
      <c r="B87" s="221" t="s">
        <v>515</v>
      </c>
      <c r="C87" s="163"/>
      <c r="D87" s="163"/>
      <c r="E87" s="163"/>
      <c r="F87" s="593"/>
      <c r="G87" s="593"/>
      <c r="H87" s="514"/>
      <c r="I87" s="514"/>
      <c r="J87" s="514"/>
      <c r="K87" s="811"/>
      <c r="L87" s="514"/>
      <c r="M87" s="591"/>
      <c r="O87" s="480"/>
      <c r="P87" s="502"/>
      <c r="Q87" s="502"/>
      <c r="R87" s="502"/>
      <c r="S87" s="502"/>
      <c r="T87" s="513"/>
      <c r="U87" s="502"/>
      <c r="V87" s="537"/>
    </row>
    <row r="88" spans="2:23" s="606" customFormat="1" ht="35.25" customHeight="1">
      <c r="B88" s="78" t="s">
        <v>23</v>
      </c>
      <c r="C88" s="179" t="s">
        <v>295</v>
      </c>
      <c r="D88" s="179"/>
      <c r="E88" s="1" t="s">
        <v>290</v>
      </c>
      <c r="F88" s="1008" t="s">
        <v>516</v>
      </c>
      <c r="G88" s="1008"/>
      <c r="H88" s="608"/>
      <c r="I88" s="609" t="s">
        <v>517</v>
      </c>
      <c r="J88" s="608"/>
      <c r="K88" s="607" t="s">
        <v>77</v>
      </c>
      <c r="L88" s="525"/>
      <c r="O88" s="611"/>
      <c r="P88" s="525"/>
      <c r="T88" s="612"/>
      <c r="U88" s="612"/>
      <c r="V88" s="613"/>
    </row>
    <row r="89" spans="2:23" s="502" customFormat="1" ht="25.5" customHeight="1">
      <c r="B89" s="594" t="s">
        <v>410</v>
      </c>
      <c r="C89" s="186" t="s">
        <v>41</v>
      </c>
      <c r="D89" s="187"/>
      <c r="E89" s="422">
        <f>F89/720</f>
        <v>1.6666666666666666E-3</v>
      </c>
      <c r="F89" s="1067">
        <f>VOLUME_large_SEK</f>
        <v>1.2</v>
      </c>
      <c r="G89" s="1067"/>
      <c r="H89" s="615"/>
      <c r="I89" s="616"/>
      <c r="J89" s="812" t="s">
        <v>98</v>
      </c>
      <c r="K89" s="763">
        <f>ROUNDUP(I89*F89,2)</f>
        <v>0</v>
      </c>
      <c r="L89" s="514"/>
      <c r="O89" s="530"/>
    </row>
    <row r="90" spans="2:23" s="502" customFormat="1" ht="25.5" customHeight="1">
      <c r="B90" s="596" t="s">
        <v>411</v>
      </c>
      <c r="C90" s="54" t="s">
        <v>43</v>
      </c>
      <c r="D90" s="174"/>
      <c r="E90" s="424">
        <f>F90/720</f>
        <v>5.0000000000000001E-3</v>
      </c>
      <c r="F90" s="1068">
        <f>VOLUME_fast_SEK</f>
        <v>3.6</v>
      </c>
      <c r="G90" s="1068"/>
      <c r="H90" s="620"/>
      <c r="I90" s="621"/>
      <c r="J90" s="813" t="s">
        <v>98</v>
      </c>
      <c r="K90" s="814">
        <f>ROUNDUP(I90*F90,2)</f>
        <v>0</v>
      </c>
      <c r="L90" s="514"/>
      <c r="O90" s="530"/>
      <c r="V90" s="513"/>
    </row>
    <row r="91" spans="2:23" ht="25.5" customHeight="1">
      <c r="B91" s="534" t="s">
        <v>27</v>
      </c>
      <c r="C91" s="580"/>
      <c r="D91" s="580"/>
      <c r="E91" s="580"/>
      <c r="F91" s="582"/>
      <c r="G91" s="583"/>
      <c r="H91" s="583"/>
      <c r="I91" s="624" t="str">
        <f>SUM(I89:I90)&amp;" GB"</f>
        <v>0 GB</v>
      </c>
      <c r="J91" s="625"/>
      <c r="K91" s="807">
        <f>SUM(K89:K90)</f>
        <v>0</v>
      </c>
      <c r="O91" s="480"/>
    </row>
    <row r="92" spans="2:23" ht="25.5" customHeight="1">
      <c r="B92" s="630"/>
      <c r="C92" s="176"/>
      <c r="D92" s="176"/>
      <c r="E92" s="176"/>
      <c r="F92" s="603"/>
      <c r="G92" s="603"/>
      <c r="H92" s="626"/>
      <c r="I92" s="626"/>
      <c r="J92" s="627"/>
      <c r="K92" s="628"/>
      <c r="L92" s="666"/>
      <c r="M92" s="474"/>
      <c r="O92" s="480"/>
    </row>
    <row r="93" spans="2:23" ht="25.5" customHeight="1">
      <c r="B93" s="630"/>
      <c r="C93" s="176"/>
      <c r="D93" s="176"/>
      <c r="E93" s="176"/>
      <c r="F93" s="603"/>
      <c r="G93" s="603"/>
      <c r="H93" s="626"/>
      <c r="I93" s="626"/>
      <c r="J93" s="626"/>
      <c r="K93" s="627"/>
      <c r="L93" s="628"/>
      <c r="M93" s="666"/>
      <c r="O93" s="480"/>
    </row>
    <row r="94" spans="2:23" s="490" customFormat="1" ht="25.5" customHeight="1">
      <c r="B94" s="630"/>
      <c r="C94" s="176"/>
      <c r="D94" s="176"/>
      <c r="E94" s="176"/>
      <c r="F94" s="603"/>
      <c r="G94" s="603"/>
      <c r="H94" s="626"/>
      <c r="I94" s="626"/>
      <c r="J94" s="626"/>
      <c r="K94" s="627"/>
      <c r="L94" s="628"/>
      <c r="M94" s="666"/>
      <c r="O94" s="489"/>
    </row>
    <row r="95" spans="2:23" s="490" customFormat="1" ht="25.5" customHeight="1">
      <c r="B95" s="1006" t="s">
        <v>182</v>
      </c>
      <c r="C95" s="1006"/>
      <c r="D95" s="1006"/>
      <c r="E95" s="1006"/>
      <c r="F95" s="1006"/>
      <c r="G95" s="1006"/>
      <c r="H95" s="498"/>
      <c r="J95" s="501"/>
      <c r="K95" s="501"/>
      <c r="M95" s="499"/>
      <c r="O95" s="489"/>
    </row>
    <row r="96" spans="2:23" s="490" customFormat="1" ht="25.5" customHeight="1">
      <c r="B96" s="1006"/>
      <c r="C96" s="1006"/>
      <c r="D96" s="1006"/>
      <c r="E96" s="1006"/>
      <c r="F96" s="1006"/>
      <c r="G96" s="1006"/>
      <c r="H96" s="498"/>
      <c r="J96" s="501"/>
      <c r="K96" s="501"/>
      <c r="M96" s="499"/>
      <c r="O96" s="489"/>
    </row>
    <row r="97" spans="2:23" s="490" customFormat="1" ht="25.5" customHeight="1">
      <c r="B97" s="1006"/>
      <c r="C97" s="1006"/>
      <c r="D97" s="1006"/>
      <c r="E97" s="1006"/>
      <c r="F97" s="1006"/>
      <c r="G97" s="1006"/>
      <c r="H97" s="498"/>
      <c r="J97" s="501"/>
      <c r="K97" s="501"/>
      <c r="M97" s="499"/>
      <c r="O97" s="489"/>
    </row>
    <row r="98" spans="2:23" s="490" customFormat="1" ht="25.5" customHeight="1">
      <c r="B98" s="1069" t="s">
        <v>518</v>
      </c>
      <c r="C98" s="1069"/>
      <c r="D98" s="1069"/>
      <c r="E98" s="1069"/>
      <c r="F98" s="1069"/>
      <c r="H98" s="498"/>
      <c r="J98" s="501"/>
      <c r="K98" s="501"/>
      <c r="M98" s="499"/>
      <c r="N98" s="506"/>
      <c r="O98" s="511"/>
    </row>
    <row r="99" spans="2:23" s="631" customFormat="1" ht="25.5" customHeight="1">
      <c r="B99" s="1007" t="s">
        <v>519</v>
      </c>
      <c r="C99" s="1007"/>
      <c r="D99" s="1007"/>
      <c r="E99" s="1007"/>
      <c r="F99" s="1007"/>
      <c r="G99" s="632"/>
      <c r="H99" s="633"/>
      <c r="I99" s="632"/>
      <c r="J99" s="634"/>
      <c r="K99" s="635"/>
      <c r="L99" s="632"/>
      <c r="M99" s="815"/>
      <c r="N99" s="632"/>
      <c r="O99" s="637"/>
    </row>
    <row r="100" spans="2:23" s="490" customFormat="1" ht="25.5" customHeight="1">
      <c r="B100" s="816" t="s">
        <v>520</v>
      </c>
      <c r="C100" s="63"/>
      <c r="D100" s="63"/>
      <c r="E100" s="63"/>
      <c r="F100" s="512"/>
      <c r="G100" s="506"/>
      <c r="H100" s="507"/>
      <c r="I100" s="506"/>
      <c r="J100" s="508"/>
      <c r="K100" s="639"/>
      <c r="L100" s="639"/>
      <c r="M100" s="509"/>
      <c r="N100" s="509"/>
      <c r="O100" s="530"/>
      <c r="Q100" s="502"/>
      <c r="R100" s="502"/>
    </row>
    <row r="101" spans="2:23" s="490" customFormat="1" ht="25.5" customHeight="1">
      <c r="B101" s="38"/>
      <c r="C101" s="38"/>
      <c r="D101" s="38"/>
      <c r="E101" s="38"/>
      <c r="F101" s="512"/>
      <c r="G101" s="506"/>
      <c r="H101" s="507"/>
      <c r="I101" s="506"/>
      <c r="J101" s="508"/>
      <c r="K101" s="639"/>
      <c r="L101" s="639"/>
      <c r="M101" s="509"/>
      <c r="N101" s="509"/>
      <c r="O101" s="530"/>
      <c r="Q101" s="502"/>
      <c r="R101" s="502"/>
    </row>
    <row r="102" spans="2:23" s="490" customFormat="1" ht="25.5" customHeight="1">
      <c r="B102" s="78" t="s">
        <v>23</v>
      </c>
      <c r="C102" s="209" t="s">
        <v>521</v>
      </c>
      <c r="D102" s="1008" t="s">
        <v>522</v>
      </c>
      <c r="E102" s="1008"/>
      <c r="F102" s="1008"/>
      <c r="G102" s="1008"/>
      <c r="H102" s="1008"/>
      <c r="I102" s="1008"/>
      <c r="J102" s="1008"/>
      <c r="K102" s="1008"/>
      <c r="L102" s="607"/>
      <c r="M102" s="608"/>
      <c r="N102" s="509"/>
      <c r="O102" s="530"/>
      <c r="Q102" s="502"/>
      <c r="R102" s="502"/>
    </row>
    <row r="103" spans="2:23" s="490" customFormat="1" ht="25.5" customHeight="1">
      <c r="B103" s="84" t="s">
        <v>417</v>
      </c>
      <c r="C103" s="32" t="s">
        <v>523</v>
      </c>
      <c r="D103" s="1070">
        <f>S3_storage.50_SEK</f>
        <v>350</v>
      </c>
      <c r="E103" s="1070"/>
      <c r="F103" s="1070"/>
      <c r="G103" s="1070"/>
      <c r="H103" s="1070"/>
      <c r="I103" s="1070"/>
      <c r="J103" s="1070"/>
      <c r="K103" s="1070"/>
      <c r="L103" s="817"/>
      <c r="M103" s="818"/>
      <c r="N103" s="509"/>
      <c r="O103" s="530"/>
      <c r="Q103" s="502"/>
      <c r="R103" s="502"/>
    </row>
    <row r="104" spans="2:23" s="490" customFormat="1" ht="25.5" customHeight="1">
      <c r="B104" s="90" t="s">
        <v>417</v>
      </c>
      <c r="C104" s="94" t="s">
        <v>524</v>
      </c>
      <c r="D104" s="1071">
        <f>S3_storage.100_SEK</f>
        <v>270</v>
      </c>
      <c r="E104" s="1071"/>
      <c r="F104" s="1071"/>
      <c r="G104" s="1071"/>
      <c r="H104" s="1071"/>
      <c r="I104" s="1071"/>
      <c r="J104" s="1071"/>
      <c r="K104" s="1071"/>
      <c r="L104" s="819"/>
      <c r="M104" s="820"/>
      <c r="N104" s="509"/>
      <c r="O104" s="530"/>
      <c r="Q104" s="502"/>
      <c r="R104" s="502"/>
    </row>
    <row r="105" spans="2:23" s="490" customFormat="1" ht="25.5" customHeight="1">
      <c r="B105" s="84" t="s">
        <v>417</v>
      </c>
      <c r="C105" s="32" t="s">
        <v>525</v>
      </c>
      <c r="D105" s="1072">
        <f>S3_storage.500_SEK</f>
        <v>200</v>
      </c>
      <c r="E105" s="1072"/>
      <c r="F105" s="1072"/>
      <c r="G105" s="1072"/>
      <c r="H105" s="1072"/>
      <c r="I105" s="1072"/>
      <c r="J105" s="1072"/>
      <c r="K105" s="1072"/>
      <c r="L105" s="821"/>
      <c r="M105" s="822"/>
      <c r="N105" s="509"/>
      <c r="O105" s="530"/>
      <c r="Q105" s="502"/>
      <c r="R105" s="502"/>
    </row>
    <row r="106" spans="2:23" s="490" customFormat="1" ht="25.5" customHeight="1">
      <c r="B106" s="90" t="s">
        <v>417</v>
      </c>
      <c r="C106" s="94" t="s">
        <v>526</v>
      </c>
      <c r="D106" s="1071">
        <f>S3_storage.1000_SEK</f>
        <v>185</v>
      </c>
      <c r="E106" s="1071"/>
      <c r="F106" s="1071"/>
      <c r="G106" s="1071"/>
      <c r="H106" s="1071"/>
      <c r="I106" s="1071"/>
      <c r="J106" s="1071"/>
      <c r="K106" s="1071"/>
      <c r="L106" s="819"/>
      <c r="M106" s="820"/>
      <c r="N106" s="509"/>
      <c r="O106" s="530"/>
      <c r="Q106" s="502"/>
      <c r="R106" s="502"/>
    </row>
    <row r="107" spans="2:23" s="490" customFormat="1" ht="25.5" customHeight="1">
      <c r="B107" s="84" t="s">
        <v>417</v>
      </c>
      <c r="C107" s="32" t="s">
        <v>527</v>
      </c>
      <c r="D107" s="1073" t="str">
        <f>S3_storage.quote_SEK</f>
        <v>Be om offert</v>
      </c>
      <c r="E107" s="1073"/>
      <c r="F107" s="1073"/>
      <c r="G107" s="1073"/>
      <c r="H107" s="1073"/>
      <c r="I107" s="1073"/>
      <c r="J107" s="1073"/>
      <c r="K107" s="1073"/>
      <c r="L107" s="494"/>
      <c r="M107" s="491"/>
      <c r="N107" s="509"/>
      <c r="O107" s="530"/>
      <c r="Q107" s="502"/>
      <c r="R107" s="502"/>
    </row>
    <row r="108" spans="2:23" s="490" customFormat="1" ht="25.5" customHeight="1">
      <c r="B108" s="823"/>
      <c r="C108" s="824"/>
      <c r="D108" s="824"/>
      <c r="E108" s="824"/>
      <c r="F108" s="509"/>
      <c r="G108" s="509"/>
      <c r="H108" s="509"/>
      <c r="I108" s="509"/>
      <c r="J108" s="509"/>
      <c r="K108" s="509"/>
      <c r="L108" s="509"/>
      <c r="M108" s="509"/>
      <c r="N108" s="509"/>
      <c r="O108" s="530"/>
      <c r="Q108" s="502"/>
      <c r="R108" s="502"/>
    </row>
    <row r="109" spans="2:23" s="571" customFormat="1" ht="25.5" customHeight="1">
      <c r="B109" s="8"/>
      <c r="C109" s="64"/>
      <c r="D109" s="64"/>
      <c r="E109" s="64"/>
      <c r="F109" s="512"/>
      <c r="G109" s="506"/>
      <c r="H109" s="507"/>
      <c r="I109" s="506"/>
      <c r="J109" s="508"/>
      <c r="K109" s="639"/>
      <c r="L109" s="639"/>
      <c r="M109" s="509"/>
      <c r="N109" s="509"/>
      <c r="O109" s="663"/>
      <c r="Q109" s="606"/>
      <c r="R109" s="606"/>
      <c r="S109" s="606"/>
      <c r="T109" s="606"/>
      <c r="U109" s="606"/>
      <c r="V109" s="606"/>
      <c r="W109" s="606"/>
    </row>
    <row r="110" spans="2:23" ht="25.5" customHeight="1">
      <c r="B110" s="78" t="s">
        <v>23</v>
      </c>
      <c r="C110" s="179"/>
      <c r="D110" s="179"/>
      <c r="E110" s="6"/>
      <c r="F110" s="179" t="s">
        <v>522</v>
      </c>
      <c r="G110" s="608"/>
      <c r="H110" s="609" t="s">
        <v>521</v>
      </c>
      <c r="I110" s="608"/>
      <c r="J110" s="608"/>
      <c r="K110" s="608"/>
      <c r="L110" s="608"/>
      <c r="M110" s="607" t="s">
        <v>77</v>
      </c>
      <c r="N110" s="648"/>
      <c r="O110" s="530"/>
      <c r="Q110" s="502"/>
      <c r="R110" s="502"/>
    </row>
    <row r="111" spans="2:23" s="579" customFormat="1" ht="25.5" customHeight="1">
      <c r="B111" s="224" t="s">
        <v>417</v>
      </c>
      <c r="C111" s="225"/>
      <c r="D111" s="225"/>
      <c r="E111" s="226"/>
      <c r="F111" s="643">
        <f t="array" ref="F111">_xlfn.IFS(H111&lt;51,D103,H111&lt;101,D104,H111&lt;501,D105,H111&lt;1001,D106,H111&gt;1000,D107)</f>
        <v>350</v>
      </c>
      <c r="G111" s="825"/>
      <c r="H111" s="644"/>
      <c r="I111" s="645" t="s">
        <v>56</v>
      </c>
      <c r="J111" s="646"/>
      <c r="K111" s="646"/>
      <c r="L111" s="646"/>
      <c r="M111" s="389">
        <f t="array" ref="M111">_xlfn.IFS(H111&lt;1001,ROUNDUP(H111*F111,2),H111&gt;1000,D107)</f>
        <v>0</v>
      </c>
      <c r="N111" s="648"/>
      <c r="O111" s="602"/>
      <c r="Q111" s="587"/>
      <c r="R111" s="587"/>
    </row>
    <row r="112" spans="2:23" ht="25.5" customHeight="1">
      <c r="B112" s="657" t="s">
        <v>62</v>
      </c>
      <c r="C112" s="143"/>
      <c r="D112" s="143"/>
      <c r="E112" s="143"/>
      <c r="F112" s="539"/>
      <c r="G112" s="540"/>
      <c r="H112" s="540"/>
      <c r="I112" s="540"/>
      <c r="J112" s="540"/>
      <c r="K112" s="659"/>
      <c r="L112" s="659"/>
      <c r="M112" s="807">
        <f>SUM(M111)</f>
        <v>0</v>
      </c>
      <c r="N112" s="648"/>
      <c r="O112" s="530"/>
      <c r="Q112" s="502"/>
      <c r="R112" s="502"/>
    </row>
    <row r="113" spans="2:34" ht="25.5" customHeight="1">
      <c r="B113" s="239"/>
      <c r="C113" s="239"/>
      <c r="D113" s="239"/>
      <c r="E113" s="239"/>
      <c r="F113" s="664"/>
      <c r="G113" s="665"/>
      <c r="H113" s="626"/>
      <c r="I113" s="626"/>
      <c r="J113" s="626"/>
      <c r="K113" s="626"/>
      <c r="L113" s="626"/>
      <c r="M113" s="666"/>
      <c r="N113" s="648"/>
      <c r="O113" s="530"/>
      <c r="Q113" s="502"/>
      <c r="R113" s="502"/>
    </row>
    <row r="114" spans="2:34" ht="25.5" customHeight="1">
      <c r="B114" s="239"/>
      <c r="C114" s="239"/>
      <c r="D114" s="239"/>
      <c r="E114" s="239"/>
      <c r="F114" s="664"/>
      <c r="G114" s="665"/>
      <c r="H114" s="626"/>
      <c r="I114" s="626"/>
      <c r="J114" s="626"/>
      <c r="K114" s="626"/>
      <c r="L114" s="626"/>
      <c r="M114" s="666"/>
      <c r="N114" s="666"/>
      <c r="O114" s="530"/>
      <c r="Q114" s="502"/>
      <c r="R114" s="502"/>
      <c r="U114" s="490"/>
    </row>
    <row r="115" spans="2:34" s="490" customFormat="1" ht="25.5" customHeight="1">
      <c r="B115" s="239"/>
      <c r="C115" s="239"/>
      <c r="D115" s="239"/>
      <c r="E115" s="239"/>
      <c r="F115" s="664"/>
      <c r="G115" s="665"/>
      <c r="H115" s="626"/>
      <c r="I115" s="626"/>
      <c r="J115" s="626"/>
      <c r="K115" s="626"/>
      <c r="L115" s="626"/>
      <c r="M115" s="666"/>
      <c r="N115" s="666"/>
      <c r="O115" s="489"/>
    </row>
    <row r="116" spans="2:34" s="490" customFormat="1" ht="25.5" customHeight="1">
      <c r="B116" s="1006" t="s">
        <v>183</v>
      </c>
      <c r="C116" s="1006"/>
      <c r="D116" s="1006"/>
      <c r="E116" s="1006"/>
      <c r="F116" s="1006"/>
      <c r="G116" s="1006"/>
      <c r="H116" s="498"/>
      <c r="J116" s="501"/>
      <c r="K116" s="501"/>
      <c r="L116" s="501"/>
      <c r="M116" s="499"/>
      <c r="N116" s="499"/>
      <c r="O116" s="489"/>
    </row>
    <row r="117" spans="2:34" s="490" customFormat="1" ht="25.5" customHeight="1">
      <c r="B117" s="1006"/>
      <c r="C117" s="1006"/>
      <c r="D117" s="1006"/>
      <c r="E117" s="1006"/>
      <c r="F117" s="1006"/>
      <c r="G117" s="1006"/>
      <c r="H117" s="498"/>
      <c r="J117" s="501"/>
      <c r="K117" s="501"/>
      <c r="L117" s="501"/>
      <c r="M117" s="499"/>
      <c r="N117" s="499"/>
      <c r="O117" s="489"/>
    </row>
    <row r="118" spans="2:34" s="490" customFormat="1" ht="25.5" customHeight="1">
      <c r="B118" s="1006"/>
      <c r="C118" s="1006"/>
      <c r="D118" s="1006"/>
      <c r="E118" s="1006"/>
      <c r="F118" s="1006"/>
      <c r="G118" s="1006"/>
      <c r="H118" s="498"/>
      <c r="J118" s="501"/>
      <c r="K118" s="501"/>
      <c r="L118" s="501"/>
      <c r="M118" s="499"/>
      <c r="N118" s="499"/>
      <c r="O118" s="489"/>
    </row>
    <row r="119" spans="2:34" s="490" customFormat="1" ht="25.5" customHeight="1">
      <c r="B119" s="1069" t="s">
        <v>528</v>
      </c>
      <c r="C119" s="1069"/>
      <c r="D119" s="1069"/>
      <c r="E119" s="1069"/>
      <c r="F119" s="1069"/>
      <c r="H119" s="498"/>
      <c r="J119" s="501"/>
      <c r="K119" s="501"/>
      <c r="L119" s="501"/>
      <c r="M119" s="499"/>
      <c r="N119" s="499"/>
      <c r="O119" s="511"/>
    </row>
    <row r="120" spans="2:34" s="490" customFormat="1" ht="25.5" customHeight="1">
      <c r="B120" s="1007" t="s">
        <v>506</v>
      </c>
      <c r="C120" s="1007"/>
      <c r="D120" s="1007"/>
      <c r="E120" s="1007"/>
      <c r="F120" s="1007"/>
      <c r="G120" s="506"/>
      <c r="H120" s="507"/>
      <c r="I120" s="506"/>
      <c r="J120" s="508"/>
      <c r="K120" s="639"/>
      <c r="L120" s="639"/>
      <c r="M120" s="509"/>
      <c r="N120" s="509"/>
      <c r="O120" s="511"/>
    </row>
    <row r="121" spans="2:34" s="514" customFormat="1" ht="25.5" customHeight="1">
      <c r="B121" s="816" t="s">
        <v>520</v>
      </c>
      <c r="C121" s="63"/>
      <c r="D121" s="63"/>
      <c r="E121" s="63"/>
      <c r="F121" s="512"/>
      <c r="G121" s="506"/>
      <c r="H121" s="507"/>
      <c r="I121" s="506"/>
      <c r="J121" s="508"/>
      <c r="K121" s="639"/>
      <c r="L121" s="639"/>
      <c r="M121" s="509"/>
      <c r="N121" s="509"/>
      <c r="O121" s="530"/>
      <c r="Q121" s="502"/>
      <c r="R121" s="502"/>
      <c r="S121" s="502"/>
      <c r="T121" s="502"/>
      <c r="U121" s="502"/>
      <c r="V121" s="502"/>
      <c r="W121" s="502"/>
      <c r="Z121" s="474"/>
      <c r="AA121" s="474"/>
      <c r="AB121" s="474"/>
    </row>
    <row r="122" spans="2:34" s="571" customFormat="1" ht="25.5" customHeight="1">
      <c r="B122" s="223"/>
      <c r="C122" s="161"/>
      <c r="D122" s="161"/>
      <c r="E122" s="161"/>
      <c r="F122" s="514"/>
      <c r="G122" s="514"/>
      <c r="H122" s="514"/>
      <c r="I122" s="514"/>
      <c r="J122" s="514"/>
      <c r="K122" s="514"/>
      <c r="L122" s="514"/>
      <c r="M122" s="591"/>
      <c r="N122" s="591"/>
      <c r="O122" s="663"/>
      <c r="R122" s="606"/>
      <c r="S122" s="606"/>
      <c r="T122" s="606"/>
      <c r="U122" s="606"/>
      <c r="V122" s="606"/>
      <c r="W122" s="606"/>
    </row>
    <row r="123" spans="2:34" ht="25">
      <c r="B123" s="78" t="s">
        <v>23</v>
      </c>
      <c r="C123" s="1008" t="s">
        <v>302</v>
      </c>
      <c r="D123" s="1008"/>
      <c r="E123" s="6" t="s">
        <v>290</v>
      </c>
      <c r="F123" s="1008" t="s">
        <v>516</v>
      </c>
      <c r="G123" s="1008"/>
      <c r="H123" s="609" t="s">
        <v>241</v>
      </c>
      <c r="I123" s="608"/>
      <c r="J123" s="1023" t="s">
        <v>529</v>
      </c>
      <c r="K123" s="1023"/>
      <c r="L123" s="667"/>
      <c r="M123" s="607" t="s">
        <v>77</v>
      </c>
      <c r="N123" s="591"/>
      <c r="O123" s="480"/>
    </row>
    <row r="124" spans="2:34" ht="25.5" customHeight="1">
      <c r="B124" s="668" t="s">
        <v>423</v>
      </c>
      <c r="C124" s="826"/>
      <c r="D124" s="246" t="s">
        <v>20</v>
      </c>
      <c r="E124" s="246" t="s">
        <v>20</v>
      </c>
      <c r="F124" s="1074">
        <f>BAAS_on.demand_SEK</f>
        <v>2.4500000000000002</v>
      </c>
      <c r="G124" s="1074"/>
      <c r="H124" s="670"/>
      <c r="I124" s="812" t="s">
        <v>98</v>
      </c>
      <c r="J124" s="1026" t="s">
        <v>20</v>
      </c>
      <c r="K124" s="1026"/>
      <c r="L124" s="671"/>
      <c r="M124" s="763">
        <f>ROUNDUP(H124*F124,2)</f>
        <v>0</v>
      </c>
      <c r="N124" s="591"/>
      <c r="O124" s="480"/>
    </row>
    <row r="125" spans="2:34" ht="25.5" customHeight="1">
      <c r="B125" s="672" t="s">
        <v>424</v>
      </c>
      <c r="C125" s="587"/>
      <c r="D125" s="299">
        <v>5500</v>
      </c>
      <c r="E125" s="674" t="s">
        <v>20</v>
      </c>
      <c r="F125" s="1075">
        <f>BAAS_small_SEK</f>
        <v>1.75</v>
      </c>
      <c r="G125" s="1075"/>
      <c r="H125" s="675"/>
      <c r="I125" s="813" t="s">
        <v>98</v>
      </c>
      <c r="J125" s="1029">
        <v>0.75</v>
      </c>
      <c r="K125" s="1029"/>
      <c r="L125" s="622"/>
      <c r="M125" s="814">
        <f>IF(H125&gt;0,IF(SUM($D$125+($F$125*((H125*(1-$J$125))-1000)))&lt;=D125,$D$125,$D$125+($F$125*((H125*(1-$J$125))-1000))),0)</f>
        <v>0</v>
      </c>
      <c r="N125" s="591"/>
      <c r="O125" s="480"/>
    </row>
    <row r="126" spans="2:34" s="676" customFormat="1" ht="25.5" customHeight="1">
      <c r="B126" s="677" t="s">
        <v>425</v>
      </c>
      <c r="C126" s="749"/>
      <c r="D126" s="384">
        <v>9500</v>
      </c>
      <c r="E126" s="679" t="s">
        <v>20</v>
      </c>
      <c r="F126" s="1076">
        <f>BAAS_large_SEK</f>
        <v>0.92</v>
      </c>
      <c r="G126" s="1076"/>
      <c r="H126" s="644"/>
      <c r="I126" s="645" t="s">
        <v>98</v>
      </c>
      <c r="J126" s="1032">
        <v>0.75</v>
      </c>
      <c r="K126" s="1032"/>
      <c r="L126" s="680"/>
      <c r="M126" s="767">
        <f>IF(H126&gt;0,$D$126+($F$126*(H126*(1-$J$126))),0)</f>
        <v>0</v>
      </c>
      <c r="N126" s="591"/>
      <c r="O126" s="682"/>
      <c r="V126" s="474"/>
      <c r="W126" s="474"/>
      <c r="X126" s="474"/>
      <c r="Y126" s="474"/>
      <c r="Z126" s="474"/>
      <c r="AA126" s="474"/>
      <c r="AB126" s="474"/>
      <c r="AC126" s="474"/>
      <c r="AD126" s="474"/>
      <c r="AE126" s="474"/>
      <c r="AF126" s="474"/>
      <c r="AG126" s="474"/>
      <c r="AH126" s="474"/>
    </row>
    <row r="127" spans="2:34" s="676" customFormat="1" ht="25.5" customHeight="1">
      <c r="B127" s="657" t="s">
        <v>62</v>
      </c>
      <c r="C127" s="143"/>
      <c r="D127" s="143"/>
      <c r="E127" s="143"/>
      <c r="F127" s="539"/>
      <c r="G127" s="540"/>
      <c r="H127" s="624" t="str">
        <f>SUM(H124:H126)&amp;" GB"</f>
        <v>0 GB</v>
      </c>
      <c r="I127" s="540"/>
      <c r="J127" s="540"/>
      <c r="K127" s="659"/>
      <c r="L127" s="659"/>
      <c r="M127" s="807">
        <f>SUM(M124:M126)</f>
        <v>0</v>
      </c>
      <c r="N127" s="591"/>
      <c r="O127" s="682"/>
      <c r="Q127" s="683"/>
      <c r="V127" s="474"/>
      <c r="W127" s="474"/>
      <c r="X127" s="474"/>
      <c r="Y127" s="474"/>
      <c r="Z127" s="474"/>
      <c r="AA127" s="474"/>
      <c r="AB127" s="474"/>
      <c r="AC127" s="474"/>
      <c r="AD127" s="474"/>
      <c r="AE127" s="474"/>
      <c r="AF127" s="474"/>
      <c r="AG127" s="474"/>
      <c r="AH127" s="474"/>
    </row>
    <row r="128" spans="2:34" s="676" customFormat="1" ht="25.5" customHeight="1">
      <c r="B128" s="657"/>
      <c r="C128" s="143"/>
      <c r="D128" s="143"/>
      <c r="E128" s="143"/>
      <c r="F128" s="539"/>
      <c r="G128" s="540"/>
      <c r="H128" s="540"/>
      <c r="I128" s="540"/>
      <c r="J128" s="540"/>
      <c r="K128" s="659"/>
      <c r="L128" s="659"/>
      <c r="M128" s="541"/>
      <c r="N128" s="591"/>
      <c r="O128" s="682"/>
      <c r="Q128" s="683"/>
      <c r="V128" s="474"/>
      <c r="W128" s="474"/>
      <c r="X128" s="474"/>
      <c r="Y128" s="474"/>
      <c r="Z128" s="474"/>
      <c r="AA128" s="474"/>
      <c r="AB128" s="474"/>
      <c r="AC128" s="474"/>
      <c r="AD128" s="474"/>
      <c r="AE128" s="474"/>
      <c r="AF128" s="474"/>
      <c r="AG128" s="474"/>
      <c r="AH128" s="474"/>
    </row>
    <row r="129" spans="2:34" s="676" customFormat="1" ht="25.5" customHeight="1">
      <c r="B129" s="684" t="s">
        <v>530</v>
      </c>
      <c r="C129" s="143"/>
      <c r="D129" s="143"/>
      <c r="E129" s="143"/>
      <c r="F129" s="539"/>
      <c r="G129" s="540"/>
      <c r="H129" s="540"/>
      <c r="I129" s="540"/>
      <c r="J129" s="540"/>
      <c r="K129" s="659"/>
      <c r="L129" s="659"/>
      <c r="M129" s="541"/>
      <c r="N129" s="541"/>
      <c r="O129" s="682"/>
      <c r="Q129" s="683"/>
      <c r="V129" s="474"/>
      <c r="W129" s="474"/>
      <c r="X129" s="474"/>
      <c r="Y129" s="474"/>
      <c r="Z129" s="474"/>
      <c r="AA129" s="474"/>
      <c r="AB129" s="474"/>
      <c r="AC129" s="474"/>
      <c r="AD129" s="474"/>
      <c r="AE129" s="474"/>
      <c r="AF129" s="474"/>
      <c r="AG129" s="474"/>
      <c r="AH129" s="474"/>
    </row>
    <row r="130" spans="2:34" ht="25.5" customHeight="1">
      <c r="B130" s="684" t="s">
        <v>531</v>
      </c>
      <c r="C130" s="143"/>
      <c r="D130" s="143"/>
      <c r="E130" s="143"/>
      <c r="F130" s="539"/>
      <c r="G130" s="540"/>
      <c r="H130" s="540"/>
      <c r="I130" s="540"/>
      <c r="J130" s="540"/>
      <c r="K130" s="659"/>
      <c r="L130" s="659"/>
      <c r="M130" s="541"/>
      <c r="N130" s="541"/>
      <c r="O130" s="530"/>
      <c r="Q130" s="502"/>
      <c r="R130" s="502"/>
    </row>
    <row r="131" spans="2:34" ht="25.5" customHeight="1">
      <c r="B131" s="684" t="s">
        <v>532</v>
      </c>
      <c r="C131" s="239"/>
      <c r="D131" s="239"/>
      <c r="E131" s="239"/>
      <c r="F131" s="664"/>
      <c r="G131" s="665"/>
      <c r="H131" s="626"/>
      <c r="I131" s="626"/>
      <c r="J131" s="626"/>
      <c r="K131" s="626"/>
      <c r="L131" s="626"/>
      <c r="M131" s="666"/>
      <c r="N131" s="666"/>
      <c r="O131" s="530"/>
      <c r="Q131" s="502"/>
      <c r="R131" s="502"/>
    </row>
    <row r="132" spans="2:34" ht="25.5" customHeight="1">
      <c r="B132" s="684" t="s">
        <v>533</v>
      </c>
      <c r="C132" s="239"/>
      <c r="D132" s="239"/>
      <c r="E132" s="239"/>
      <c r="F132" s="664"/>
      <c r="G132" s="665"/>
      <c r="H132" s="626"/>
      <c r="I132" s="626"/>
      <c r="J132" s="626"/>
      <c r="K132" s="626"/>
      <c r="L132" s="666"/>
      <c r="M132" s="666"/>
      <c r="N132" s="514"/>
      <c r="O132" s="530"/>
      <c r="P132" s="502"/>
      <c r="Q132" s="502"/>
    </row>
    <row r="133" spans="2:34" ht="25.5" customHeight="1">
      <c r="B133" s="260"/>
      <c r="C133" s="239"/>
      <c r="D133" s="239"/>
      <c r="E133" s="239"/>
      <c r="F133" s="664"/>
      <c r="G133" s="665"/>
      <c r="H133" s="626"/>
      <c r="I133" s="626"/>
      <c r="J133" s="626"/>
      <c r="K133" s="626"/>
      <c r="L133" s="666"/>
      <c r="M133" s="666"/>
      <c r="N133" s="514"/>
      <c r="O133" s="530"/>
      <c r="P133" s="502"/>
      <c r="Q133" s="502"/>
    </row>
    <row r="134" spans="2:34" ht="25.5" customHeight="1">
      <c r="B134" s="260"/>
      <c r="C134" s="239"/>
      <c r="D134" s="239"/>
      <c r="E134" s="239"/>
      <c r="F134" s="664"/>
      <c r="G134" s="665"/>
      <c r="H134" s="626"/>
      <c r="I134" s="626"/>
      <c r="J134" s="626"/>
      <c r="K134" s="626"/>
      <c r="L134" s="666"/>
      <c r="M134" s="666"/>
      <c r="N134" s="514"/>
      <c r="O134" s="530"/>
      <c r="P134" s="502"/>
      <c r="Q134" s="502"/>
    </row>
    <row r="135" spans="2:34" ht="25.5" customHeight="1">
      <c r="B135" s="260"/>
      <c r="C135" s="239"/>
      <c r="D135" s="239"/>
      <c r="E135" s="239"/>
      <c r="F135" s="664"/>
      <c r="G135" s="665"/>
      <c r="H135" s="626"/>
      <c r="I135" s="626"/>
      <c r="J135" s="626"/>
      <c r="K135" s="626"/>
      <c r="L135" s="666"/>
      <c r="M135" s="666"/>
      <c r="N135" s="514"/>
      <c r="O135" s="530"/>
      <c r="P135" s="502"/>
      <c r="Q135" s="502"/>
    </row>
    <row r="136" spans="2:34" ht="25.5" customHeight="1">
      <c r="B136" s="260"/>
      <c r="C136" s="239"/>
      <c r="D136" s="239"/>
      <c r="E136" s="239"/>
      <c r="F136" s="664"/>
      <c r="G136" s="665"/>
      <c r="H136" s="626"/>
      <c r="I136" s="626"/>
      <c r="J136" s="626"/>
      <c r="K136" s="626"/>
      <c r="L136" s="666"/>
      <c r="M136" s="666"/>
      <c r="N136" s="514"/>
      <c r="O136" s="530"/>
      <c r="P136" s="502"/>
      <c r="Q136" s="502"/>
    </row>
    <row r="137" spans="2:34" s="490" customFormat="1" ht="25.5" customHeight="1">
      <c r="B137" s="1006" t="s">
        <v>313</v>
      </c>
      <c r="C137" s="1006"/>
      <c r="D137" s="1006"/>
      <c r="E137" s="1006"/>
      <c r="F137" s="1006"/>
      <c r="G137" s="1006"/>
      <c r="H137" s="498"/>
      <c r="J137" s="501"/>
      <c r="K137" s="501"/>
      <c r="M137" s="666"/>
      <c r="N137" s="514"/>
      <c r="O137" s="530"/>
    </row>
    <row r="138" spans="2:34" s="490" customFormat="1" ht="25.5" customHeight="1">
      <c r="B138" s="1006"/>
      <c r="C138" s="1006"/>
      <c r="D138" s="1006"/>
      <c r="E138" s="1006"/>
      <c r="F138" s="1006"/>
      <c r="G138" s="1006"/>
      <c r="H138" s="498"/>
      <c r="J138" s="501"/>
      <c r="K138" s="501"/>
      <c r="M138" s="666"/>
      <c r="N138" s="514"/>
      <c r="O138" s="530"/>
    </row>
    <row r="139" spans="2:34" s="490" customFormat="1" ht="25.5" customHeight="1">
      <c r="B139" s="1006"/>
      <c r="C139" s="1006"/>
      <c r="D139" s="1006"/>
      <c r="E139" s="1006"/>
      <c r="F139" s="1006"/>
      <c r="G139" s="1006"/>
      <c r="H139" s="498"/>
      <c r="J139" s="501"/>
      <c r="K139" s="501"/>
      <c r="M139" s="666"/>
      <c r="N139" s="514"/>
      <c r="O139" s="530"/>
    </row>
    <row r="140" spans="2:34" s="490" customFormat="1" ht="25.5" customHeight="1">
      <c r="B140" s="1007" t="s">
        <v>506</v>
      </c>
      <c r="C140" s="1007"/>
      <c r="D140" s="1007"/>
      <c r="E140" s="1007"/>
      <c r="F140" s="1007"/>
      <c r="H140" s="498"/>
      <c r="J140" s="501"/>
      <c r="K140" s="501"/>
      <c r="M140" s="666"/>
      <c r="N140" s="514"/>
      <c r="O140" s="530"/>
    </row>
    <row r="141" spans="2:34" s="490" customFormat="1" ht="25.5" customHeight="1">
      <c r="B141" s="1034"/>
      <c r="C141" s="1034"/>
      <c r="D141" s="1034"/>
      <c r="E141" s="1034"/>
      <c r="F141" s="1034"/>
      <c r="G141" s="506"/>
      <c r="H141" s="507"/>
      <c r="I141" s="506"/>
      <c r="J141" s="508"/>
      <c r="K141" s="639"/>
      <c r="L141" s="506"/>
      <c r="M141" s="666"/>
      <c r="N141" s="514"/>
      <c r="O141" s="530"/>
    </row>
    <row r="142" spans="2:34" s="490" customFormat="1" ht="25.5" customHeight="1">
      <c r="B142" s="64"/>
      <c r="C142" s="64"/>
      <c r="D142" s="64"/>
      <c r="E142" s="64"/>
      <c r="F142" s="512"/>
      <c r="G142" s="506"/>
      <c r="H142" s="507"/>
      <c r="I142" s="506"/>
      <c r="J142" s="508"/>
      <c r="K142" s="639"/>
      <c r="L142" s="506"/>
      <c r="M142" s="666"/>
      <c r="N142" s="514"/>
      <c r="O142" s="530"/>
    </row>
    <row r="143" spans="2:34" s="514" customFormat="1" ht="25.5" customHeight="1">
      <c r="B143" s="70" t="s">
        <v>314</v>
      </c>
      <c r="C143" s="64"/>
      <c r="D143" s="64"/>
      <c r="E143" s="64"/>
      <c r="F143" s="512"/>
      <c r="G143" s="506"/>
      <c r="H143" s="506"/>
      <c r="I143" s="506"/>
      <c r="J143" s="508"/>
      <c r="K143" s="639"/>
      <c r="L143" s="506"/>
      <c r="M143" s="666"/>
      <c r="O143" s="530"/>
      <c r="P143" s="502"/>
      <c r="Q143" s="502"/>
      <c r="R143" s="502"/>
      <c r="S143" s="502"/>
      <c r="T143" s="502"/>
      <c r="U143" s="502"/>
    </row>
    <row r="144" spans="2:34" ht="25.5" customHeight="1">
      <c r="B144" s="273" t="s">
        <v>23</v>
      </c>
      <c r="C144" s="262" t="s">
        <v>87</v>
      </c>
      <c r="D144" s="262"/>
      <c r="E144" s="179" t="s">
        <v>295</v>
      </c>
      <c r="F144" s="608"/>
      <c r="G144" s="608"/>
      <c r="H144" s="608"/>
      <c r="I144" s="608"/>
      <c r="J144" s="608"/>
      <c r="K144" s="608"/>
      <c r="L144" s="685" t="s">
        <v>534</v>
      </c>
      <c r="M144" s="607" t="s">
        <v>318</v>
      </c>
      <c r="N144" s="524"/>
      <c r="O144" s="530"/>
      <c r="P144" s="686"/>
      <c r="Q144" s="524"/>
      <c r="R144" s="666"/>
      <c r="S144" s="514"/>
    </row>
    <row r="145" spans="2:22" ht="25.5" customHeight="1">
      <c r="B145" s="594" t="s">
        <v>431</v>
      </c>
      <c r="C145" s="274" t="s">
        <v>91</v>
      </c>
      <c r="D145" s="274"/>
      <c r="E145" s="186" t="s">
        <v>249</v>
      </c>
      <c r="F145" s="617"/>
      <c r="G145" s="617"/>
      <c r="H145" s="617"/>
      <c r="I145" s="617"/>
      <c r="J145" s="617"/>
      <c r="K145" s="617"/>
      <c r="L145" s="688" t="s">
        <v>535</v>
      </c>
      <c r="M145" s="761">
        <f>NET_publicv4_SEK</f>
        <v>25</v>
      </c>
      <c r="O145" s="530"/>
      <c r="P145" s="475"/>
      <c r="R145" s="666"/>
      <c r="S145" s="514"/>
    </row>
    <row r="146" spans="2:22" ht="25.5" customHeight="1">
      <c r="B146" s="596" t="s">
        <v>432</v>
      </c>
      <c r="C146" s="277" t="s">
        <v>95</v>
      </c>
      <c r="D146" s="277"/>
      <c r="E146" s="54" t="s">
        <v>249</v>
      </c>
      <c r="F146" s="689"/>
      <c r="G146" s="689"/>
      <c r="H146" s="689"/>
      <c r="I146" s="689"/>
      <c r="J146" s="689"/>
      <c r="K146" s="689"/>
      <c r="L146" s="691" t="s">
        <v>20</v>
      </c>
      <c r="M146" s="703">
        <f>NET_publicv6_SEK</f>
        <v>0</v>
      </c>
      <c r="O146" s="530"/>
      <c r="P146" s="475"/>
      <c r="R146" s="666"/>
      <c r="S146" s="514"/>
    </row>
    <row r="147" spans="2:22" ht="25.5" customHeight="1">
      <c r="B147" s="594" t="s">
        <v>433</v>
      </c>
      <c r="C147" s="274" t="s">
        <v>319</v>
      </c>
      <c r="D147" s="274"/>
      <c r="E147" s="281"/>
      <c r="F147" s="692"/>
      <c r="G147" s="692"/>
      <c r="H147" s="692"/>
      <c r="I147" s="692"/>
      <c r="J147" s="692"/>
      <c r="K147" s="692"/>
      <c r="L147" s="688" t="s">
        <v>98</v>
      </c>
      <c r="M147" s="761">
        <f>NET_ingress_SEK</f>
        <v>0</v>
      </c>
      <c r="O147" s="530"/>
      <c r="P147" s="475"/>
      <c r="R147" s="666"/>
      <c r="S147" s="514"/>
    </row>
    <row r="148" spans="2:22" ht="25.5" customHeight="1">
      <c r="B148" s="596" t="s">
        <v>434</v>
      </c>
      <c r="C148" s="277" t="s">
        <v>319</v>
      </c>
      <c r="D148" s="277"/>
      <c r="E148" s="54" t="s">
        <v>536</v>
      </c>
      <c r="F148" s="689"/>
      <c r="G148" s="689"/>
      <c r="H148" s="689"/>
      <c r="I148" s="689"/>
      <c r="J148" s="689"/>
      <c r="K148" s="689"/>
      <c r="L148" s="694" t="s">
        <v>98</v>
      </c>
      <c r="M148" s="703">
        <f>NET_egress_SEK</f>
        <v>0</v>
      </c>
      <c r="O148" s="530"/>
      <c r="P148" s="475"/>
      <c r="R148" s="666"/>
      <c r="S148" s="514"/>
    </row>
    <row r="149" spans="2:22" ht="25.5" customHeight="1">
      <c r="B149" s="594" t="s">
        <v>436</v>
      </c>
      <c r="C149" s="274" t="s">
        <v>437</v>
      </c>
      <c r="D149" s="274"/>
      <c r="E149" s="191"/>
      <c r="F149" s="692"/>
      <c r="G149" s="692"/>
      <c r="H149" s="692"/>
      <c r="I149" s="692"/>
      <c r="J149" s="692"/>
      <c r="K149" s="692"/>
      <c r="L149" s="688" t="s">
        <v>253</v>
      </c>
      <c r="M149" s="761">
        <f>NET_mgn.slb_SEK</f>
        <v>275</v>
      </c>
      <c r="O149" s="530"/>
      <c r="Q149" s="517"/>
    </row>
    <row r="150" spans="2:22" ht="25.5" customHeight="1">
      <c r="B150" s="596" t="s">
        <v>438</v>
      </c>
      <c r="C150" s="277" t="s">
        <v>105</v>
      </c>
      <c r="D150" s="277"/>
      <c r="E150" s="54"/>
      <c r="F150" s="689"/>
      <c r="G150" s="689"/>
      <c r="H150" s="689"/>
      <c r="I150" s="689"/>
      <c r="J150" s="689"/>
      <c r="K150" s="689"/>
      <c r="L150" s="691" t="s">
        <v>20</v>
      </c>
      <c r="M150" s="703">
        <f>NET_rdns_SEK</f>
        <v>0</v>
      </c>
      <c r="O150" s="530"/>
      <c r="P150" s="475"/>
      <c r="R150" s="666"/>
      <c r="S150" s="514"/>
    </row>
    <row r="151" spans="2:22" ht="25.5" customHeight="1">
      <c r="B151" s="594" t="s">
        <v>439</v>
      </c>
      <c r="C151" s="274" t="s">
        <v>107</v>
      </c>
      <c r="D151" s="274"/>
      <c r="E151" s="191"/>
      <c r="F151" s="692"/>
      <c r="G151" s="692"/>
      <c r="H151" s="692"/>
      <c r="I151" s="692"/>
      <c r="J151" s="692"/>
      <c r="K151" s="692"/>
      <c r="L151" s="688" t="s">
        <v>20</v>
      </c>
      <c r="M151" s="761">
        <f>NET_byoip_SEK</f>
        <v>0</v>
      </c>
      <c r="O151" s="530"/>
      <c r="P151" s="475"/>
      <c r="R151" s="666"/>
      <c r="S151" s="514"/>
    </row>
    <row r="152" spans="2:22" ht="40.5" customHeight="1">
      <c r="B152" s="287"/>
      <c r="C152" s="287"/>
      <c r="D152" s="288"/>
      <c r="E152" s="288"/>
      <c r="F152" s="695"/>
      <c r="G152" s="695"/>
      <c r="H152" s="695"/>
      <c r="I152" s="695"/>
      <c r="J152" s="695"/>
      <c r="K152" s="695"/>
      <c r="L152" s="696"/>
      <c r="M152" s="695"/>
      <c r="O152" s="530"/>
      <c r="P152" s="475"/>
      <c r="R152" s="666"/>
      <c r="S152" s="514"/>
    </row>
    <row r="153" spans="2:22" ht="25.5" customHeight="1">
      <c r="B153" s="221" t="s">
        <v>322</v>
      </c>
      <c r="C153" s="135"/>
      <c r="D153" s="135"/>
      <c r="E153" s="135"/>
      <c r="F153" s="524"/>
      <c r="G153" s="524"/>
      <c r="H153" s="524"/>
      <c r="I153" s="524"/>
      <c r="J153" s="524"/>
      <c r="K153" s="524"/>
      <c r="L153" s="697"/>
      <c r="M153" s="474"/>
      <c r="O153" s="530"/>
      <c r="Q153" s="517"/>
      <c r="R153" s="666"/>
      <c r="S153" s="514"/>
    </row>
    <row r="154" spans="2:22" ht="25.5" customHeight="1">
      <c r="B154" s="273" t="s">
        <v>23</v>
      </c>
      <c r="C154" s="262" t="s">
        <v>87</v>
      </c>
      <c r="D154" s="262"/>
      <c r="E154" s="262" t="s">
        <v>295</v>
      </c>
      <c r="F154" s="608"/>
      <c r="G154" s="608"/>
      <c r="H154" s="608"/>
      <c r="I154" s="608"/>
      <c r="J154" s="608"/>
      <c r="K154" s="608"/>
      <c r="L154" s="685" t="s">
        <v>534</v>
      </c>
      <c r="M154" s="607" t="s">
        <v>318</v>
      </c>
      <c r="O154" s="530"/>
      <c r="R154" s="666"/>
      <c r="S154" s="514"/>
    </row>
    <row r="155" spans="2:22" ht="25.5" customHeight="1">
      <c r="B155" s="594" t="s">
        <v>440</v>
      </c>
      <c r="C155" s="274"/>
      <c r="D155" s="191"/>
      <c r="E155" s="191" t="s">
        <v>441</v>
      </c>
      <c r="F155" s="617"/>
      <c r="G155" s="617"/>
      <c r="H155" s="617"/>
      <c r="I155" s="617"/>
      <c r="J155" s="617"/>
      <c r="K155" s="617"/>
      <c r="L155" s="688" t="s">
        <v>11</v>
      </c>
      <c r="M155" s="379">
        <f>SW_win.ser.201X_SEK</f>
        <v>175</v>
      </c>
      <c r="N155" s="626"/>
      <c r="O155" s="530"/>
      <c r="Q155" s="666"/>
      <c r="R155" s="666"/>
      <c r="S155" s="514"/>
      <c r="U155" s="502"/>
      <c r="V155" s="502"/>
    </row>
    <row r="156" spans="2:22" ht="25.5" customHeight="1">
      <c r="B156" s="596" t="s">
        <v>442</v>
      </c>
      <c r="C156" s="277"/>
      <c r="D156" s="197"/>
      <c r="E156" s="197" t="s">
        <v>443</v>
      </c>
      <c r="F156" s="689"/>
      <c r="G156" s="689"/>
      <c r="H156" s="689"/>
      <c r="I156" s="689"/>
      <c r="J156" s="689"/>
      <c r="K156" s="689"/>
      <c r="L156" s="694" t="s">
        <v>11</v>
      </c>
      <c r="M156" s="304">
        <f>SW_win.ser.201X_SEK</f>
        <v>175</v>
      </c>
      <c r="N156" s="626"/>
      <c r="O156" s="530"/>
      <c r="Q156" s="666"/>
      <c r="R156" s="666"/>
      <c r="S156" s="514"/>
      <c r="U156" s="502"/>
      <c r="V156" s="502"/>
    </row>
    <row r="157" spans="2:22" s="490" customFormat="1" ht="25.5" customHeight="1">
      <c r="B157" s="594" t="s">
        <v>444</v>
      </c>
      <c r="C157" s="274"/>
      <c r="D157" s="191"/>
      <c r="E157" s="191" t="s">
        <v>537</v>
      </c>
      <c r="F157" s="617"/>
      <c r="G157" s="617"/>
      <c r="H157" s="617"/>
      <c r="I157" s="617"/>
      <c r="J157" s="617"/>
      <c r="K157" s="617"/>
      <c r="L157" s="688" t="s">
        <v>11</v>
      </c>
      <c r="M157" s="379">
        <f>SW_ms.sql.ser_SEK</f>
        <v>1229</v>
      </c>
      <c r="O157" s="530"/>
      <c r="P157" s="474"/>
      <c r="R157" s="666"/>
      <c r="S157" s="514"/>
    </row>
    <row r="158" spans="2:22" ht="25.5" customHeight="1">
      <c r="B158" s="596" t="s">
        <v>446</v>
      </c>
      <c r="C158" s="277"/>
      <c r="D158" s="197"/>
      <c r="E158" s="197" t="s">
        <v>447</v>
      </c>
      <c r="F158" s="689"/>
      <c r="G158" s="689"/>
      <c r="H158" s="689"/>
      <c r="I158" s="689"/>
      <c r="J158" s="689"/>
      <c r="K158" s="689"/>
      <c r="L158" s="694" t="s">
        <v>538</v>
      </c>
      <c r="M158" s="304" t="str">
        <f>SW_stackn_SEK</f>
        <v>Begär offert</v>
      </c>
      <c r="O158" s="530"/>
      <c r="R158" s="666"/>
      <c r="S158" s="514"/>
    </row>
    <row r="159" spans="2:22" ht="25.5" customHeight="1">
      <c r="B159" s="594" t="s">
        <v>448</v>
      </c>
      <c r="C159" s="274"/>
      <c r="D159" s="191"/>
      <c r="E159" s="191" t="s">
        <v>449</v>
      </c>
      <c r="F159" s="617"/>
      <c r="G159" s="617"/>
      <c r="H159" s="617"/>
      <c r="I159" s="617"/>
      <c r="J159" s="617"/>
      <c r="K159" s="617"/>
      <c r="L159" s="698" t="s">
        <v>20</v>
      </c>
      <c r="M159" s="379" t="str">
        <f>SW_nextcloud_SEK</f>
        <v>Begär offert</v>
      </c>
      <c r="N159" s="626"/>
      <c r="O159" s="530"/>
      <c r="Q159" s="666"/>
      <c r="R159" s="666"/>
      <c r="S159" s="514"/>
      <c r="U159" s="502"/>
      <c r="V159" s="502"/>
    </row>
    <row r="160" spans="2:22" s="490" customFormat="1" ht="25.5" customHeight="1">
      <c r="B160" s="596" t="s">
        <v>450</v>
      </c>
      <c r="C160" s="277"/>
      <c r="D160" s="197"/>
      <c r="E160" s="197" t="s">
        <v>451</v>
      </c>
      <c r="F160" s="689"/>
      <c r="G160" s="689"/>
      <c r="H160" s="689"/>
      <c r="I160" s="689"/>
      <c r="J160" s="689"/>
      <c r="K160" s="689"/>
      <c r="L160" s="691" t="s">
        <v>20</v>
      </c>
      <c r="M160" s="304" t="str">
        <f>SW_suse_SEK</f>
        <v>Begär offert</v>
      </c>
      <c r="O160" s="530"/>
      <c r="P160" s="474"/>
      <c r="R160" s="666"/>
      <c r="S160" s="514"/>
    </row>
    <row r="161" spans="2:19" ht="25.5" customHeight="1">
      <c r="B161" s="594" t="s">
        <v>452</v>
      </c>
      <c r="C161" s="274"/>
      <c r="D161" s="191"/>
      <c r="E161" s="191" t="s">
        <v>453</v>
      </c>
      <c r="F161" s="617"/>
      <c r="G161" s="617"/>
      <c r="H161" s="617"/>
      <c r="I161" s="617"/>
      <c r="J161" s="617"/>
      <c r="K161" s="617"/>
      <c r="L161" s="698" t="s">
        <v>20</v>
      </c>
      <c r="M161" s="379" t="str">
        <f>SW_cluster.control_SEK</f>
        <v>3x instanspris</v>
      </c>
      <c r="O161" s="530"/>
      <c r="R161" s="666"/>
      <c r="S161" s="514"/>
    </row>
    <row r="162" spans="2:19" ht="25.5" customHeight="1">
      <c r="B162" s="596" t="s">
        <v>454</v>
      </c>
      <c r="C162" s="277"/>
      <c r="D162" s="197"/>
      <c r="E162" s="197" t="s">
        <v>455</v>
      </c>
      <c r="F162" s="689"/>
      <c r="G162" s="689"/>
      <c r="H162" s="689"/>
      <c r="I162" s="689"/>
      <c r="J162" s="689"/>
      <c r="K162" s="689"/>
      <c r="L162" s="694" t="s">
        <v>469</v>
      </c>
      <c r="M162" s="304">
        <f>SW_backup.ninja_SEK</f>
        <v>400</v>
      </c>
      <c r="O162" s="530"/>
      <c r="R162" s="666"/>
      <c r="S162" s="514"/>
    </row>
    <row r="163" spans="2:19" ht="25.5" customHeight="1">
      <c r="B163" s="292"/>
      <c r="C163" s="293"/>
      <c r="D163" s="294"/>
      <c r="E163" s="295"/>
      <c r="F163" s="699"/>
      <c r="G163" s="699"/>
      <c r="H163" s="699"/>
      <c r="I163" s="699"/>
      <c r="J163" s="699"/>
      <c r="K163" s="699"/>
      <c r="L163" s="700"/>
      <c r="M163" s="706"/>
      <c r="O163" s="530"/>
      <c r="P163" s="475"/>
      <c r="R163" s="666"/>
      <c r="S163" s="514"/>
    </row>
    <row r="164" spans="2:19" ht="25.5" customHeight="1">
      <c r="B164" s="11"/>
      <c r="K164" s="474"/>
      <c r="M164" s="474"/>
      <c r="O164" s="530"/>
      <c r="Q164" s="517"/>
      <c r="R164" s="666"/>
      <c r="S164" s="514"/>
    </row>
    <row r="165" spans="2:19" ht="25.5" customHeight="1">
      <c r="B165" s="221" t="s">
        <v>539</v>
      </c>
      <c r="C165" s="135"/>
      <c r="D165" s="135"/>
      <c r="F165" s="524"/>
      <c r="G165" s="524"/>
      <c r="H165" s="524"/>
      <c r="I165" s="524"/>
      <c r="J165" s="524"/>
      <c r="K165" s="524"/>
      <c r="L165" s="524"/>
      <c r="M165" s="474"/>
      <c r="O165" s="530"/>
      <c r="Q165" s="517"/>
      <c r="R165" s="666"/>
      <c r="S165" s="514"/>
    </row>
    <row r="166" spans="2:19" ht="25.5" customHeight="1">
      <c r="B166" s="273" t="s">
        <v>23</v>
      </c>
      <c r="C166" s="262"/>
      <c r="D166" s="262"/>
      <c r="E166" s="262" t="s">
        <v>295</v>
      </c>
      <c r="F166" s="608"/>
      <c r="G166" s="608"/>
      <c r="H166" s="608"/>
      <c r="I166" s="608"/>
      <c r="J166" s="608"/>
      <c r="K166" s="608"/>
      <c r="L166" s="607"/>
      <c r="M166" s="607" t="s">
        <v>318</v>
      </c>
      <c r="O166" s="530"/>
      <c r="Q166" s="517"/>
      <c r="R166" s="666"/>
      <c r="S166" s="514"/>
    </row>
    <row r="167" spans="2:19" ht="25.5" customHeight="1">
      <c r="B167" s="594" t="s">
        <v>457</v>
      </c>
      <c r="C167" s="274"/>
      <c r="D167" s="191"/>
      <c r="E167" s="191" t="s">
        <v>458</v>
      </c>
      <c r="F167" s="617"/>
      <c r="G167" s="617"/>
      <c r="H167" s="617"/>
      <c r="I167" s="617"/>
      <c r="J167" s="617"/>
      <c r="K167" s="617"/>
      <c r="L167" s="687"/>
      <c r="M167" s="827" t="str">
        <f>PAAS_man.kubernetes24_SEK</f>
        <v>Begär offert</v>
      </c>
      <c r="O167" s="530"/>
      <c r="Q167" s="517"/>
      <c r="R167" s="666"/>
      <c r="S167" s="514"/>
    </row>
    <row r="168" spans="2:19" ht="25.5" customHeight="1">
      <c r="B168" s="596" t="s">
        <v>459</v>
      </c>
      <c r="C168" s="277"/>
      <c r="D168" s="197"/>
      <c r="E168" s="197" t="s">
        <v>460</v>
      </c>
      <c r="F168" s="689"/>
      <c r="G168" s="689"/>
      <c r="H168" s="689"/>
      <c r="I168" s="689"/>
      <c r="J168" s="689"/>
      <c r="K168" s="689"/>
      <c r="L168" s="690"/>
      <c r="M168" s="444" t="str">
        <f>PAAS_man.kubernetes8_SEK</f>
        <v>Begär offert</v>
      </c>
      <c r="O168" s="530"/>
      <c r="Q168" s="517"/>
      <c r="R168" s="666"/>
      <c r="S168" s="514"/>
    </row>
    <row r="169" spans="2:19" ht="25.5" customHeight="1">
      <c r="B169" s="594" t="s">
        <v>461</v>
      </c>
      <c r="C169" s="274"/>
      <c r="D169" s="191"/>
      <c r="E169" s="191" t="s">
        <v>540</v>
      </c>
      <c r="F169" s="617"/>
      <c r="G169" s="617"/>
      <c r="H169" s="617"/>
      <c r="I169" s="617"/>
      <c r="J169" s="617"/>
      <c r="K169" s="617"/>
      <c r="L169" s="687"/>
      <c r="M169" s="447" t="s">
        <v>541</v>
      </c>
      <c r="O169" s="530"/>
      <c r="Q169" s="517"/>
      <c r="R169" s="666"/>
      <c r="S169" s="514"/>
    </row>
    <row r="170" spans="2:19" ht="25.5" customHeight="1">
      <c r="B170" s="596" t="s">
        <v>463</v>
      </c>
      <c r="C170" s="277"/>
      <c r="D170" s="197"/>
      <c r="E170" s="197" t="s">
        <v>135</v>
      </c>
      <c r="F170" s="689"/>
      <c r="G170" s="689"/>
      <c r="H170" s="689"/>
      <c r="I170" s="689"/>
      <c r="J170" s="689"/>
      <c r="K170" s="689"/>
      <c r="L170" s="690"/>
      <c r="M170" s="444" t="s">
        <v>541</v>
      </c>
      <c r="O170" s="530"/>
      <c r="Q170" s="517"/>
      <c r="R170" s="666"/>
      <c r="S170" s="514"/>
    </row>
    <row r="171" spans="2:19" ht="25.5" customHeight="1">
      <c r="B171" s="594" t="s">
        <v>465</v>
      </c>
      <c r="C171" s="274"/>
      <c r="D171" s="191"/>
      <c r="E171" s="191" t="s">
        <v>466</v>
      </c>
      <c r="F171" s="617"/>
      <c r="G171" s="617"/>
      <c r="H171" s="617"/>
      <c r="I171" s="617"/>
      <c r="J171" s="617"/>
      <c r="K171" s="617"/>
      <c r="L171" s="687"/>
      <c r="M171" s="447" t="s">
        <v>541</v>
      </c>
      <c r="O171" s="530"/>
      <c r="Q171" s="517"/>
      <c r="R171" s="666"/>
      <c r="S171" s="514"/>
    </row>
    <row r="172" spans="2:19" ht="25.5" customHeight="1">
      <c r="B172" s="596" t="s">
        <v>468</v>
      </c>
      <c r="C172" s="277"/>
      <c r="D172" s="197"/>
      <c r="E172" s="197" t="s">
        <v>133</v>
      </c>
      <c r="F172" s="689"/>
      <c r="G172" s="689"/>
      <c r="H172" s="689"/>
      <c r="I172" s="689"/>
      <c r="J172" s="689"/>
      <c r="K172" s="689"/>
      <c r="L172" s="690"/>
      <c r="M172" s="828" t="s">
        <v>541</v>
      </c>
      <c r="O172" s="530"/>
      <c r="Q172" s="517"/>
      <c r="R172" s="666"/>
      <c r="S172" s="514"/>
    </row>
    <row r="173" spans="2:19" ht="25.5" customHeight="1">
      <c r="B173" s="293"/>
      <c r="C173" s="293"/>
      <c r="D173" s="303"/>
      <c r="E173" s="295"/>
      <c r="F173" s="699"/>
      <c r="G173" s="699"/>
      <c r="H173" s="699"/>
      <c r="I173" s="699"/>
      <c r="J173" s="699"/>
      <c r="K173" s="699"/>
      <c r="L173" s="700"/>
      <c r="M173" s="706"/>
      <c r="O173" s="530"/>
      <c r="Q173" s="517"/>
      <c r="R173" s="666"/>
      <c r="S173" s="514"/>
    </row>
    <row r="174" spans="2:19" ht="25.5" customHeight="1">
      <c r="B174" s="277"/>
      <c r="C174" s="277"/>
      <c r="D174" s="197"/>
      <c r="E174" s="299"/>
      <c r="F174" s="689"/>
      <c r="G174" s="690"/>
      <c r="H174" s="694"/>
      <c r="I174" s="703"/>
      <c r="M174" s="666"/>
      <c r="N174" s="514"/>
      <c r="O174" s="530"/>
    </row>
    <row r="175" spans="2:19" ht="25.5" customHeight="1">
      <c r="B175" s="260"/>
      <c r="C175" s="239"/>
      <c r="D175" s="239"/>
      <c r="E175" s="239"/>
      <c r="F175" s="664"/>
      <c r="G175" s="665"/>
      <c r="H175" s="704"/>
      <c r="I175" s="626"/>
      <c r="J175" s="626"/>
      <c r="K175" s="626"/>
      <c r="L175" s="666"/>
      <c r="M175" s="666"/>
      <c r="N175" s="514"/>
      <c r="O175" s="530"/>
      <c r="P175" s="502"/>
      <c r="Q175" s="502"/>
    </row>
    <row r="176" spans="2:19" s="490" customFormat="1" ht="25.5" customHeight="1">
      <c r="B176" s="1006" t="s">
        <v>326</v>
      </c>
      <c r="C176" s="1006"/>
      <c r="D176" s="1006"/>
      <c r="E176" s="1006"/>
      <c r="F176" s="1006"/>
      <c r="G176" s="1006"/>
      <c r="H176" s="705"/>
      <c r="J176" s="501"/>
      <c r="K176" s="501"/>
      <c r="M176" s="666"/>
      <c r="N176" s="514"/>
      <c r="O176" s="530"/>
    </row>
    <row r="177" spans="2:22" s="490" customFormat="1" ht="25.5" customHeight="1">
      <c r="B177" s="1006"/>
      <c r="C177" s="1006"/>
      <c r="D177" s="1006"/>
      <c r="E177" s="1006"/>
      <c r="F177" s="1006"/>
      <c r="G177" s="1006"/>
      <c r="H177" s="705"/>
      <c r="J177" s="501"/>
      <c r="K177" s="501"/>
      <c r="M177" s="666"/>
      <c r="N177" s="514"/>
      <c r="O177" s="530"/>
    </row>
    <row r="178" spans="2:22" s="490" customFormat="1" ht="25.5" customHeight="1">
      <c r="B178" s="1006"/>
      <c r="C178" s="1006"/>
      <c r="D178" s="1006"/>
      <c r="E178" s="1006"/>
      <c r="F178" s="1006"/>
      <c r="G178" s="1006"/>
      <c r="H178" s="705"/>
      <c r="J178" s="501"/>
      <c r="K178" s="501"/>
      <c r="M178" s="666"/>
      <c r="N178" s="514"/>
      <c r="O178" s="530"/>
    </row>
    <row r="179" spans="2:22" s="490" customFormat="1" ht="25.5" customHeight="1">
      <c r="B179" s="1007" t="s">
        <v>506</v>
      </c>
      <c r="C179" s="1007"/>
      <c r="D179" s="1007"/>
      <c r="E179" s="1007"/>
      <c r="F179" s="1007"/>
      <c r="H179" s="705"/>
      <c r="J179" s="501"/>
      <c r="K179" s="501"/>
      <c r="M179" s="666"/>
      <c r="N179" s="514"/>
      <c r="O179" s="530"/>
    </row>
    <row r="180" spans="2:22" s="490" customFormat="1" ht="25.5" customHeight="1">
      <c r="B180" s="1034"/>
      <c r="C180" s="1034"/>
      <c r="D180" s="1034"/>
      <c r="E180" s="1034"/>
      <c r="F180" s="1034"/>
      <c r="G180" s="506"/>
      <c r="H180" s="507"/>
      <c r="I180" s="506"/>
      <c r="J180" s="508"/>
      <c r="K180" s="639"/>
      <c r="L180" s="506"/>
      <c r="M180" s="666"/>
      <c r="N180" s="514"/>
      <c r="O180" s="530"/>
    </row>
    <row r="181" spans="2:22" s="490" customFormat="1" ht="25.5" customHeight="1">
      <c r="B181" s="64"/>
      <c r="C181" s="64"/>
      <c r="D181" s="64"/>
      <c r="E181" s="64"/>
      <c r="F181" s="512"/>
      <c r="G181" s="506"/>
      <c r="H181" s="507"/>
      <c r="I181" s="506"/>
      <c r="J181" s="508"/>
      <c r="K181" s="639"/>
      <c r="L181" s="506"/>
      <c r="M181" s="666"/>
      <c r="N181" s="514"/>
      <c r="O181" s="530"/>
    </row>
    <row r="182" spans="2:22" ht="25.5" customHeight="1">
      <c r="B182" s="221" t="s">
        <v>139</v>
      </c>
      <c r="C182" s="135"/>
      <c r="D182" s="135"/>
      <c r="F182" s="524"/>
      <c r="G182" s="524"/>
      <c r="H182" s="524"/>
      <c r="I182" s="524"/>
      <c r="J182" s="524"/>
      <c r="K182" s="524"/>
      <c r="L182" s="524"/>
      <c r="M182" s="474"/>
      <c r="N182" s="626"/>
      <c r="O182" s="530"/>
      <c r="Q182" s="666"/>
      <c r="R182" s="666"/>
      <c r="S182" s="514"/>
      <c r="U182" s="502"/>
      <c r="V182" s="502"/>
    </row>
    <row r="183" spans="2:22" ht="25.5" customHeight="1">
      <c r="B183" s="273" t="s">
        <v>23</v>
      </c>
      <c r="C183" s="262"/>
      <c r="D183" s="262" t="s">
        <v>295</v>
      </c>
      <c r="E183" s="1"/>
      <c r="F183" s="608"/>
      <c r="G183" s="607"/>
      <c r="H183" s="607"/>
      <c r="I183" s="607"/>
      <c r="J183" s="607"/>
      <c r="K183" s="685" t="s">
        <v>542</v>
      </c>
      <c r="L183" s="685"/>
      <c r="M183" s="607" t="s">
        <v>77</v>
      </c>
      <c r="N183" s="626"/>
      <c r="O183" s="530"/>
      <c r="Q183" s="666"/>
      <c r="R183" s="666"/>
      <c r="S183" s="514"/>
      <c r="U183" s="502"/>
      <c r="V183" s="502"/>
    </row>
    <row r="184" spans="2:22" ht="25.5" customHeight="1">
      <c r="B184" s="594" t="s">
        <v>471</v>
      </c>
      <c r="C184" s="274"/>
      <c r="D184" s="191" t="s">
        <v>472</v>
      </c>
      <c r="E184" s="301"/>
      <c r="F184" s="617"/>
      <c r="G184" s="687"/>
      <c r="H184" s="687"/>
      <c r="I184" s="687"/>
      <c r="J184" s="687"/>
      <c r="K184" s="698" t="s">
        <v>20</v>
      </c>
      <c r="L184" s="698"/>
      <c r="M184" s="379">
        <v>0</v>
      </c>
      <c r="N184" s="626"/>
      <c r="O184" s="530"/>
      <c r="Q184" s="666"/>
      <c r="R184" s="666"/>
      <c r="S184" s="514"/>
      <c r="U184" s="502"/>
      <c r="V184" s="502"/>
    </row>
    <row r="185" spans="2:22" ht="25.5" customHeight="1">
      <c r="B185" s="596" t="s">
        <v>473</v>
      </c>
      <c r="C185" s="277"/>
      <c r="D185" s="197" t="s">
        <v>474</v>
      </c>
      <c r="E185" s="299"/>
      <c r="F185" s="689"/>
      <c r="G185" s="690"/>
      <c r="H185" s="690"/>
      <c r="I185" s="690"/>
      <c r="J185" s="690"/>
      <c r="K185" s="694" t="s">
        <v>543</v>
      </c>
      <c r="L185" s="694"/>
      <c r="M185" s="304" t="s">
        <v>544</v>
      </c>
      <c r="N185" s="626"/>
      <c r="O185" s="530"/>
      <c r="Q185" s="666"/>
      <c r="R185" s="666"/>
      <c r="S185" s="514"/>
      <c r="U185" s="502"/>
      <c r="V185" s="502"/>
    </row>
    <row r="186" spans="2:22" ht="25.5" customHeight="1">
      <c r="B186" s="594" t="s">
        <v>477</v>
      </c>
      <c r="C186" s="274"/>
      <c r="D186" s="191" t="s">
        <v>144</v>
      </c>
      <c r="E186" s="301"/>
      <c r="F186" s="617"/>
      <c r="G186" s="687"/>
      <c r="H186" s="687"/>
      <c r="I186" s="687"/>
      <c r="J186" s="687"/>
      <c r="K186" s="688" t="s">
        <v>545</v>
      </c>
      <c r="L186" s="688"/>
      <c r="M186" s="379" t="s">
        <v>546</v>
      </c>
      <c r="N186" s="626"/>
      <c r="O186" s="530"/>
      <c r="Q186" s="666"/>
      <c r="R186" s="666"/>
      <c r="S186" s="514"/>
      <c r="U186" s="502"/>
      <c r="V186" s="502"/>
    </row>
    <row r="187" spans="2:22" ht="25.5" customHeight="1">
      <c r="B187" s="292"/>
      <c r="C187" s="293"/>
      <c r="D187" s="303" t="s">
        <v>547</v>
      </c>
      <c r="E187" s="295"/>
      <c r="F187" s="699"/>
      <c r="G187" s="700"/>
      <c r="H187" s="700"/>
      <c r="I187" s="700"/>
      <c r="J187" s="700"/>
      <c r="K187" s="701"/>
      <c r="L187" s="701"/>
      <c r="M187" s="706"/>
      <c r="N187" s="626"/>
      <c r="O187" s="530"/>
      <c r="P187" s="666"/>
      <c r="Q187" s="666"/>
      <c r="R187" s="666"/>
      <c r="S187" s="514"/>
      <c r="U187" s="502"/>
      <c r="V187" s="502"/>
    </row>
    <row r="188" spans="2:22" ht="25.5" customHeight="1">
      <c r="B188" s="596"/>
      <c r="C188" s="277"/>
      <c r="D188" s="197"/>
      <c r="E188" s="299"/>
      <c r="F188" s="689"/>
      <c r="G188" s="690"/>
      <c r="H188" s="690"/>
      <c r="I188" s="690"/>
      <c r="J188" s="690"/>
      <c r="K188" s="694"/>
      <c r="L188" s="694"/>
      <c r="M188" s="703"/>
      <c r="N188" s="626"/>
      <c r="O188" s="530"/>
      <c r="P188" s="666"/>
      <c r="Q188" s="666"/>
      <c r="R188" s="666"/>
      <c r="S188" s="514"/>
      <c r="U188" s="502"/>
      <c r="V188" s="502"/>
    </row>
    <row r="189" spans="2:22" ht="25.5" customHeight="1">
      <c r="B189" s="221" t="s">
        <v>548</v>
      </c>
      <c r="C189" s="135"/>
      <c r="D189" s="135"/>
      <c r="F189" s="524"/>
      <c r="G189" s="524"/>
      <c r="H189" s="524"/>
      <c r="I189" s="524"/>
      <c r="J189" s="524"/>
      <c r="K189" s="697"/>
      <c r="L189" s="697"/>
      <c r="M189" s="474"/>
      <c r="N189" s="626"/>
      <c r="O189" s="530"/>
      <c r="Q189" s="666"/>
      <c r="R189" s="666"/>
      <c r="S189" s="514"/>
      <c r="U189" s="502"/>
      <c r="V189" s="502"/>
    </row>
    <row r="190" spans="2:22" ht="25.5" customHeight="1">
      <c r="B190" s="273" t="s">
        <v>23</v>
      </c>
      <c r="C190" s="262"/>
      <c r="D190" s="262" t="s">
        <v>295</v>
      </c>
      <c r="E190" s="1"/>
      <c r="F190" s="608"/>
      <c r="G190" s="607"/>
      <c r="H190" s="607"/>
      <c r="I190" s="607"/>
      <c r="J190" s="607"/>
      <c r="K190" s="685" t="s">
        <v>542</v>
      </c>
      <c r="L190" s="685"/>
      <c r="M190" s="607" t="s">
        <v>77</v>
      </c>
      <c r="N190" s="626"/>
      <c r="O190" s="530"/>
      <c r="Q190" s="666"/>
      <c r="R190" s="666"/>
      <c r="S190" s="514"/>
      <c r="U190" s="502"/>
      <c r="V190" s="502"/>
    </row>
    <row r="191" spans="2:22" ht="25.5" customHeight="1">
      <c r="B191" s="594" t="s">
        <v>481</v>
      </c>
      <c r="C191" s="274"/>
      <c r="D191" s="191" t="s">
        <v>150</v>
      </c>
      <c r="E191" s="301"/>
      <c r="F191" s="617"/>
      <c r="G191" s="687"/>
      <c r="H191" s="687"/>
      <c r="I191" s="687"/>
      <c r="J191" s="687"/>
      <c r="K191" s="688" t="s">
        <v>545</v>
      </c>
      <c r="L191" s="688"/>
      <c r="M191" s="829">
        <f>PS_consult.jun_SEK</f>
        <v>1127</v>
      </c>
      <c r="N191" s="626"/>
      <c r="O191" s="530"/>
      <c r="Q191" s="666"/>
      <c r="R191" s="666"/>
      <c r="S191" s="514"/>
      <c r="U191" s="502"/>
      <c r="V191" s="502"/>
    </row>
    <row r="192" spans="2:22" ht="25.5" customHeight="1">
      <c r="B192" s="596" t="s">
        <v>482</v>
      </c>
      <c r="C192" s="277"/>
      <c r="D192" s="197" t="s">
        <v>152</v>
      </c>
      <c r="E192" s="299"/>
      <c r="F192" s="689"/>
      <c r="G192" s="690"/>
      <c r="H192" s="690"/>
      <c r="I192" s="690"/>
      <c r="J192" s="690"/>
      <c r="K192" s="694" t="s">
        <v>545</v>
      </c>
      <c r="L192" s="694"/>
      <c r="M192" s="830">
        <f>PS_consult.sen_SEK</f>
        <v>1374</v>
      </c>
      <c r="N192" s="626"/>
      <c r="O192" s="530"/>
      <c r="Q192" s="666"/>
      <c r="R192" s="666"/>
      <c r="S192" s="514"/>
      <c r="U192" s="502"/>
      <c r="V192" s="502"/>
    </row>
    <row r="193" spans="1:22" ht="25.5" customHeight="1">
      <c r="B193" s="594" t="s">
        <v>483</v>
      </c>
      <c r="C193" s="274"/>
      <c r="D193" s="191" t="s">
        <v>154</v>
      </c>
      <c r="E193" s="301"/>
      <c r="F193" s="617"/>
      <c r="G193" s="687"/>
      <c r="H193" s="687"/>
      <c r="I193" s="687"/>
      <c r="J193" s="687"/>
      <c r="K193" s="688" t="s">
        <v>545</v>
      </c>
      <c r="L193" s="688"/>
      <c r="M193" s="829">
        <f>PS_cloudarch.jun_SEK</f>
        <v>1277</v>
      </c>
      <c r="N193" s="626"/>
      <c r="O193" s="530"/>
      <c r="Q193" s="666"/>
      <c r="R193" s="666"/>
      <c r="S193" s="514"/>
      <c r="U193" s="502"/>
      <c r="V193" s="502"/>
    </row>
    <row r="194" spans="1:22" ht="25.5" customHeight="1">
      <c r="B194" s="596" t="s">
        <v>484</v>
      </c>
      <c r="C194" s="277"/>
      <c r="D194" s="197" t="s">
        <v>156</v>
      </c>
      <c r="E194" s="197"/>
      <c r="F194" s="622"/>
      <c r="G194" s="690"/>
      <c r="H194" s="690"/>
      <c r="I194" s="690"/>
      <c r="J194" s="690"/>
      <c r="K194" s="694" t="s">
        <v>545</v>
      </c>
      <c r="L194" s="694"/>
      <c r="M194" s="830">
        <f>PS_cloudarch.sen_SEK</f>
        <v>1374</v>
      </c>
      <c r="N194" s="626"/>
      <c r="O194" s="530"/>
      <c r="Q194" s="666"/>
      <c r="R194" s="666"/>
      <c r="S194" s="514"/>
      <c r="U194" s="502"/>
      <c r="V194" s="502"/>
    </row>
    <row r="195" spans="1:22" ht="25.5" customHeight="1">
      <c r="B195" s="594" t="s">
        <v>485</v>
      </c>
      <c r="C195" s="274"/>
      <c r="D195" s="191" t="s">
        <v>158</v>
      </c>
      <c r="E195" s="301"/>
      <c r="F195" s="617"/>
      <c r="G195" s="687"/>
      <c r="H195" s="687"/>
      <c r="I195" s="687"/>
      <c r="J195" s="687"/>
      <c r="K195" s="688" t="s">
        <v>545</v>
      </c>
      <c r="L195" s="688"/>
      <c r="M195" s="829">
        <f>PS_pm.jun_SEK</f>
        <v>1139</v>
      </c>
      <c r="N195" s="626"/>
      <c r="O195" s="530"/>
      <c r="Q195" s="666"/>
      <c r="R195" s="666"/>
      <c r="S195" s="514"/>
      <c r="U195" s="502"/>
      <c r="V195" s="502"/>
    </row>
    <row r="196" spans="1:22" ht="25.5" customHeight="1">
      <c r="B196" s="596" t="s">
        <v>486</v>
      </c>
      <c r="C196" s="277"/>
      <c r="D196" s="197" t="s">
        <v>160</v>
      </c>
      <c r="E196" s="299"/>
      <c r="F196" s="689"/>
      <c r="G196" s="690"/>
      <c r="H196" s="690"/>
      <c r="I196" s="690"/>
      <c r="J196" s="690"/>
      <c r="K196" s="694" t="s">
        <v>545</v>
      </c>
      <c r="L196" s="694"/>
      <c r="M196" s="830">
        <f>PS_pm.sen_SEK</f>
        <v>1374</v>
      </c>
      <c r="N196" s="626"/>
      <c r="O196" s="530"/>
      <c r="Q196" s="666"/>
      <c r="R196" s="666"/>
      <c r="S196" s="514"/>
      <c r="U196" s="502"/>
      <c r="V196" s="502"/>
    </row>
    <row r="197" spans="1:22" ht="25.5" customHeight="1">
      <c r="B197" s="292"/>
      <c r="C197" s="293"/>
      <c r="D197" s="303"/>
      <c r="E197" s="295"/>
      <c r="F197" s="699"/>
      <c r="G197" s="700"/>
      <c r="H197" s="700"/>
      <c r="I197" s="700"/>
      <c r="J197" s="700"/>
      <c r="K197" s="701"/>
      <c r="L197" s="701"/>
      <c r="M197" s="706"/>
      <c r="N197" s="626"/>
      <c r="O197" s="530"/>
      <c r="P197" s="666"/>
      <c r="Q197" s="666"/>
      <c r="R197" s="666"/>
      <c r="S197" s="514"/>
      <c r="U197" s="502"/>
      <c r="V197" s="502"/>
    </row>
    <row r="198" spans="1:22" ht="25.5" customHeight="1">
      <c r="B198" s="277"/>
      <c r="C198" s="277"/>
      <c r="D198" s="197"/>
      <c r="E198" s="299"/>
      <c r="F198" s="689"/>
      <c r="G198" s="690"/>
      <c r="H198" s="690"/>
      <c r="I198" s="690"/>
      <c r="J198" s="690"/>
      <c r="K198" s="694"/>
      <c r="L198" s="694"/>
      <c r="M198" s="703"/>
      <c r="O198" s="530"/>
      <c r="Q198" s="517"/>
      <c r="R198" s="666"/>
      <c r="S198" s="514"/>
    </row>
    <row r="199" spans="1:22" ht="25.5" customHeight="1">
      <c r="B199" s="221" t="s">
        <v>333</v>
      </c>
      <c r="C199" s="135"/>
      <c r="D199" s="135"/>
      <c r="F199" s="524"/>
      <c r="G199" s="524"/>
      <c r="H199" s="524"/>
      <c r="I199" s="524"/>
      <c r="J199" s="524"/>
      <c r="K199" s="697"/>
      <c r="L199" s="697"/>
      <c r="M199" s="474"/>
      <c r="N199" s="626"/>
      <c r="O199" s="530"/>
      <c r="Q199" s="666"/>
      <c r="R199" s="666"/>
      <c r="S199" s="514"/>
      <c r="U199" s="502"/>
      <c r="V199" s="502"/>
    </row>
    <row r="200" spans="1:22" ht="25.5" customHeight="1">
      <c r="B200" s="273" t="s">
        <v>23</v>
      </c>
      <c r="C200" s="262"/>
      <c r="D200" s="262" t="s">
        <v>295</v>
      </c>
      <c r="E200" s="1"/>
      <c r="F200" s="608"/>
      <c r="G200" s="685" t="s">
        <v>549</v>
      </c>
      <c r="H200" s="685"/>
      <c r="I200" s="685"/>
      <c r="J200" s="685"/>
      <c r="K200" s="685" t="s">
        <v>542</v>
      </c>
      <c r="L200" s="685"/>
      <c r="M200" s="607" t="s">
        <v>77</v>
      </c>
      <c r="N200" s="626"/>
      <c r="O200" s="530"/>
      <c r="Q200" s="666"/>
      <c r="R200" s="666"/>
      <c r="S200" s="514"/>
      <c r="U200" s="502"/>
      <c r="V200" s="502"/>
    </row>
    <row r="201" spans="1:22" ht="25.5" customHeight="1">
      <c r="B201" s="594" t="s">
        <v>488</v>
      </c>
      <c r="C201" s="274"/>
      <c r="D201" s="191" t="s">
        <v>550</v>
      </c>
      <c r="E201" s="301"/>
      <c r="F201" s="617"/>
      <c r="G201" s="688" t="s">
        <v>271</v>
      </c>
      <c r="H201" s="688"/>
      <c r="I201" s="688"/>
      <c r="J201" s="688"/>
      <c r="K201" s="688" t="s">
        <v>551</v>
      </c>
      <c r="L201" s="688"/>
      <c r="M201" s="379" t="s">
        <v>541</v>
      </c>
      <c r="N201" s="626"/>
      <c r="O201" s="530"/>
      <c r="Q201" s="666"/>
      <c r="R201" s="666"/>
      <c r="S201" s="514"/>
      <c r="U201" s="502"/>
      <c r="V201" s="502"/>
    </row>
    <row r="202" spans="1:22" ht="25.5" customHeight="1">
      <c r="B202" s="596" t="s">
        <v>489</v>
      </c>
      <c r="C202" s="277"/>
      <c r="D202" s="197" t="s">
        <v>552</v>
      </c>
      <c r="E202" s="299"/>
      <c r="F202" s="689"/>
      <c r="G202" s="694" t="s">
        <v>271</v>
      </c>
      <c r="H202" s="694"/>
      <c r="I202" s="694"/>
      <c r="J202" s="694"/>
      <c r="K202" s="694" t="s">
        <v>551</v>
      </c>
      <c r="L202" s="694"/>
      <c r="M202" s="304" t="s">
        <v>541</v>
      </c>
      <c r="N202" s="626"/>
      <c r="O202" s="530"/>
      <c r="Q202" s="666"/>
      <c r="R202" s="666"/>
      <c r="S202" s="514"/>
      <c r="U202" s="502"/>
      <c r="V202" s="502"/>
    </row>
    <row r="203" spans="1:22" ht="25.5" customHeight="1">
      <c r="B203" s="594" t="s">
        <v>491</v>
      </c>
      <c r="C203" s="274"/>
      <c r="D203" s="191" t="s">
        <v>553</v>
      </c>
      <c r="E203" s="301"/>
      <c r="F203" s="617"/>
      <c r="G203" s="688" t="s">
        <v>275</v>
      </c>
      <c r="H203" s="688"/>
      <c r="I203" s="688"/>
      <c r="J203" s="688"/>
      <c r="K203" s="688" t="s">
        <v>551</v>
      </c>
      <c r="L203" s="688"/>
      <c r="M203" s="379" t="s">
        <v>541</v>
      </c>
      <c r="N203" s="626"/>
      <c r="O203" s="530"/>
      <c r="Q203" s="666"/>
      <c r="R203" s="666"/>
      <c r="S203" s="514"/>
      <c r="U203" s="502"/>
      <c r="V203" s="502"/>
    </row>
    <row r="204" spans="1:22" ht="25.5" customHeight="1">
      <c r="B204" s="596" t="s">
        <v>493</v>
      </c>
      <c r="C204" s="277"/>
      <c r="D204" s="197" t="s">
        <v>341</v>
      </c>
      <c r="E204" s="299"/>
      <c r="F204" s="689"/>
      <c r="G204" s="694" t="s">
        <v>275</v>
      </c>
      <c r="H204" s="694"/>
      <c r="I204" s="694"/>
      <c r="J204" s="694"/>
      <c r="K204" s="694" t="s">
        <v>551</v>
      </c>
      <c r="L204" s="694"/>
      <c r="M204" s="304" t="s">
        <v>541</v>
      </c>
      <c r="N204" s="626"/>
      <c r="O204" s="530"/>
      <c r="Q204" s="666"/>
      <c r="R204" s="666"/>
      <c r="S204" s="514"/>
      <c r="U204" s="502"/>
      <c r="V204" s="502"/>
    </row>
    <row r="205" spans="1:22" ht="25.5" customHeight="1">
      <c r="B205" s="293"/>
      <c r="C205" s="293"/>
      <c r="D205" s="303"/>
      <c r="E205" s="295"/>
      <c r="F205" s="699"/>
      <c r="G205" s="700"/>
      <c r="H205" s="700"/>
      <c r="I205" s="700"/>
      <c r="J205" s="700"/>
      <c r="K205" s="700"/>
      <c r="L205" s="700"/>
      <c r="M205" s="706"/>
      <c r="N205" s="626"/>
      <c r="O205" s="530"/>
      <c r="P205" s="666"/>
      <c r="Q205" s="666"/>
      <c r="R205" s="666"/>
      <c r="S205" s="514"/>
      <c r="U205" s="502"/>
      <c r="V205" s="502"/>
    </row>
    <row r="206" spans="1:22" ht="25.5" customHeight="1">
      <c r="B206" s="260"/>
      <c r="C206" s="239"/>
      <c r="D206" s="239"/>
      <c r="E206" s="239"/>
      <c r="F206" s="664"/>
      <c r="G206" s="665"/>
      <c r="H206" s="626"/>
      <c r="I206" s="626"/>
      <c r="J206" s="626"/>
      <c r="K206" s="626"/>
      <c r="L206" s="666"/>
      <c r="M206" s="666"/>
      <c r="N206" s="514"/>
      <c r="O206" s="530"/>
      <c r="P206" s="502"/>
      <c r="Q206" s="502"/>
    </row>
    <row r="207" spans="1:22" ht="25.5" customHeight="1">
      <c r="A207" s="708"/>
      <c r="B207" s="709"/>
      <c r="C207" s="319"/>
      <c r="D207" s="319"/>
      <c r="E207" s="319"/>
      <c r="F207" s="710"/>
      <c r="G207" s="711"/>
      <c r="H207" s="712"/>
      <c r="I207" s="712"/>
      <c r="J207" s="712"/>
      <c r="K207" s="713"/>
      <c r="L207" s="713"/>
      <c r="M207" s="713"/>
      <c r="N207" s="715"/>
      <c r="O207" s="530"/>
      <c r="P207" s="502"/>
      <c r="Q207" s="502"/>
    </row>
    <row r="208" spans="1:22" s="490" customFormat="1" ht="25.5" customHeight="1">
      <c r="A208" s="484"/>
      <c r="B208" s="327"/>
      <c r="C208" s="327"/>
      <c r="D208" s="327"/>
      <c r="E208" s="327"/>
      <c r="F208" s="716"/>
      <c r="G208" s="717"/>
      <c r="H208" s="718"/>
      <c r="I208" s="718"/>
      <c r="J208" s="718"/>
      <c r="K208" s="719"/>
      <c r="L208" s="719"/>
      <c r="M208" s="719"/>
      <c r="N208" s="484"/>
      <c r="O208" s="489"/>
    </row>
    <row r="209" spans="1:22" s="490" customFormat="1" ht="25.5" customHeight="1">
      <c r="A209" s="484"/>
      <c r="B209" s="327"/>
      <c r="C209" s="327"/>
      <c r="D209" s="327"/>
      <c r="E209" s="327"/>
      <c r="F209" s="716"/>
      <c r="G209" s="717"/>
      <c r="H209" s="718"/>
      <c r="I209" s="718"/>
      <c r="J209" s="718"/>
      <c r="K209" s="719"/>
      <c r="L209" s="719"/>
      <c r="M209" s="719"/>
      <c r="N209" s="484"/>
      <c r="O209" s="489"/>
    </row>
    <row r="210" spans="1:22" s="490" customFormat="1" ht="25.5" customHeight="1">
      <c r="A210" s="484"/>
      <c r="B210" s="327"/>
      <c r="C210" s="327"/>
      <c r="D210" s="327"/>
      <c r="E210" s="327"/>
      <c r="F210" s="716"/>
      <c r="G210" s="717"/>
      <c r="H210" s="718"/>
      <c r="I210" s="718"/>
      <c r="J210" s="718"/>
      <c r="K210" s="719"/>
      <c r="L210" s="719"/>
      <c r="M210" s="719"/>
      <c r="N210" s="484"/>
      <c r="O210" s="489"/>
    </row>
    <row r="211" spans="1:22" s="490" customFormat="1" ht="25.5" customHeight="1">
      <c r="A211" s="484"/>
      <c r="B211" s="1062" t="s">
        <v>342</v>
      </c>
      <c r="C211" s="1062"/>
      <c r="D211" s="1062"/>
      <c r="E211" s="1062"/>
      <c r="F211" s="1062"/>
      <c r="G211" s="1062"/>
      <c r="H211" s="486"/>
      <c r="I211" s="484"/>
      <c r="J211" s="526"/>
      <c r="K211" s="484"/>
      <c r="L211" s="487"/>
      <c r="M211" s="487"/>
      <c r="N211" s="484"/>
      <c r="O211" s="489"/>
    </row>
    <row r="212" spans="1:22" s="490" customFormat="1" ht="25.5" customHeight="1">
      <c r="A212" s="484"/>
      <c r="B212" s="1062"/>
      <c r="C212" s="1062"/>
      <c r="D212" s="1062"/>
      <c r="E212" s="1062"/>
      <c r="F212" s="1062"/>
      <c r="G212" s="1062"/>
      <c r="H212" s="486"/>
      <c r="I212" s="484"/>
      <c r="J212" s="526"/>
      <c r="K212" s="484"/>
      <c r="L212" s="487"/>
      <c r="M212" s="487"/>
      <c r="N212" s="484"/>
      <c r="O212" s="489"/>
    </row>
    <row r="213" spans="1:22" s="490" customFormat="1" ht="25.5" customHeight="1">
      <c r="A213" s="484"/>
      <c r="B213" s="1062"/>
      <c r="C213" s="1062"/>
      <c r="D213" s="1062"/>
      <c r="E213" s="1062"/>
      <c r="F213" s="1062"/>
      <c r="G213" s="1062"/>
      <c r="H213" s="486"/>
      <c r="I213" s="484"/>
      <c r="J213" s="526"/>
      <c r="K213" s="484"/>
      <c r="L213" s="487"/>
      <c r="M213" s="487"/>
      <c r="N213" s="484"/>
      <c r="O213" s="489"/>
    </row>
    <row r="214" spans="1:22" s="490" customFormat="1" ht="25.5" customHeight="1">
      <c r="A214" s="484"/>
      <c r="B214" s="1078" t="s">
        <v>554</v>
      </c>
      <c r="C214" s="1078"/>
      <c r="D214" s="1078"/>
      <c r="E214" s="1078"/>
      <c r="F214" s="1078"/>
      <c r="G214" s="484"/>
      <c r="H214" s="486"/>
      <c r="I214" s="484"/>
      <c r="J214" s="526"/>
      <c r="K214" s="484"/>
      <c r="L214" s="487"/>
      <c r="M214" s="487"/>
      <c r="N214" s="721"/>
      <c r="O214" s="511"/>
    </row>
    <row r="215" spans="1:22" s="490" customFormat="1" ht="25.5" customHeight="1">
      <c r="A215" s="484"/>
      <c r="B215" s="32"/>
      <c r="C215" s="32"/>
      <c r="D215" s="32"/>
      <c r="E215" s="32"/>
      <c r="F215" s="722"/>
      <c r="G215" s="484"/>
      <c r="H215" s="486"/>
      <c r="I215" s="484"/>
      <c r="J215" s="526"/>
      <c r="K215" s="484"/>
      <c r="L215" s="487"/>
      <c r="M215" s="487"/>
      <c r="N215" s="721"/>
      <c r="O215" s="511"/>
    </row>
    <row r="216" spans="1:22" s="490" customFormat="1" ht="25.5" customHeight="1">
      <c r="A216" s="484"/>
      <c r="B216" s="26" t="s">
        <v>555</v>
      </c>
      <c r="C216" s="32"/>
      <c r="D216" s="32"/>
      <c r="E216" s="32"/>
      <c r="F216" s="722"/>
      <c r="G216" s="484"/>
      <c r="H216" s="486"/>
      <c r="I216" s="484"/>
      <c r="J216" s="526"/>
      <c r="K216" s="484"/>
      <c r="L216" s="487"/>
      <c r="M216" s="487"/>
      <c r="N216" s="721"/>
      <c r="O216" s="511"/>
    </row>
    <row r="217" spans="1:22" s="490" customFormat="1" ht="25.5" customHeight="1">
      <c r="A217" s="484"/>
      <c r="B217" s="27" t="s">
        <v>344</v>
      </c>
      <c r="C217" s="32"/>
      <c r="D217" s="32"/>
      <c r="E217" s="32"/>
      <c r="F217" s="722"/>
      <c r="G217" s="484"/>
      <c r="H217" s="486"/>
      <c r="I217" s="484"/>
      <c r="J217" s="526"/>
      <c r="K217" s="484"/>
      <c r="L217" s="487"/>
      <c r="M217" s="487"/>
      <c r="N217" s="721"/>
      <c r="O217" s="511"/>
    </row>
    <row r="218" spans="1:22" s="490" customFormat="1" ht="25.5" customHeight="1">
      <c r="A218" s="484"/>
      <c r="B218" s="723" t="s">
        <v>497</v>
      </c>
      <c r="C218" s="335"/>
      <c r="D218" s="335"/>
      <c r="E218" s="335"/>
      <c r="F218" s="724"/>
      <c r="G218" s="721"/>
      <c r="H218" s="725"/>
      <c r="I218" s="721"/>
      <c r="J218" s="726"/>
      <c r="K218" s="721"/>
      <c r="L218" s="727"/>
      <c r="M218" s="727"/>
      <c r="N218" s="721"/>
      <c r="O218" s="511"/>
    </row>
    <row r="219" spans="1:22" s="571" customFormat="1" ht="25.5" customHeight="1">
      <c r="A219" s="729"/>
      <c r="B219" s="340"/>
      <c r="C219" s="340"/>
      <c r="D219" s="340"/>
      <c r="E219" s="340"/>
      <c r="F219" s="730"/>
      <c r="G219" s="721"/>
      <c r="H219" s="725"/>
      <c r="I219" s="721"/>
      <c r="J219" s="726"/>
      <c r="K219" s="721"/>
      <c r="L219" s="727"/>
      <c r="M219" s="727"/>
      <c r="N219" s="729"/>
      <c r="O219" s="663"/>
      <c r="P219" s="731"/>
      <c r="Q219" s="606"/>
      <c r="R219" s="606"/>
      <c r="S219" s="606"/>
      <c r="T219" s="606"/>
      <c r="U219" s="606"/>
      <c r="V219" s="606"/>
    </row>
    <row r="220" spans="1:22" ht="25.5" customHeight="1">
      <c r="A220" s="477"/>
      <c r="B220" s="732" t="s">
        <v>556</v>
      </c>
      <c r="C220" s="344"/>
      <c r="D220" s="345"/>
      <c r="E220" s="344"/>
      <c r="F220" s="733"/>
      <c r="G220" s="733"/>
      <c r="H220" s="733"/>
      <c r="I220" s="733"/>
      <c r="J220" s="734"/>
      <c r="K220" s="734"/>
      <c r="L220" s="733" t="s">
        <v>342</v>
      </c>
      <c r="M220" s="831"/>
      <c r="N220" s="736"/>
      <c r="O220" s="480"/>
      <c r="P220" s="683"/>
    </row>
    <row r="221" spans="1:22" ht="25.5" customHeight="1">
      <c r="A221" s="477"/>
      <c r="B221" s="737" t="s">
        <v>500</v>
      </c>
      <c r="C221" s="738" t="str">
        <f>SUM(C67+C38)&amp;" vCPU"</f>
        <v>0 vCPU</v>
      </c>
      <c r="D221" s="738" t="str">
        <f>SUM(D38+D67)&amp;" GB RAM"</f>
        <v>0 GB RAM</v>
      </c>
      <c r="E221" s="738" t="str">
        <f>SUM(E38)&amp;" GB  Disk"</f>
        <v>0 GB  Disk</v>
      </c>
      <c r="F221" s="1077" t="str">
        <f>SUM(E67)&amp;" GB NVME-Disk"</f>
        <v>0 GB NVME-Disk</v>
      </c>
      <c r="G221" s="1077"/>
      <c r="H221" s="739"/>
      <c r="I221" s="739"/>
      <c r="J221" s="740"/>
      <c r="K221" s="740"/>
      <c r="L221" s="832">
        <f>L76+L84+K67+K38+K91</f>
        <v>0</v>
      </c>
      <c r="M221" s="763"/>
      <c r="N221" s="477"/>
      <c r="O221" s="480"/>
      <c r="P221" s="683"/>
    </row>
    <row r="222" spans="1:22" ht="25.5" customHeight="1">
      <c r="A222" s="477"/>
      <c r="B222" s="743" t="s">
        <v>501</v>
      </c>
      <c r="C222" s="743"/>
      <c r="D222" s="363"/>
      <c r="E222" s="364"/>
      <c r="F222" s="744"/>
      <c r="G222" s="745"/>
      <c r="H222" s="745"/>
      <c r="I222" s="745"/>
      <c r="J222" s="746"/>
      <c r="K222" s="746"/>
      <c r="L222" s="833">
        <f>M112</f>
        <v>0</v>
      </c>
      <c r="M222" s="763"/>
      <c r="N222" s="477"/>
      <c r="O222" s="480"/>
      <c r="P222" s="683"/>
    </row>
    <row r="223" spans="1:22" ht="25.5" customHeight="1">
      <c r="A223" s="477"/>
      <c r="B223" s="362" t="s">
        <v>502</v>
      </c>
      <c r="C223" s="362"/>
      <c r="D223" s="363"/>
      <c r="E223" s="364"/>
      <c r="F223" s="744"/>
      <c r="G223" s="745"/>
      <c r="H223" s="745"/>
      <c r="I223" s="745"/>
      <c r="J223" s="746"/>
      <c r="K223" s="746"/>
      <c r="L223" s="833">
        <f>M127</f>
        <v>0</v>
      </c>
      <c r="M223" s="763"/>
      <c r="N223" s="477"/>
      <c r="O223" s="480"/>
      <c r="P223" s="683"/>
    </row>
    <row r="224" spans="1:22" s="754" customFormat="1" ht="25.5" customHeight="1">
      <c r="A224" s="748"/>
      <c r="B224" s="749"/>
      <c r="C224" s="749"/>
      <c r="D224" s="384"/>
      <c r="E224" s="385"/>
      <c r="F224" s="750"/>
      <c r="G224" s="751"/>
      <c r="H224" s="751"/>
      <c r="I224" s="751"/>
      <c r="J224" s="680"/>
      <c r="K224" s="680"/>
      <c r="L224" s="767"/>
      <c r="M224" s="763"/>
      <c r="N224" s="748"/>
      <c r="O224" s="753"/>
    </row>
    <row r="225" spans="1:23" ht="25.5" customHeight="1">
      <c r="A225" s="477"/>
      <c r="B225" s="759" t="s">
        <v>62</v>
      </c>
      <c r="C225" s="373"/>
      <c r="D225" s="373"/>
      <c r="E225" s="373"/>
      <c r="F225" s="755"/>
      <c r="G225" s="756"/>
      <c r="H225" s="756"/>
      <c r="I225" s="756"/>
      <c r="J225" s="834"/>
      <c r="K225" s="834"/>
      <c r="L225" s="834">
        <f>SUM(O221:O224)</f>
        <v>0</v>
      </c>
      <c r="M225" s="760"/>
      <c r="N225" s="477"/>
      <c r="O225" s="480"/>
    </row>
    <row r="226" spans="1:23" ht="25.5" customHeight="1">
      <c r="A226" s="477"/>
      <c r="B226" s="759"/>
      <c r="C226" s="373"/>
      <c r="D226" s="373"/>
      <c r="E226" s="373"/>
      <c r="F226" s="755"/>
      <c r="G226" s="756"/>
      <c r="H226" s="756"/>
      <c r="I226" s="756"/>
      <c r="J226" s="760"/>
      <c r="K226" s="760"/>
      <c r="L226" s="760"/>
      <c r="M226" s="760"/>
      <c r="N226" s="477"/>
      <c r="O226" s="480"/>
    </row>
    <row r="227" spans="1:23" ht="25.5" customHeight="1">
      <c r="A227" s="477"/>
      <c r="B227" s="191"/>
      <c r="C227" s="191"/>
      <c r="D227" s="378"/>
      <c r="E227" s="282"/>
      <c r="F227" s="687"/>
      <c r="G227" s="761"/>
      <c r="H227" s="617"/>
      <c r="I227" s="617"/>
      <c r="J227" s="617"/>
      <c r="K227" s="762"/>
      <c r="L227" s="763"/>
      <c r="M227" s="763"/>
      <c r="N227" s="477"/>
      <c r="O227" s="480"/>
    </row>
    <row r="228" spans="1:23" ht="25.5" customHeight="1">
      <c r="A228" s="764"/>
      <c r="B228" s="229"/>
      <c r="C228" s="229"/>
      <c r="D228" s="384"/>
      <c r="E228" s="385"/>
      <c r="F228" s="765"/>
      <c r="G228" s="751"/>
      <c r="H228" s="680"/>
      <c r="I228" s="680"/>
      <c r="J228" s="680"/>
      <c r="K228" s="766"/>
      <c r="L228" s="767"/>
      <c r="M228" s="767"/>
      <c r="N228" s="769"/>
      <c r="O228" s="480"/>
    </row>
    <row r="229" spans="1:23" s="770" customFormat="1" ht="24" customHeight="1">
      <c r="B229" s="393"/>
      <c r="C229" s="393"/>
      <c r="D229" s="394"/>
      <c r="E229" s="395"/>
      <c r="F229" s="771"/>
      <c r="G229" s="772"/>
      <c r="H229" s="773"/>
      <c r="I229" s="773"/>
      <c r="J229" s="773"/>
      <c r="K229" s="774"/>
      <c r="L229" s="775"/>
      <c r="M229" s="775"/>
    </row>
    <row r="230" spans="1:23" s="770" customFormat="1" ht="24" customHeight="1">
      <c r="B230" s="393"/>
      <c r="C230" s="393"/>
      <c r="D230" s="393"/>
      <c r="E230" s="393"/>
      <c r="F230" s="777"/>
      <c r="G230" s="778"/>
      <c r="H230" s="779"/>
      <c r="I230" s="779"/>
      <c r="J230" s="779"/>
      <c r="K230" s="779"/>
      <c r="L230" s="775"/>
      <c r="M230" s="775"/>
      <c r="N230" s="775"/>
    </row>
    <row r="231" spans="1:23" s="770" customFormat="1" ht="24" customHeight="1">
      <c r="B231" s="393"/>
      <c r="C231" s="393"/>
      <c r="D231" s="393"/>
      <c r="E231" s="393"/>
      <c r="F231" s="777"/>
      <c r="G231" s="778"/>
      <c r="H231" s="779"/>
      <c r="I231" s="779"/>
      <c r="J231" s="779"/>
      <c r="K231" s="779"/>
      <c r="L231" s="775"/>
      <c r="M231" s="775"/>
      <c r="N231" s="775"/>
    </row>
    <row r="232" spans="1:23" s="770" customFormat="1" ht="24" customHeight="1">
      <c r="B232" s="393"/>
      <c r="C232" s="393"/>
      <c r="D232" s="393"/>
      <c r="E232" s="393"/>
      <c r="F232" s="777"/>
      <c r="G232" s="778"/>
      <c r="H232" s="779"/>
      <c r="I232" s="779"/>
      <c r="J232" s="779"/>
      <c r="K232" s="779"/>
      <c r="L232" s="775"/>
      <c r="M232" s="775"/>
      <c r="N232" s="775"/>
    </row>
    <row r="233" spans="1:23" s="770" customFormat="1" ht="24" customHeight="1">
      <c r="B233" s="393"/>
      <c r="C233" s="393"/>
      <c r="D233" s="393"/>
      <c r="E233" s="393"/>
      <c r="F233" s="777"/>
      <c r="G233" s="778"/>
      <c r="H233" s="779"/>
      <c r="I233" s="779"/>
      <c r="J233" s="779"/>
      <c r="K233" s="779"/>
      <c r="L233" s="775"/>
      <c r="M233" s="775"/>
      <c r="N233" s="775"/>
    </row>
    <row r="234" spans="1:23" s="770" customFormat="1" ht="24" customHeight="1">
      <c r="B234" s="393"/>
      <c r="C234" s="393"/>
      <c r="D234" s="393"/>
      <c r="E234" s="393"/>
      <c r="F234" s="777"/>
      <c r="G234" s="778"/>
      <c r="H234" s="779"/>
      <c r="I234" s="779"/>
      <c r="J234" s="779"/>
      <c r="K234" s="779"/>
      <c r="L234" s="775"/>
      <c r="M234" s="775"/>
      <c r="N234" s="775"/>
    </row>
    <row r="235" spans="1:23" s="770" customFormat="1" ht="24" customHeight="1">
      <c r="B235" s="393"/>
      <c r="C235" s="393"/>
      <c r="D235" s="393"/>
      <c r="E235" s="393"/>
      <c r="F235" s="777"/>
      <c r="G235" s="778"/>
      <c r="H235" s="779"/>
      <c r="I235" s="779"/>
      <c r="J235" s="779"/>
      <c r="K235" s="779"/>
      <c r="L235" s="775"/>
      <c r="M235" s="775"/>
      <c r="N235" s="775"/>
    </row>
    <row r="236" spans="1:23" s="770" customFormat="1" ht="24" customHeight="1">
      <c r="B236" s="393"/>
      <c r="C236" s="393"/>
      <c r="D236" s="393"/>
      <c r="E236" s="393"/>
      <c r="F236" s="777"/>
      <c r="G236" s="778"/>
      <c r="H236" s="779"/>
      <c r="I236" s="779"/>
      <c r="J236" s="779"/>
      <c r="K236" s="779"/>
      <c r="L236" s="775"/>
      <c r="M236" s="775"/>
      <c r="N236" s="775"/>
    </row>
    <row r="237" spans="1:23" s="770" customFormat="1" ht="24" customHeight="1">
      <c r="B237" s="393"/>
      <c r="C237" s="393"/>
      <c r="D237" s="393"/>
      <c r="E237" s="393"/>
      <c r="F237" s="777"/>
      <c r="G237" s="778"/>
      <c r="H237" s="779"/>
      <c r="I237" s="779"/>
      <c r="J237" s="779"/>
      <c r="K237" s="779"/>
      <c r="L237" s="775"/>
      <c r="M237" s="775"/>
      <c r="N237" s="775"/>
    </row>
    <row r="238" spans="1:23" s="770" customFormat="1" ht="24" customHeight="1">
      <c r="B238" s="393"/>
      <c r="C238" s="393"/>
      <c r="D238" s="393"/>
      <c r="E238" s="393"/>
      <c r="F238" s="777"/>
      <c r="G238" s="778"/>
      <c r="H238" s="779"/>
      <c r="I238" s="779"/>
      <c r="J238" s="779"/>
      <c r="K238" s="779"/>
      <c r="L238" s="775"/>
      <c r="M238" s="775"/>
      <c r="N238" s="775"/>
    </row>
    <row r="239" spans="1:23" s="780" customFormat="1" ht="24" customHeight="1">
      <c r="A239" s="770"/>
      <c r="B239" s="393"/>
      <c r="C239" s="393"/>
      <c r="D239" s="393"/>
      <c r="E239" s="393"/>
      <c r="F239" s="777"/>
      <c r="G239" s="778"/>
      <c r="H239" s="779"/>
      <c r="I239" s="779"/>
      <c r="J239" s="779"/>
      <c r="K239" s="779"/>
      <c r="L239" s="775"/>
      <c r="M239" s="775"/>
      <c r="N239" s="775"/>
      <c r="O239" s="770"/>
      <c r="P239" s="770"/>
      <c r="Q239" s="770"/>
      <c r="R239" s="770"/>
      <c r="S239" s="770"/>
      <c r="T239" s="770"/>
      <c r="U239" s="770"/>
      <c r="V239" s="770"/>
      <c r="W239" s="770"/>
    </row>
    <row r="240" spans="1:23" s="770" customFormat="1" ht="24" customHeight="1">
      <c r="B240" s="393"/>
      <c r="C240" s="393"/>
      <c r="D240" s="393"/>
      <c r="E240" s="393"/>
      <c r="F240" s="777"/>
      <c r="G240" s="778"/>
      <c r="H240" s="779"/>
      <c r="I240" s="779"/>
      <c r="J240" s="779"/>
      <c r="K240" s="779"/>
      <c r="L240" s="775"/>
      <c r="M240" s="775"/>
      <c r="N240" s="775"/>
    </row>
    <row r="241" spans="2:14" s="770" customFormat="1" ht="24" customHeight="1">
      <c r="B241" s="393"/>
      <c r="C241" s="393"/>
      <c r="D241" s="393"/>
      <c r="E241" s="393"/>
      <c r="F241" s="777"/>
      <c r="G241" s="778"/>
      <c r="H241" s="779"/>
      <c r="I241" s="779"/>
      <c r="J241" s="779"/>
      <c r="K241" s="779"/>
      <c r="L241" s="775"/>
      <c r="M241" s="775"/>
      <c r="N241" s="775"/>
    </row>
    <row r="242" spans="2:14" s="770" customFormat="1" ht="24" customHeight="1">
      <c r="B242" s="393"/>
      <c r="C242" s="393"/>
      <c r="D242" s="393"/>
      <c r="E242" s="393"/>
      <c r="F242" s="777"/>
      <c r="G242" s="778"/>
      <c r="H242" s="779"/>
      <c r="I242" s="779"/>
      <c r="J242" s="779"/>
      <c r="K242" s="779"/>
      <c r="L242" s="775"/>
      <c r="M242" s="775"/>
      <c r="N242" s="775"/>
    </row>
    <row r="243" spans="2:14" s="770" customFormat="1" ht="24" customHeight="1">
      <c r="B243" s="393"/>
      <c r="C243" s="393"/>
      <c r="D243" s="393"/>
      <c r="E243" s="393"/>
      <c r="F243" s="777"/>
      <c r="G243" s="778"/>
      <c r="H243" s="779"/>
      <c r="I243" s="779"/>
      <c r="J243" s="779"/>
      <c r="K243" s="779"/>
      <c r="L243" s="775"/>
      <c r="M243" s="775"/>
      <c r="N243" s="775"/>
    </row>
    <row r="244" spans="2:14" s="770" customFormat="1" ht="24" customHeight="1">
      <c r="B244" s="393"/>
      <c r="C244" s="393"/>
      <c r="D244" s="393"/>
      <c r="E244" s="393"/>
      <c r="F244" s="777"/>
      <c r="G244" s="778"/>
      <c r="H244" s="779"/>
      <c r="I244" s="779"/>
      <c r="J244" s="779"/>
      <c r="K244" s="779"/>
      <c r="L244" s="775"/>
      <c r="M244" s="775"/>
      <c r="N244" s="775"/>
    </row>
    <row r="245" spans="2:14" s="770" customFormat="1" ht="24" customHeight="1">
      <c r="B245" s="393"/>
      <c r="C245" s="393"/>
      <c r="D245" s="393"/>
      <c r="E245" s="393"/>
      <c r="F245" s="777"/>
      <c r="G245" s="778"/>
      <c r="H245" s="779"/>
      <c r="I245" s="779"/>
      <c r="J245" s="779"/>
      <c r="K245" s="779"/>
      <c r="L245" s="775"/>
      <c r="M245" s="775"/>
      <c r="N245" s="775"/>
    </row>
    <row r="246" spans="2:14" s="770" customFormat="1" ht="24" customHeight="1">
      <c r="B246" s="393"/>
      <c r="C246" s="393"/>
      <c r="D246" s="393"/>
      <c r="E246" s="393"/>
      <c r="F246" s="777"/>
      <c r="G246" s="778"/>
      <c r="H246" s="779"/>
      <c r="I246" s="779"/>
      <c r="J246" s="779"/>
      <c r="K246" s="779"/>
      <c r="L246" s="775"/>
      <c r="M246" s="775"/>
      <c r="N246" s="775"/>
    </row>
    <row r="247" spans="2:14" s="770" customFormat="1" ht="24" customHeight="1">
      <c r="B247" s="393"/>
      <c r="C247" s="393"/>
      <c r="D247" s="393"/>
      <c r="E247" s="393"/>
      <c r="F247" s="777"/>
      <c r="G247" s="778"/>
      <c r="H247" s="779"/>
      <c r="I247" s="779"/>
      <c r="J247" s="779"/>
      <c r="K247" s="779"/>
      <c r="L247" s="775"/>
      <c r="M247" s="775"/>
      <c r="N247" s="775"/>
    </row>
    <row r="248" spans="2:14" s="770" customFormat="1" ht="24" customHeight="1">
      <c r="B248" s="393"/>
      <c r="C248" s="393"/>
      <c r="D248" s="393"/>
      <c r="E248" s="393"/>
      <c r="F248" s="777"/>
      <c r="G248" s="778"/>
      <c r="H248" s="779"/>
      <c r="I248" s="779"/>
      <c r="J248" s="779"/>
      <c r="K248" s="779"/>
      <c r="L248" s="775"/>
      <c r="M248" s="775"/>
      <c r="N248" s="775"/>
    </row>
    <row r="249" spans="2:14" s="770" customFormat="1" ht="24" customHeight="1">
      <c r="B249" s="393"/>
      <c r="C249" s="393"/>
      <c r="D249" s="393"/>
      <c r="E249" s="393"/>
      <c r="F249" s="777"/>
      <c r="G249" s="778"/>
      <c r="H249" s="779"/>
      <c r="I249" s="779"/>
      <c r="J249" s="779"/>
      <c r="K249" s="779"/>
      <c r="L249" s="775"/>
      <c r="M249" s="775"/>
      <c r="N249" s="775"/>
    </row>
    <row r="250" spans="2:14" s="770" customFormat="1" ht="24" customHeight="1">
      <c r="B250" s="393"/>
      <c r="C250" s="393"/>
      <c r="D250" s="393"/>
      <c r="E250" s="393"/>
      <c r="F250" s="777"/>
      <c r="G250" s="778"/>
      <c r="H250" s="779"/>
      <c r="I250" s="779"/>
      <c r="J250" s="779"/>
      <c r="K250" s="779"/>
      <c r="L250" s="775"/>
      <c r="M250" s="775"/>
      <c r="N250" s="775"/>
    </row>
    <row r="251" spans="2:14" s="770" customFormat="1" ht="24" customHeight="1">
      <c r="B251" s="393"/>
      <c r="C251" s="393"/>
      <c r="D251" s="393"/>
      <c r="E251" s="393"/>
      <c r="F251" s="777"/>
      <c r="G251" s="778"/>
      <c r="H251" s="779"/>
      <c r="I251" s="779"/>
      <c r="J251" s="779"/>
      <c r="K251" s="779"/>
      <c r="L251" s="775"/>
      <c r="M251" s="775"/>
      <c r="N251" s="775"/>
    </row>
    <row r="252" spans="2:14" s="770" customFormat="1" ht="24" customHeight="1">
      <c r="B252" s="393"/>
      <c r="C252" s="393"/>
      <c r="D252" s="393"/>
      <c r="E252" s="393"/>
      <c r="F252" s="777"/>
      <c r="G252" s="778"/>
      <c r="H252" s="779"/>
      <c r="I252" s="779"/>
      <c r="J252" s="779"/>
      <c r="K252" s="779"/>
      <c r="L252" s="775"/>
      <c r="M252" s="775"/>
      <c r="N252" s="775"/>
    </row>
    <row r="253" spans="2:14" s="770" customFormat="1" ht="24" customHeight="1">
      <c r="B253" s="393"/>
      <c r="C253" s="393"/>
      <c r="D253" s="393"/>
      <c r="E253" s="393"/>
      <c r="F253" s="777"/>
      <c r="G253" s="778"/>
      <c r="H253" s="779"/>
      <c r="I253" s="779"/>
      <c r="J253" s="779"/>
      <c r="K253" s="779"/>
      <c r="L253" s="775"/>
      <c r="M253" s="775"/>
      <c r="N253" s="775"/>
    </row>
    <row r="254" spans="2:14" s="770" customFormat="1" ht="25.5" customHeight="1">
      <c r="B254" s="393"/>
      <c r="C254" s="393"/>
      <c r="D254" s="393"/>
      <c r="E254" s="393"/>
      <c r="F254" s="777"/>
      <c r="G254" s="778"/>
      <c r="H254" s="779"/>
      <c r="I254" s="779"/>
      <c r="J254" s="779"/>
      <c r="K254" s="779"/>
      <c r="L254" s="775"/>
      <c r="M254" s="775"/>
      <c r="N254" s="775"/>
    </row>
    <row r="255" spans="2:14" s="770" customFormat="1" ht="25.5" customHeight="1">
      <c r="B255" s="393"/>
      <c r="C255" s="393"/>
      <c r="D255" s="393"/>
      <c r="E255" s="393"/>
      <c r="F255" s="777"/>
      <c r="G255" s="778"/>
      <c r="H255" s="779"/>
      <c r="I255" s="779"/>
      <c r="J255" s="779"/>
      <c r="K255" s="779"/>
      <c r="L255" s="775"/>
      <c r="M255" s="775"/>
      <c r="N255" s="775"/>
    </row>
    <row r="256" spans="2:14" s="770" customFormat="1" ht="25.5" customHeight="1">
      <c r="B256" s="393"/>
      <c r="C256" s="393"/>
      <c r="D256" s="393"/>
      <c r="E256" s="393"/>
      <c r="F256" s="777"/>
      <c r="G256" s="778"/>
      <c r="H256" s="779"/>
      <c r="I256" s="779"/>
      <c r="J256" s="779"/>
      <c r="K256" s="779"/>
      <c r="L256" s="775"/>
      <c r="M256" s="775"/>
      <c r="N256" s="775"/>
    </row>
    <row r="257" spans="2:14" s="770" customFormat="1" ht="25.5" customHeight="1">
      <c r="B257" s="393"/>
      <c r="C257" s="393"/>
      <c r="D257" s="393"/>
      <c r="E257" s="393"/>
      <c r="F257" s="777"/>
      <c r="G257" s="778"/>
      <c r="H257" s="779"/>
      <c r="I257" s="779"/>
      <c r="J257" s="779"/>
      <c r="K257" s="779"/>
      <c r="L257" s="775"/>
      <c r="M257" s="775"/>
      <c r="N257" s="775"/>
    </row>
    <row r="258" spans="2:14" s="770" customFormat="1" ht="25.5" customHeight="1">
      <c r="B258" s="393"/>
      <c r="C258" s="393"/>
      <c r="D258" s="393"/>
      <c r="E258" s="393"/>
      <c r="F258" s="777"/>
      <c r="G258" s="778"/>
      <c r="H258" s="779"/>
      <c r="I258" s="779"/>
      <c r="J258" s="779"/>
      <c r="K258" s="779"/>
      <c r="L258" s="775"/>
      <c r="M258" s="775"/>
      <c r="N258" s="775"/>
    </row>
    <row r="259" spans="2:14" s="770" customFormat="1" ht="25.5" customHeight="1">
      <c r="B259" s="393"/>
      <c r="C259" s="401"/>
      <c r="D259" s="401"/>
      <c r="E259" s="401"/>
      <c r="K259" s="779"/>
      <c r="M259" s="835"/>
    </row>
    <row r="260" spans="2:14" s="770" customFormat="1" ht="25.5" customHeight="1">
      <c r="B260" s="393"/>
      <c r="C260" s="401"/>
      <c r="D260" s="401"/>
      <c r="E260" s="401"/>
      <c r="K260" s="779"/>
      <c r="M260" s="835"/>
    </row>
    <row r="261" spans="2:14" s="770" customFormat="1" ht="25.5" customHeight="1">
      <c r="B261" s="393"/>
      <c r="C261" s="401"/>
      <c r="D261" s="401"/>
      <c r="E261" s="401"/>
      <c r="K261" s="779"/>
      <c r="M261" s="835"/>
    </row>
    <row r="262" spans="2:14" s="770" customFormat="1" ht="25.5" customHeight="1">
      <c r="B262" s="393"/>
      <c r="C262" s="401"/>
      <c r="D262" s="401"/>
      <c r="E262" s="401"/>
      <c r="K262" s="779"/>
      <c r="M262" s="835"/>
    </row>
    <row r="263" spans="2:14" s="770" customFormat="1" ht="25.5" customHeight="1">
      <c r="B263" s="393"/>
      <c r="C263" s="401"/>
      <c r="D263" s="401"/>
      <c r="E263" s="401"/>
      <c r="K263" s="779"/>
      <c r="M263" s="835"/>
    </row>
    <row r="264" spans="2:14" s="770" customFormat="1" ht="25.5" customHeight="1">
      <c r="B264" s="393"/>
      <c r="C264" s="401"/>
      <c r="D264" s="401"/>
      <c r="E264" s="401"/>
      <c r="K264" s="779"/>
      <c r="M264" s="835"/>
    </row>
    <row r="265" spans="2:14" s="770" customFormat="1" ht="25.5" customHeight="1">
      <c r="B265" s="393"/>
      <c r="C265" s="401"/>
      <c r="D265" s="401"/>
      <c r="E265" s="401"/>
      <c r="K265" s="779"/>
      <c r="M265" s="835"/>
    </row>
    <row r="266" spans="2:14" s="770" customFormat="1" ht="25.5" customHeight="1">
      <c r="B266" s="393"/>
      <c r="C266" s="401"/>
      <c r="D266" s="401"/>
      <c r="E266" s="401"/>
      <c r="K266" s="779"/>
      <c r="M266" s="835"/>
    </row>
    <row r="267" spans="2:14" s="770" customFormat="1" ht="25.5" customHeight="1">
      <c r="B267" s="393"/>
      <c r="C267" s="401"/>
      <c r="D267" s="401"/>
      <c r="E267" s="401"/>
      <c r="K267" s="779"/>
      <c r="M267" s="835"/>
    </row>
    <row r="268" spans="2:14" s="770" customFormat="1" ht="25.5" customHeight="1">
      <c r="B268" s="393"/>
      <c r="C268" s="401"/>
      <c r="D268" s="401"/>
      <c r="E268" s="401"/>
      <c r="K268" s="779"/>
      <c r="M268" s="835"/>
    </row>
    <row r="269" spans="2:14" s="770" customFormat="1" ht="25.5" customHeight="1">
      <c r="B269" s="393"/>
      <c r="C269" s="401"/>
      <c r="D269" s="401"/>
      <c r="E269" s="401"/>
      <c r="K269" s="779"/>
      <c r="M269" s="835"/>
    </row>
    <row r="270" spans="2:14" s="770" customFormat="1" ht="25.5" customHeight="1">
      <c r="B270" s="393"/>
      <c r="C270" s="401"/>
      <c r="D270" s="401"/>
      <c r="E270" s="401"/>
      <c r="K270" s="779"/>
      <c r="M270" s="835"/>
    </row>
    <row r="271" spans="2:14" s="770" customFormat="1" ht="25.5" customHeight="1">
      <c r="B271" s="393"/>
      <c r="C271" s="401"/>
      <c r="D271" s="401"/>
      <c r="E271" s="401"/>
      <c r="K271" s="779"/>
      <c r="M271" s="835"/>
    </row>
    <row r="272" spans="2:14" s="770" customFormat="1" ht="25.5" customHeight="1">
      <c r="B272" s="393"/>
      <c r="C272" s="401"/>
      <c r="D272" s="401"/>
      <c r="E272" s="401"/>
      <c r="K272" s="779"/>
      <c r="M272" s="835"/>
    </row>
    <row r="273" spans="2:13" s="770" customFormat="1" ht="25.5" customHeight="1">
      <c r="B273" s="393"/>
      <c r="C273" s="401"/>
      <c r="D273" s="401"/>
      <c r="E273" s="401"/>
      <c r="K273" s="779"/>
      <c r="M273" s="835"/>
    </row>
    <row r="274" spans="2:13" s="770" customFormat="1" ht="25.5" customHeight="1">
      <c r="B274" s="393"/>
      <c r="C274" s="401"/>
      <c r="D274" s="401"/>
      <c r="E274" s="401"/>
      <c r="K274" s="779"/>
      <c r="M274" s="835"/>
    </row>
    <row r="275" spans="2:13" s="770" customFormat="1" ht="25.5" customHeight="1">
      <c r="B275" s="393"/>
      <c r="C275" s="401"/>
      <c r="D275" s="401"/>
      <c r="E275" s="401"/>
      <c r="K275" s="779"/>
      <c r="M275" s="835"/>
    </row>
    <row r="276" spans="2:13" s="770" customFormat="1" ht="25.5" customHeight="1">
      <c r="B276" s="393"/>
      <c r="C276" s="401"/>
      <c r="D276" s="401"/>
      <c r="E276" s="401"/>
      <c r="K276" s="779"/>
      <c r="M276" s="835"/>
    </row>
    <row r="277" spans="2:13" s="770" customFormat="1" ht="25.5" customHeight="1">
      <c r="B277" s="393"/>
      <c r="C277" s="401"/>
      <c r="D277" s="401"/>
      <c r="E277" s="401"/>
      <c r="K277" s="779"/>
      <c r="M277" s="835"/>
    </row>
    <row r="278" spans="2:13" s="770" customFormat="1" ht="25.5" customHeight="1">
      <c r="B278" s="393"/>
      <c r="C278" s="401"/>
      <c r="D278" s="401"/>
      <c r="E278" s="401"/>
      <c r="K278" s="779"/>
      <c r="M278" s="835"/>
    </row>
    <row r="279" spans="2:13" s="770" customFormat="1" ht="25.5" customHeight="1">
      <c r="B279" s="393"/>
      <c r="C279" s="401"/>
      <c r="D279" s="401"/>
      <c r="E279" s="401"/>
      <c r="K279" s="779"/>
      <c r="M279" s="835"/>
    </row>
    <row r="280" spans="2:13" s="770" customFormat="1" ht="25.5" customHeight="1">
      <c r="B280" s="393"/>
      <c r="C280" s="401"/>
      <c r="D280" s="401"/>
      <c r="E280" s="401"/>
      <c r="K280" s="779"/>
      <c r="M280" s="835"/>
    </row>
    <row r="281" spans="2:13" s="770" customFormat="1" ht="25.5" customHeight="1">
      <c r="B281" s="393"/>
      <c r="C281" s="401"/>
      <c r="D281" s="401"/>
      <c r="E281" s="401"/>
      <c r="K281" s="779"/>
      <c r="M281" s="835"/>
    </row>
    <row r="282" spans="2:13" s="770" customFormat="1" ht="25.5" customHeight="1">
      <c r="B282" s="393"/>
      <c r="C282" s="401"/>
      <c r="D282" s="401"/>
      <c r="E282" s="401"/>
      <c r="K282" s="779"/>
      <c r="M282" s="835"/>
    </row>
    <row r="283" spans="2:13" s="770" customFormat="1" ht="25.5" customHeight="1">
      <c r="B283" s="393"/>
      <c r="C283" s="401"/>
      <c r="D283" s="401"/>
      <c r="E283" s="401"/>
      <c r="K283" s="779"/>
      <c r="M283" s="835"/>
    </row>
    <row r="284" spans="2:13" s="770" customFormat="1" ht="25.5" customHeight="1">
      <c r="B284" s="393"/>
      <c r="C284" s="401"/>
      <c r="D284" s="401"/>
      <c r="E284" s="401"/>
      <c r="K284" s="779"/>
      <c r="M284" s="835"/>
    </row>
    <row r="285" spans="2:13" s="770" customFormat="1" ht="25.5" customHeight="1">
      <c r="B285" s="393"/>
      <c r="C285" s="401"/>
      <c r="D285" s="401"/>
      <c r="E285" s="401"/>
      <c r="K285" s="779"/>
      <c r="M285" s="835"/>
    </row>
    <row r="286" spans="2:13" s="770" customFormat="1" ht="25.5" customHeight="1">
      <c r="B286" s="393"/>
      <c r="C286" s="401"/>
      <c r="D286" s="401"/>
      <c r="E286" s="401"/>
      <c r="K286" s="779"/>
      <c r="M286" s="835"/>
    </row>
    <row r="287" spans="2:13" s="770" customFormat="1" ht="25.5" customHeight="1">
      <c r="B287" s="393"/>
      <c r="C287" s="401"/>
      <c r="D287" s="401"/>
      <c r="E287" s="401"/>
      <c r="K287" s="779"/>
      <c r="M287" s="835"/>
    </row>
    <row r="288" spans="2:13" s="770" customFormat="1" ht="25.5" customHeight="1">
      <c r="B288" s="393"/>
      <c r="C288" s="401"/>
      <c r="D288" s="401"/>
      <c r="E288" s="401"/>
      <c r="K288" s="779"/>
      <c r="M288" s="835"/>
    </row>
    <row r="289" spans="2:13" s="770" customFormat="1" ht="25.5" customHeight="1">
      <c r="B289" s="393"/>
      <c r="C289" s="401"/>
      <c r="D289" s="401"/>
      <c r="E289" s="401"/>
      <c r="K289" s="779"/>
      <c r="M289" s="835"/>
    </row>
    <row r="290" spans="2:13" s="770" customFormat="1" ht="25.5" customHeight="1">
      <c r="B290" s="393"/>
      <c r="C290" s="401"/>
      <c r="D290" s="401"/>
      <c r="E290" s="401"/>
      <c r="K290" s="779"/>
      <c r="M290" s="835"/>
    </row>
    <row r="291" spans="2:13" s="770" customFormat="1" ht="25.5" customHeight="1">
      <c r="B291" s="393"/>
      <c r="C291" s="401"/>
      <c r="D291" s="401"/>
      <c r="E291" s="401"/>
      <c r="K291" s="779"/>
      <c r="M291" s="835"/>
    </row>
    <row r="292" spans="2:13" s="770" customFormat="1" ht="25.5" customHeight="1">
      <c r="B292" s="393"/>
      <c r="C292" s="401"/>
      <c r="D292" s="401"/>
      <c r="E292" s="401"/>
      <c r="K292" s="779"/>
      <c r="M292" s="835"/>
    </row>
    <row r="293" spans="2:13" s="770" customFormat="1" ht="25.5" customHeight="1">
      <c r="B293" s="393"/>
      <c r="C293" s="401"/>
      <c r="D293" s="401"/>
      <c r="E293" s="401"/>
      <c r="K293" s="779"/>
      <c r="M293" s="835"/>
    </row>
    <row r="294" spans="2:13" s="770" customFormat="1" ht="25.5" customHeight="1">
      <c r="B294" s="393"/>
      <c r="C294" s="401"/>
      <c r="D294" s="401"/>
      <c r="E294" s="401"/>
      <c r="K294" s="779"/>
      <c r="M294" s="835"/>
    </row>
    <row r="295" spans="2:13" s="770" customFormat="1" ht="25.5" customHeight="1">
      <c r="B295" s="393"/>
      <c r="C295" s="401"/>
      <c r="D295" s="401"/>
      <c r="E295" s="401"/>
      <c r="K295" s="779"/>
      <c r="M295" s="835"/>
    </row>
    <row r="296" spans="2:13" s="770" customFormat="1" ht="25.5" customHeight="1">
      <c r="B296" s="393"/>
      <c r="C296" s="401"/>
      <c r="D296" s="401"/>
      <c r="E296" s="401"/>
      <c r="K296" s="779"/>
      <c r="M296" s="835"/>
    </row>
    <row r="297" spans="2:13" s="770" customFormat="1" ht="25.5" customHeight="1">
      <c r="B297" s="393"/>
      <c r="C297" s="401"/>
      <c r="D297" s="401"/>
      <c r="E297" s="401"/>
      <c r="K297" s="779"/>
      <c r="M297" s="835"/>
    </row>
    <row r="298" spans="2:13" s="770" customFormat="1" ht="25.5" customHeight="1">
      <c r="B298" s="393"/>
      <c r="C298" s="401"/>
      <c r="D298" s="401"/>
      <c r="E298" s="401"/>
      <c r="K298" s="779"/>
      <c r="M298" s="835"/>
    </row>
    <row r="299" spans="2:13" s="770" customFormat="1" ht="25.5" customHeight="1">
      <c r="B299" s="393"/>
      <c r="C299" s="401"/>
      <c r="D299" s="401"/>
      <c r="E299" s="401"/>
      <c r="K299" s="779"/>
      <c r="M299" s="835"/>
    </row>
    <row r="300" spans="2:13" s="770" customFormat="1" ht="25.5" customHeight="1">
      <c r="B300" s="393"/>
      <c r="C300" s="401"/>
      <c r="D300" s="401"/>
      <c r="E300" s="401"/>
      <c r="K300" s="779"/>
      <c r="M300" s="835"/>
    </row>
    <row r="301" spans="2:13" s="770" customFormat="1" ht="25.5" customHeight="1">
      <c r="B301" s="393"/>
      <c r="C301" s="401"/>
      <c r="D301" s="401"/>
      <c r="E301" s="401"/>
      <c r="K301" s="779"/>
      <c r="M301" s="835"/>
    </row>
    <row r="302" spans="2:13" s="770" customFormat="1" ht="25.5" customHeight="1">
      <c r="B302" s="393"/>
      <c r="C302" s="401"/>
      <c r="D302" s="401"/>
      <c r="E302" s="401"/>
      <c r="K302" s="779"/>
      <c r="M302" s="835"/>
    </row>
    <row r="303" spans="2:13" s="770" customFormat="1" ht="25.5" customHeight="1">
      <c r="B303" s="393"/>
      <c r="C303" s="401"/>
      <c r="D303" s="401"/>
      <c r="E303" s="401"/>
      <c r="K303" s="779"/>
      <c r="M303" s="835"/>
    </row>
    <row r="304" spans="2:13" s="770" customFormat="1" ht="25.5" customHeight="1">
      <c r="B304" s="393"/>
      <c r="C304" s="401"/>
      <c r="D304" s="401"/>
      <c r="E304" s="401"/>
      <c r="K304" s="779"/>
      <c r="M304" s="835"/>
    </row>
    <row r="305" spans="2:13" s="770" customFormat="1" ht="25.5" customHeight="1">
      <c r="B305" s="393"/>
      <c r="C305" s="401"/>
      <c r="D305" s="401"/>
      <c r="E305" s="401"/>
      <c r="K305" s="779"/>
      <c r="M305" s="835"/>
    </row>
    <row r="306" spans="2:13" s="770" customFormat="1" ht="25.5" customHeight="1">
      <c r="B306" s="393"/>
      <c r="C306" s="401"/>
      <c r="D306" s="401"/>
      <c r="E306" s="401"/>
      <c r="K306" s="779"/>
      <c r="M306" s="835"/>
    </row>
    <row r="307" spans="2:13" s="770" customFormat="1" ht="25.5" customHeight="1">
      <c r="B307" s="393"/>
      <c r="C307" s="401"/>
      <c r="D307" s="401"/>
      <c r="E307" s="401"/>
      <c r="K307" s="779"/>
      <c r="M307" s="835"/>
    </row>
    <row r="308" spans="2:13" s="770" customFormat="1" ht="25.5" customHeight="1">
      <c r="B308" s="393"/>
      <c r="C308" s="401"/>
      <c r="D308" s="401"/>
      <c r="E308" s="401"/>
      <c r="K308" s="779"/>
      <c r="M308" s="835"/>
    </row>
    <row r="309" spans="2:13" s="770" customFormat="1" ht="25.5" customHeight="1">
      <c r="B309" s="393"/>
      <c r="C309" s="401"/>
      <c r="D309" s="401"/>
      <c r="E309" s="401"/>
      <c r="K309" s="779"/>
      <c r="M309" s="835"/>
    </row>
    <row r="321" spans="2:4" ht="25.5" customHeight="1">
      <c r="B321" s="197"/>
      <c r="C321" s="197"/>
      <c r="D321" s="170"/>
    </row>
  </sheetData>
  <mergeCells count="55">
    <mergeCell ref="F221:G221"/>
    <mergeCell ref="B176:G178"/>
    <mergeCell ref="B179:F179"/>
    <mergeCell ref="B180:F180"/>
    <mergeCell ref="B211:G213"/>
    <mergeCell ref="B214:F214"/>
    <mergeCell ref="F126:G126"/>
    <mergeCell ref="J126:K126"/>
    <mergeCell ref="B137:G139"/>
    <mergeCell ref="B140:F140"/>
    <mergeCell ref="B141:F141"/>
    <mergeCell ref="J123:K123"/>
    <mergeCell ref="F124:G124"/>
    <mergeCell ref="J124:K124"/>
    <mergeCell ref="F125:G125"/>
    <mergeCell ref="J125:K125"/>
    <mergeCell ref="B116:G118"/>
    <mergeCell ref="B119:F119"/>
    <mergeCell ref="B120:F120"/>
    <mergeCell ref="C123:D123"/>
    <mergeCell ref="F123:G123"/>
    <mergeCell ref="D106:E106"/>
    <mergeCell ref="F106:G106"/>
    <mergeCell ref="H106:I106"/>
    <mergeCell ref="J106:K106"/>
    <mergeCell ref="D107:E107"/>
    <mergeCell ref="F107:G107"/>
    <mergeCell ref="H107:I107"/>
    <mergeCell ref="J107:K107"/>
    <mergeCell ref="D104:E104"/>
    <mergeCell ref="F104:G104"/>
    <mergeCell ref="H104:I104"/>
    <mergeCell ref="J104:K104"/>
    <mergeCell ref="D105:E105"/>
    <mergeCell ref="F105:G105"/>
    <mergeCell ref="H105:I105"/>
    <mergeCell ref="J105:K105"/>
    <mergeCell ref="D102:E102"/>
    <mergeCell ref="F102:G102"/>
    <mergeCell ref="H102:I102"/>
    <mergeCell ref="J102:K102"/>
    <mergeCell ref="D103:E103"/>
    <mergeCell ref="F103:G103"/>
    <mergeCell ref="H103:I103"/>
    <mergeCell ref="J103:K103"/>
    <mergeCell ref="F89:G89"/>
    <mergeCell ref="F90:G90"/>
    <mergeCell ref="B95:G97"/>
    <mergeCell ref="B98:F98"/>
    <mergeCell ref="B99:F99"/>
    <mergeCell ref="B4:C4"/>
    <mergeCell ref="D11:F11"/>
    <mergeCell ref="B15:G17"/>
    <mergeCell ref="B19:F19"/>
    <mergeCell ref="F88:G88"/>
  </mergeCells>
  <conditionalFormatting sqref="H111">
    <cfRule type="cellIs" dxfId="41" priority="14" operator="greaterThan">
      <formula>0</formula>
    </cfRule>
  </conditionalFormatting>
  <conditionalFormatting sqref="H124:H126">
    <cfRule type="cellIs" dxfId="40" priority="13" operator="greaterThan">
      <formula>0</formula>
    </cfRule>
  </conditionalFormatting>
  <conditionalFormatting sqref="I25:I37 I43:I66">
    <cfRule type="cellIs" dxfId="39" priority="17" operator="lessThan">
      <formula>#REF!</formula>
    </cfRule>
  </conditionalFormatting>
  <conditionalFormatting sqref="I25:I37">
    <cfRule type="cellIs" dxfId="38" priority="4" operator="greaterThan">
      <formula>0</formula>
    </cfRule>
  </conditionalFormatting>
  <conditionalFormatting sqref="I43:I66">
    <cfRule type="cellIs" dxfId="37" priority="3" operator="greaterThan">
      <formula>0</formula>
    </cfRule>
  </conditionalFormatting>
  <conditionalFormatting sqref="I89:I90">
    <cfRule type="cellIs" dxfId="36" priority="15" operator="greaterThan">
      <formula>0</formula>
    </cfRule>
  </conditionalFormatting>
  <conditionalFormatting sqref="I72:J75">
    <cfRule type="cellIs" dxfId="35" priority="10" operator="lessThan">
      <formula>$J72</formula>
    </cfRule>
    <cfRule type="cellIs" dxfId="34" priority="11" operator="greaterThan">
      <formula>0</formula>
    </cfRule>
  </conditionalFormatting>
  <conditionalFormatting sqref="I81:J83">
    <cfRule type="cellIs" dxfId="33" priority="7" operator="greaterThan">
      <formula>0</formula>
    </cfRule>
    <cfRule type="cellIs" dxfId="32" priority="8" operator="lessThan">
      <formula>$J81</formula>
    </cfRule>
  </conditionalFormatting>
  <conditionalFormatting sqref="J125:J126">
    <cfRule type="cellIs" dxfId="31" priority="12" operator="greaterThan">
      <formula>0</formula>
    </cfRule>
  </conditionalFormatting>
  <conditionalFormatting sqref="K25:K66">
    <cfRule type="cellIs" dxfId="30" priority="2" operator="greaterThan">
      <formula>0</formula>
    </cfRule>
  </conditionalFormatting>
  <conditionalFormatting sqref="K68 L69:M70">
    <cfRule type="cellIs" dxfId="29" priority="16" operator="greaterThan">
      <formula>0</formula>
    </cfRule>
  </conditionalFormatting>
  <conditionalFormatting sqref="L72:M72 L74:M74">
    <cfRule type="cellIs" dxfId="28" priority="9" operator="greaterThan">
      <formula>0</formula>
    </cfRule>
  </conditionalFormatting>
  <conditionalFormatting sqref="L72:M75">
    <cfRule type="cellIs" dxfId="27" priority="5" operator="greaterThan">
      <formula>0</formula>
    </cfRule>
  </conditionalFormatting>
  <conditionalFormatting sqref="L81:M83">
    <cfRule type="cellIs" dxfId="26" priority="6" operator="greaterThan">
      <formula>0</formula>
    </cfRule>
  </conditionalFormatting>
  <hyperlinks>
    <hyperlink ref="B10" r:id="rId1" xr:uid="{00000000-0004-0000-0400-000000000000}"/>
    <hyperlink ref="B218" r:id="rId2" xr:uid="{00000000-0004-0000-0400-000001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I262"/>
  <sheetViews>
    <sheetView showGridLines="0" zoomScaleNormal="100" workbookViewId="0">
      <selection activeCell="P46" sqref="P46"/>
    </sheetView>
  </sheetViews>
  <sheetFormatPr baseColWidth="10" defaultColWidth="15" defaultRowHeight="25.5" customHeight="1"/>
  <cols>
    <col min="1" max="1" width="11.83203125" style="474" customWidth="1"/>
    <col min="2" max="2" width="30.83203125" style="290" customWidth="1"/>
    <col min="3" max="5" width="14.83203125" style="12" customWidth="1"/>
    <col min="6" max="10" width="14.83203125" style="474" customWidth="1"/>
    <col min="11" max="11" width="14.83203125" style="475" customWidth="1"/>
    <col min="12" max="12" width="14.83203125" style="474" customWidth="1"/>
    <col min="13" max="13" width="14.83203125" style="517" customWidth="1"/>
    <col min="14" max="14" width="14.83203125" style="474" customWidth="1"/>
    <col min="15" max="16384" width="15" style="474"/>
  </cols>
  <sheetData>
    <row r="1" spans="1:29" ht="25.5" customHeight="1">
      <c r="A1" s="477"/>
      <c r="B1" s="9"/>
      <c r="C1" s="17"/>
      <c r="D1" s="17"/>
      <c r="E1" s="17"/>
      <c r="F1" s="477"/>
      <c r="G1" s="477"/>
      <c r="H1" s="477"/>
      <c r="I1" s="477"/>
      <c r="J1" s="477"/>
      <c r="K1" s="782"/>
      <c r="L1" s="477"/>
      <c r="M1" s="478"/>
      <c r="N1" s="478"/>
      <c r="O1" s="477"/>
      <c r="P1" s="480"/>
    </row>
    <row r="2" spans="1:29" ht="25.5" customHeight="1">
      <c r="A2" s="477"/>
      <c r="B2" s="9"/>
      <c r="C2" s="17"/>
      <c r="D2" s="17"/>
      <c r="E2" s="17"/>
      <c r="F2" s="477"/>
      <c r="G2" s="477"/>
      <c r="H2" s="477"/>
      <c r="I2" s="477"/>
      <c r="J2" s="477"/>
      <c r="K2" s="782"/>
      <c r="L2" s="477"/>
      <c r="M2" s="478"/>
      <c r="N2" s="478"/>
      <c r="O2" s="477"/>
      <c r="P2" s="480"/>
    </row>
    <row r="3" spans="1:29" ht="25.5" customHeight="1">
      <c r="A3" s="477"/>
      <c r="B3" s="9"/>
      <c r="C3" s="17"/>
      <c r="D3" s="17"/>
      <c r="E3" s="17"/>
      <c r="F3" s="477"/>
      <c r="G3" s="477"/>
      <c r="H3" s="477"/>
      <c r="I3" s="477"/>
      <c r="J3" s="477"/>
      <c r="K3" s="782"/>
      <c r="L3" s="477"/>
      <c r="M3" s="478"/>
      <c r="N3" s="478"/>
      <c r="O3" s="477"/>
      <c r="P3" s="480"/>
    </row>
    <row r="4" spans="1:29" ht="25.5" customHeight="1">
      <c r="A4" s="477"/>
      <c r="B4" s="1004"/>
      <c r="C4" s="1004"/>
      <c r="D4" s="17"/>
      <c r="E4" s="17"/>
      <c r="F4" s="477"/>
      <c r="G4" s="477"/>
      <c r="H4" s="477"/>
      <c r="I4" s="477"/>
      <c r="J4" s="477"/>
      <c r="K4" s="782"/>
      <c r="L4" s="477"/>
      <c r="M4" s="478"/>
      <c r="N4" s="478"/>
      <c r="O4" s="477"/>
      <c r="P4" s="480"/>
    </row>
    <row r="5" spans="1:29" ht="25.5" customHeight="1">
      <c r="A5" s="477"/>
      <c r="B5" s="22" t="s">
        <v>557</v>
      </c>
      <c r="C5" s="836"/>
      <c r="D5" s="17"/>
      <c r="E5" s="17"/>
      <c r="F5" s="477"/>
      <c r="G5" s="477"/>
      <c r="H5" s="477"/>
      <c r="I5" s="477"/>
      <c r="J5" s="477"/>
      <c r="K5" s="782"/>
      <c r="L5" s="477"/>
      <c r="M5" s="478"/>
      <c r="N5" s="478"/>
      <c r="O5" s="477"/>
      <c r="P5" s="480"/>
    </row>
    <row r="6" spans="1:29" ht="25.5" customHeight="1">
      <c r="A6" s="477"/>
      <c r="B6" s="481"/>
      <c r="C6" s="17"/>
      <c r="D6" s="17"/>
      <c r="E6" s="17"/>
      <c r="F6" s="477"/>
      <c r="G6" s="477"/>
      <c r="H6" s="477"/>
      <c r="I6" s="477"/>
      <c r="J6" s="477"/>
      <c r="K6" s="782"/>
      <c r="L6" s="477"/>
      <c r="M6" s="478"/>
      <c r="N6" s="478"/>
      <c r="O6" s="477"/>
      <c r="P6" s="480"/>
    </row>
    <row r="7" spans="1:29" ht="25.5" customHeight="1">
      <c r="A7" s="477"/>
      <c r="B7" s="191"/>
      <c r="C7" s="17"/>
      <c r="D7" s="17"/>
      <c r="E7" s="17"/>
      <c r="F7" s="477"/>
      <c r="G7" s="477"/>
      <c r="H7" s="477"/>
      <c r="I7" s="477"/>
      <c r="J7" s="477"/>
      <c r="K7" s="782"/>
      <c r="L7" s="477"/>
      <c r="M7" s="478"/>
      <c r="N7" s="478"/>
      <c r="O7" s="477"/>
      <c r="P7" s="480"/>
    </row>
    <row r="8" spans="1:29" ht="25.5" customHeight="1">
      <c r="A8" s="477"/>
      <c r="B8" s="26" t="s">
        <v>188</v>
      </c>
      <c r="C8" s="17"/>
      <c r="D8" s="26" t="s">
        <v>189</v>
      </c>
      <c r="E8" s="17"/>
      <c r="F8" s="477"/>
      <c r="G8" s="477"/>
      <c r="H8" s="477"/>
      <c r="I8" s="477"/>
      <c r="J8" s="477"/>
      <c r="K8" s="782"/>
      <c r="L8" s="477"/>
      <c r="M8" s="478"/>
      <c r="N8" s="478"/>
      <c r="O8" s="477"/>
      <c r="P8" s="480"/>
    </row>
    <row r="9" spans="1:29" ht="25.5" customHeight="1">
      <c r="A9" s="477"/>
      <c r="B9" s="482" t="s">
        <v>190</v>
      </c>
      <c r="C9" s="17"/>
      <c r="D9" s="482" t="s">
        <v>558</v>
      </c>
      <c r="E9" s="17"/>
      <c r="F9" s="477"/>
      <c r="G9" s="477"/>
      <c r="H9" s="477"/>
      <c r="I9" s="477"/>
      <c r="J9" s="477"/>
      <c r="K9" s="782"/>
      <c r="L9" s="477"/>
      <c r="M9" s="478"/>
      <c r="N9" s="478"/>
      <c r="O9" s="477"/>
      <c r="P9" s="480"/>
    </row>
    <row r="10" spans="1:29" ht="25.5" customHeight="1">
      <c r="A10" s="477"/>
      <c r="B10" s="784" t="s">
        <v>497</v>
      </c>
      <c r="C10" s="837"/>
      <c r="D10" s="17"/>
      <c r="E10" s="17"/>
      <c r="F10" s="477"/>
      <c r="G10" s="477"/>
      <c r="H10" s="477"/>
      <c r="I10" s="477"/>
      <c r="J10" s="477"/>
      <c r="K10" s="782"/>
      <c r="L10" s="477"/>
      <c r="M10" s="478"/>
      <c r="N10" s="478"/>
      <c r="O10" s="477"/>
      <c r="P10" s="480"/>
    </row>
    <row r="11" spans="1:29" s="490" customFormat="1" ht="25.5" customHeight="1">
      <c r="A11" s="484"/>
      <c r="B11" s="32"/>
      <c r="C11" s="33"/>
      <c r="D11" s="33"/>
      <c r="E11" s="33"/>
      <c r="F11" s="484"/>
      <c r="G11" s="485"/>
      <c r="H11" s="485"/>
      <c r="I11" s="486"/>
      <c r="J11" s="484"/>
      <c r="K11" s="526"/>
      <c r="L11" s="484"/>
      <c r="M11" s="487"/>
      <c r="N11" s="487"/>
      <c r="O11" s="484"/>
      <c r="P11" s="489"/>
    </row>
    <row r="12" spans="1:29" s="490" customFormat="1" ht="25.5" customHeight="1">
      <c r="A12" s="491"/>
      <c r="B12" s="41"/>
      <c r="C12" s="42"/>
      <c r="D12" s="42"/>
      <c r="E12" s="42"/>
      <c r="F12" s="491"/>
      <c r="G12" s="492"/>
      <c r="H12" s="492"/>
      <c r="I12" s="493"/>
      <c r="J12" s="491"/>
      <c r="K12" s="785"/>
      <c r="L12" s="491"/>
      <c r="M12" s="494"/>
      <c r="N12" s="494"/>
      <c r="O12" s="496"/>
      <c r="P12" s="489"/>
    </row>
    <row r="13" spans="1:29" s="490" customFormat="1" ht="25.5" customHeight="1">
      <c r="B13" s="94"/>
      <c r="C13" s="38"/>
      <c r="D13" s="38"/>
      <c r="E13" s="38"/>
      <c r="G13" s="497"/>
      <c r="H13" s="497"/>
      <c r="I13" s="498"/>
      <c r="K13" s="501"/>
      <c r="M13" s="499"/>
      <c r="N13" s="499"/>
      <c r="P13" s="489"/>
    </row>
    <row r="14" spans="1:29" s="490" customFormat="1" ht="25.5" customHeight="1">
      <c r="B14" s="94"/>
      <c r="C14" s="38"/>
      <c r="D14" s="38"/>
      <c r="E14" s="38"/>
      <c r="G14" s="497"/>
      <c r="H14" s="497"/>
      <c r="I14" s="498"/>
      <c r="K14" s="501"/>
      <c r="M14" s="499"/>
      <c r="N14" s="499"/>
      <c r="P14" s="489"/>
    </row>
    <row r="15" spans="1:29" s="490" customFormat="1" ht="25.5" customHeight="1">
      <c r="B15" s="1006" t="s">
        <v>181</v>
      </c>
      <c r="C15" s="1006"/>
      <c r="D15" s="1006"/>
      <c r="E15" s="1006"/>
      <c r="F15" s="1006"/>
      <c r="G15" s="1006"/>
      <c r="H15" s="498"/>
      <c r="J15" s="501"/>
      <c r="K15" s="501"/>
      <c r="M15" s="499"/>
      <c r="N15" s="499"/>
      <c r="P15" s="489"/>
      <c r="V15" s="502"/>
      <c r="AA15" s="502"/>
      <c r="AB15" s="502"/>
      <c r="AC15" s="502"/>
    </row>
    <row r="16" spans="1:29" s="490" customFormat="1" ht="25.5" customHeight="1">
      <c r="B16" s="1006"/>
      <c r="C16" s="1006"/>
      <c r="D16" s="1006"/>
      <c r="E16" s="1006"/>
      <c r="F16" s="1006"/>
      <c r="G16" s="1006"/>
      <c r="H16" s="498"/>
      <c r="J16" s="501"/>
      <c r="K16" s="501"/>
      <c r="M16" s="499"/>
      <c r="N16" s="499"/>
      <c r="P16" s="489"/>
      <c r="V16" s="502"/>
      <c r="AA16" s="502"/>
      <c r="AB16" s="502"/>
      <c r="AC16" s="502"/>
    </row>
    <row r="17" spans="2:29" s="490" customFormat="1" ht="25.5" customHeight="1">
      <c r="B17" s="1006"/>
      <c r="C17" s="1006"/>
      <c r="D17" s="1006"/>
      <c r="E17" s="1006"/>
      <c r="F17" s="1006"/>
      <c r="G17" s="1006"/>
      <c r="H17" s="498"/>
      <c r="J17" s="501"/>
      <c r="K17" s="501"/>
      <c r="M17" s="499"/>
      <c r="N17" s="499"/>
      <c r="P17" s="489"/>
      <c r="V17" s="502"/>
      <c r="AA17" s="502"/>
      <c r="AB17" s="502"/>
      <c r="AC17" s="502"/>
    </row>
    <row r="18" spans="2:29" s="490" customFormat="1" ht="25.5" customHeight="1">
      <c r="B18" s="261" t="s">
        <v>559</v>
      </c>
      <c r="C18" s="261"/>
      <c r="D18" s="261"/>
      <c r="E18" s="261"/>
      <c r="F18" s="838"/>
      <c r="H18" s="498"/>
      <c r="J18" s="501"/>
      <c r="K18" s="501"/>
      <c r="M18" s="499"/>
      <c r="N18" s="499"/>
      <c r="P18" s="489"/>
      <c r="V18" s="502"/>
      <c r="W18" s="502"/>
      <c r="X18" s="502"/>
      <c r="Y18" s="502"/>
      <c r="Z18" s="502"/>
      <c r="AA18" s="502"/>
      <c r="AB18" s="502"/>
      <c r="AC18" s="502"/>
    </row>
    <row r="19" spans="2:29" s="490" customFormat="1" ht="25.5" customHeight="1">
      <c r="B19" s="1034" t="s">
        <v>560</v>
      </c>
      <c r="C19" s="1034"/>
      <c r="D19" s="1034"/>
      <c r="E19" s="1034"/>
      <c r="F19" s="1034"/>
      <c r="G19" s="506"/>
      <c r="H19" s="507"/>
      <c r="I19" s="506"/>
      <c r="J19" s="508"/>
      <c r="K19" s="639"/>
      <c r="L19" s="506"/>
      <c r="M19" s="509"/>
      <c r="N19" s="509"/>
      <c r="O19" s="506"/>
      <c r="P19" s="511"/>
      <c r="V19" s="502"/>
      <c r="W19" s="502"/>
      <c r="X19" s="502"/>
      <c r="Y19" s="502"/>
      <c r="Z19" s="502"/>
      <c r="AA19" s="502"/>
      <c r="AB19" s="502"/>
      <c r="AC19" s="502"/>
    </row>
    <row r="20" spans="2:29" s="490" customFormat="1" ht="25.5" customHeight="1">
      <c r="B20" s="638" t="s">
        <v>561</v>
      </c>
      <c r="C20" s="839"/>
      <c r="D20" s="63"/>
      <c r="E20" s="63"/>
      <c r="F20" s="512"/>
      <c r="G20" s="506"/>
      <c r="H20" s="507"/>
      <c r="I20" s="506"/>
      <c r="J20" s="508"/>
      <c r="K20" s="639"/>
      <c r="L20" s="506"/>
      <c r="M20" s="509"/>
      <c r="N20" s="509"/>
      <c r="O20" s="506"/>
      <c r="P20" s="511"/>
      <c r="V20" s="502"/>
      <c r="W20" s="502"/>
      <c r="X20" s="502"/>
      <c r="Y20" s="502"/>
      <c r="Z20" s="513"/>
      <c r="AA20" s="514"/>
      <c r="AB20" s="502"/>
      <c r="AC20" s="502"/>
    </row>
    <row r="21" spans="2:29" s="490" customFormat="1" ht="25.5" customHeight="1">
      <c r="B21" s="64"/>
      <c r="C21" s="207"/>
      <c r="D21" s="64"/>
      <c r="E21" s="64"/>
      <c r="F21" s="512"/>
      <c r="G21" s="506"/>
      <c r="H21" s="507"/>
      <c r="I21" s="506"/>
      <c r="J21" s="508"/>
      <c r="K21" s="639"/>
      <c r="L21" s="506"/>
      <c r="M21" s="509"/>
      <c r="N21" s="509"/>
      <c r="O21" s="506"/>
      <c r="P21" s="511"/>
      <c r="S21" s="474"/>
      <c r="T21" s="474"/>
      <c r="U21" s="474"/>
      <c r="V21" s="502"/>
      <c r="W21" s="502"/>
      <c r="X21" s="502"/>
      <c r="Y21" s="502"/>
      <c r="Z21" s="502"/>
      <c r="AA21" s="502"/>
      <c r="AB21" s="513"/>
      <c r="AC21" s="502"/>
    </row>
    <row r="22" spans="2:29" s="490" customFormat="1" ht="25.5" customHeight="1">
      <c r="B22" s="64"/>
      <c r="C22" s="207"/>
      <c r="D22" s="64"/>
      <c r="E22" s="64"/>
      <c r="F22" s="512"/>
      <c r="G22" s="506"/>
      <c r="H22" s="507"/>
      <c r="I22" s="506"/>
      <c r="J22" s="508"/>
      <c r="K22" s="639"/>
      <c r="L22" s="506"/>
      <c r="M22" s="509"/>
      <c r="N22" s="509"/>
      <c r="O22" s="506"/>
      <c r="P22" s="511"/>
      <c r="S22" s="474"/>
      <c r="T22" s="474"/>
      <c r="U22" s="474"/>
      <c r="V22" s="502"/>
      <c r="W22" s="502"/>
      <c r="X22" s="502"/>
      <c r="Y22" s="502"/>
      <c r="Z22" s="502"/>
      <c r="AA22" s="502"/>
      <c r="AB22" s="513"/>
      <c r="AC22" s="502"/>
    </row>
    <row r="23" spans="2:29" ht="31">
      <c r="B23" s="515" t="s">
        <v>562</v>
      </c>
      <c r="C23" s="516"/>
      <c r="D23" s="516"/>
      <c r="N23" s="517"/>
      <c r="P23" s="480"/>
      <c r="Q23" s="787"/>
    </row>
    <row r="24" spans="2:29" s="518" customFormat="1" ht="52">
      <c r="B24" s="78" t="s">
        <v>23</v>
      </c>
      <c r="C24" s="840" t="s">
        <v>563</v>
      </c>
      <c r="D24" s="149" t="s">
        <v>11</v>
      </c>
      <c r="E24" s="149" t="s">
        <v>12</v>
      </c>
      <c r="F24" s="149" t="s">
        <v>508</v>
      </c>
      <c r="G24" s="520" t="s">
        <v>31</v>
      </c>
      <c r="H24" s="520" t="s">
        <v>248</v>
      </c>
      <c r="I24" s="522" t="s">
        <v>33</v>
      </c>
      <c r="J24" s="522" t="s">
        <v>564</v>
      </c>
      <c r="K24" s="522" t="s">
        <v>565</v>
      </c>
      <c r="L24" s="519"/>
      <c r="M24" s="520" t="s">
        <v>34</v>
      </c>
      <c r="N24" s="520" t="s">
        <v>566</v>
      </c>
      <c r="P24" s="523"/>
      <c r="T24" s="524"/>
      <c r="U24" s="525"/>
      <c r="V24" s="525"/>
      <c r="W24" s="525"/>
      <c r="X24" s="524"/>
    </row>
    <row r="25" spans="2:29" s="502" customFormat="1" ht="25.5" customHeight="1">
      <c r="B25" s="84" t="s">
        <v>358</v>
      </c>
      <c r="C25" s="33" t="s">
        <v>567</v>
      </c>
      <c r="D25" s="37">
        <v>1</v>
      </c>
      <c r="E25" s="37">
        <v>1</v>
      </c>
      <c r="F25" s="37">
        <v>40</v>
      </c>
      <c r="G25" s="788">
        <f t="shared" ref="G25:G35" si="0">H25/720</f>
        <v>17.95</v>
      </c>
      <c r="H25" s="789">
        <f t="shared" ref="H25:H35" si="1">D25*IAAS_vcpu_sunet_b_m+E25*IAAS_ram_sunet_b_m+F25*IAAS_ssd_SUNET</f>
        <v>12924</v>
      </c>
      <c r="I25" s="528"/>
      <c r="J25" s="528"/>
      <c r="K25" s="528"/>
      <c r="L25" s="526" t="s">
        <v>405</v>
      </c>
      <c r="M25" s="790">
        <f t="shared" ref="M25:M35" si="2">ROUNDUP(I25*H25,2)</f>
        <v>0</v>
      </c>
      <c r="N25" s="790">
        <f t="shared" ref="N25:N35" si="3">J25*D25*SW_win.ser.201X_SEK+K25*D25*SW_ms.sql.ser_SEK</f>
        <v>0</v>
      </c>
      <c r="P25" s="530"/>
      <c r="Q25" s="791"/>
      <c r="S25" s="792"/>
      <c r="U25" s="793"/>
    </row>
    <row r="26" spans="2:29" s="502" customFormat="1" ht="25.5" customHeight="1">
      <c r="B26" s="90" t="s">
        <v>359</v>
      </c>
      <c r="C26" s="38" t="s">
        <v>567</v>
      </c>
      <c r="D26" s="52">
        <v>1</v>
      </c>
      <c r="E26" s="52">
        <v>2</v>
      </c>
      <c r="F26" s="52">
        <v>40</v>
      </c>
      <c r="G26" s="794">
        <f t="shared" si="0"/>
        <v>20.755555555555556</v>
      </c>
      <c r="H26" s="795">
        <f t="shared" si="1"/>
        <v>14944</v>
      </c>
      <c r="I26" s="528"/>
      <c r="J26" s="528"/>
      <c r="K26" s="528"/>
      <c r="L26" s="501" t="s">
        <v>405</v>
      </c>
      <c r="M26" s="796">
        <f t="shared" si="2"/>
        <v>0</v>
      </c>
      <c r="N26" s="796">
        <f t="shared" si="3"/>
        <v>0</v>
      </c>
      <c r="P26" s="530"/>
      <c r="Q26" s="791"/>
      <c r="S26" s="792"/>
      <c r="T26" s="793"/>
    </row>
    <row r="27" spans="2:29" s="502" customFormat="1" ht="25.5" customHeight="1">
      <c r="B27" s="84" t="s">
        <v>360</v>
      </c>
      <c r="C27" s="33" t="s">
        <v>567</v>
      </c>
      <c r="D27" s="37">
        <v>2</v>
      </c>
      <c r="E27" s="37">
        <v>4</v>
      </c>
      <c r="F27" s="37">
        <v>40</v>
      </c>
      <c r="G27" s="788">
        <f t="shared" si="0"/>
        <v>41.511111111111113</v>
      </c>
      <c r="H27" s="789">
        <f t="shared" si="1"/>
        <v>29888</v>
      </c>
      <c r="I27" s="528"/>
      <c r="J27" s="528"/>
      <c r="K27" s="528"/>
      <c r="L27" s="526" t="s">
        <v>405</v>
      </c>
      <c r="M27" s="790">
        <f t="shared" si="2"/>
        <v>0</v>
      </c>
      <c r="N27" s="790">
        <f t="shared" si="3"/>
        <v>0</v>
      </c>
      <c r="O27" s="533"/>
      <c r="P27" s="530"/>
      <c r="Q27" s="791"/>
      <c r="S27" s="792"/>
      <c r="T27" s="793"/>
    </row>
    <row r="28" spans="2:29" s="502" customFormat="1" ht="25.5" customHeight="1">
      <c r="B28" s="90" t="s">
        <v>361</v>
      </c>
      <c r="C28" s="38" t="s">
        <v>567</v>
      </c>
      <c r="D28" s="52">
        <v>4</v>
      </c>
      <c r="E28" s="52">
        <v>8</v>
      </c>
      <c r="F28" s="52">
        <v>40</v>
      </c>
      <c r="G28" s="794">
        <f t="shared" si="0"/>
        <v>83.022222222222226</v>
      </c>
      <c r="H28" s="795">
        <f t="shared" si="1"/>
        <v>59776</v>
      </c>
      <c r="I28" s="528"/>
      <c r="J28" s="528"/>
      <c r="K28" s="528"/>
      <c r="L28" s="501" t="s">
        <v>405</v>
      </c>
      <c r="M28" s="796">
        <f t="shared" si="2"/>
        <v>0</v>
      </c>
      <c r="N28" s="796">
        <f t="shared" si="3"/>
        <v>0</v>
      </c>
      <c r="P28" s="530"/>
      <c r="Q28" s="791"/>
      <c r="S28" s="792"/>
      <c r="T28" s="793"/>
    </row>
    <row r="29" spans="2:29" s="502" customFormat="1" ht="25.5" customHeight="1">
      <c r="B29" s="84" t="s">
        <v>362</v>
      </c>
      <c r="C29" s="33" t="s">
        <v>567</v>
      </c>
      <c r="D29" s="37">
        <v>8</v>
      </c>
      <c r="E29" s="37">
        <v>16</v>
      </c>
      <c r="F29" s="37">
        <v>40</v>
      </c>
      <c r="G29" s="788">
        <f t="shared" si="0"/>
        <v>166.04444444444445</v>
      </c>
      <c r="H29" s="789">
        <f t="shared" si="1"/>
        <v>119552</v>
      </c>
      <c r="I29" s="528"/>
      <c r="J29" s="528"/>
      <c r="K29" s="528"/>
      <c r="L29" s="526" t="s">
        <v>405</v>
      </c>
      <c r="M29" s="790">
        <f t="shared" si="2"/>
        <v>0</v>
      </c>
      <c r="N29" s="790">
        <f t="shared" si="3"/>
        <v>0</v>
      </c>
      <c r="P29" s="530"/>
      <c r="Q29" s="791"/>
      <c r="S29" s="792"/>
    </row>
    <row r="30" spans="2:29" s="502" customFormat="1" ht="25.5" customHeight="1">
      <c r="B30" s="90" t="s">
        <v>363</v>
      </c>
      <c r="C30" s="38" t="s">
        <v>567</v>
      </c>
      <c r="D30" s="52">
        <v>16</v>
      </c>
      <c r="E30" s="52">
        <v>32</v>
      </c>
      <c r="F30" s="52">
        <v>40</v>
      </c>
      <c r="G30" s="794">
        <f t="shared" si="0"/>
        <v>332.0888888888889</v>
      </c>
      <c r="H30" s="795">
        <f t="shared" si="1"/>
        <v>239104</v>
      </c>
      <c r="I30" s="528"/>
      <c r="J30" s="528"/>
      <c r="K30" s="528"/>
      <c r="L30" s="501" t="s">
        <v>405</v>
      </c>
      <c r="M30" s="796">
        <f t="shared" si="2"/>
        <v>0</v>
      </c>
      <c r="N30" s="796">
        <f t="shared" si="3"/>
        <v>0</v>
      </c>
      <c r="P30" s="530"/>
      <c r="Q30" s="791"/>
      <c r="S30" s="792"/>
    </row>
    <row r="31" spans="2:29" s="502" customFormat="1" ht="25.5" customHeight="1">
      <c r="B31" s="84" t="s">
        <v>364</v>
      </c>
      <c r="C31" s="33" t="s">
        <v>567</v>
      </c>
      <c r="D31" s="37">
        <v>1</v>
      </c>
      <c r="E31" s="37">
        <v>4</v>
      </c>
      <c r="F31" s="37">
        <v>40</v>
      </c>
      <c r="G31" s="788">
        <f t="shared" si="0"/>
        <v>26.366666666666667</v>
      </c>
      <c r="H31" s="789">
        <f t="shared" si="1"/>
        <v>18984</v>
      </c>
      <c r="I31" s="528"/>
      <c r="J31" s="528"/>
      <c r="K31" s="528"/>
      <c r="L31" s="526" t="s">
        <v>405</v>
      </c>
      <c r="M31" s="790">
        <f t="shared" si="2"/>
        <v>0</v>
      </c>
      <c r="N31" s="790">
        <f t="shared" si="3"/>
        <v>0</v>
      </c>
      <c r="P31" s="530"/>
      <c r="Q31" s="791"/>
    </row>
    <row r="32" spans="2:29" s="502" customFormat="1" ht="25.5" customHeight="1">
      <c r="B32" s="90" t="s">
        <v>365</v>
      </c>
      <c r="C32" s="38" t="s">
        <v>567</v>
      </c>
      <c r="D32" s="52">
        <v>2</v>
      </c>
      <c r="E32" s="52">
        <v>8</v>
      </c>
      <c r="F32" s="52">
        <v>40</v>
      </c>
      <c r="G32" s="794">
        <f t="shared" si="0"/>
        <v>52.733333333333334</v>
      </c>
      <c r="H32" s="795">
        <f t="shared" si="1"/>
        <v>37968</v>
      </c>
      <c r="I32" s="528"/>
      <c r="J32" s="528"/>
      <c r="K32" s="528"/>
      <c r="L32" s="501" t="s">
        <v>405</v>
      </c>
      <c r="M32" s="796">
        <f t="shared" si="2"/>
        <v>0</v>
      </c>
      <c r="N32" s="796">
        <f t="shared" si="3"/>
        <v>0</v>
      </c>
      <c r="P32" s="530"/>
      <c r="Q32" s="791"/>
    </row>
    <row r="33" spans="2:23" s="502" customFormat="1" ht="25.5" customHeight="1">
      <c r="B33" s="84" t="s">
        <v>366</v>
      </c>
      <c r="C33" s="33" t="s">
        <v>567</v>
      </c>
      <c r="D33" s="37">
        <v>4</v>
      </c>
      <c r="E33" s="37">
        <v>16</v>
      </c>
      <c r="F33" s="37">
        <v>40</v>
      </c>
      <c r="G33" s="788">
        <f t="shared" si="0"/>
        <v>105.46666666666667</v>
      </c>
      <c r="H33" s="789">
        <f t="shared" si="1"/>
        <v>75936</v>
      </c>
      <c r="I33" s="528"/>
      <c r="J33" s="528"/>
      <c r="K33" s="528"/>
      <c r="L33" s="526" t="s">
        <v>405</v>
      </c>
      <c r="M33" s="790">
        <f t="shared" si="2"/>
        <v>0</v>
      </c>
      <c r="N33" s="790">
        <f t="shared" si="3"/>
        <v>0</v>
      </c>
      <c r="P33" s="530"/>
      <c r="Q33" s="791"/>
    </row>
    <row r="34" spans="2:23" s="502" customFormat="1" ht="25.5" customHeight="1">
      <c r="B34" s="90" t="s">
        <v>367</v>
      </c>
      <c r="C34" s="38" t="s">
        <v>567</v>
      </c>
      <c r="D34" s="52">
        <v>8</v>
      </c>
      <c r="E34" s="52">
        <v>32</v>
      </c>
      <c r="F34" s="52">
        <v>40</v>
      </c>
      <c r="G34" s="794">
        <f t="shared" si="0"/>
        <v>210.93333333333334</v>
      </c>
      <c r="H34" s="795">
        <f t="shared" si="1"/>
        <v>151872</v>
      </c>
      <c r="I34" s="528"/>
      <c r="J34" s="528"/>
      <c r="K34" s="528"/>
      <c r="L34" s="501" t="s">
        <v>405</v>
      </c>
      <c r="M34" s="796">
        <f t="shared" si="2"/>
        <v>0</v>
      </c>
      <c r="N34" s="796">
        <f t="shared" si="3"/>
        <v>0</v>
      </c>
      <c r="P34" s="530"/>
      <c r="Q34" s="791"/>
      <c r="U34" s="513"/>
      <c r="V34" s="513"/>
      <c r="W34" s="513"/>
    </row>
    <row r="35" spans="2:23" s="502" customFormat="1" ht="25.5" customHeight="1">
      <c r="B35" s="84" t="s">
        <v>368</v>
      </c>
      <c r="C35" s="33" t="s">
        <v>567</v>
      </c>
      <c r="D35" s="37">
        <v>16</v>
      </c>
      <c r="E35" s="37">
        <v>65</v>
      </c>
      <c r="F35" s="37">
        <v>40</v>
      </c>
      <c r="G35" s="788">
        <f t="shared" si="0"/>
        <v>424.67222222222222</v>
      </c>
      <c r="H35" s="789">
        <f t="shared" si="1"/>
        <v>305764</v>
      </c>
      <c r="I35" s="528"/>
      <c r="J35" s="528"/>
      <c r="K35" s="528"/>
      <c r="L35" s="526" t="s">
        <v>405</v>
      </c>
      <c r="M35" s="790">
        <f t="shared" si="2"/>
        <v>0</v>
      </c>
      <c r="N35" s="790">
        <f t="shared" si="3"/>
        <v>0</v>
      </c>
      <c r="P35" s="530"/>
      <c r="U35" s="513"/>
      <c r="V35" s="513"/>
      <c r="W35" s="513"/>
    </row>
    <row r="36" spans="2:23" ht="25.5" customHeight="1">
      <c r="B36" s="534" t="s">
        <v>62</v>
      </c>
      <c r="C36" s="841"/>
      <c r="D36" s="580"/>
      <c r="E36" s="580"/>
      <c r="F36" s="581"/>
      <c r="G36" s="582"/>
      <c r="H36" s="583"/>
      <c r="I36" s="625" t="str">
        <f>SUM(I25:I35)&amp;" st"</f>
        <v>0 st</v>
      </c>
      <c r="J36" s="625" t="str">
        <f>SUM(J25:J35)&amp;" st"</f>
        <v>0 st</v>
      </c>
      <c r="K36" s="625" t="str">
        <f>SUM(K25:K35)&amp;" st"</f>
        <v>0 st</v>
      </c>
      <c r="L36" s="559"/>
      <c r="M36" s="798">
        <f>SUM(M25:M35)</f>
        <v>0</v>
      </c>
      <c r="N36" s="807">
        <f>SUM(N25:N35)</f>
        <v>0</v>
      </c>
      <c r="P36" s="480"/>
      <c r="U36" s="513"/>
      <c r="V36" s="513"/>
      <c r="W36" s="537"/>
    </row>
    <row r="37" spans="2:23" ht="25.5" customHeight="1">
      <c r="B37" s="103"/>
      <c r="C37" s="842"/>
      <c r="D37" s="143"/>
      <c r="E37" s="143"/>
      <c r="F37" s="538"/>
      <c r="G37" s="539"/>
      <c r="H37" s="540"/>
      <c r="I37" s="541"/>
      <c r="J37" s="541"/>
      <c r="K37" s="541"/>
      <c r="L37" s="542"/>
      <c r="M37" s="541"/>
      <c r="N37" s="585"/>
      <c r="P37" s="480"/>
      <c r="U37" s="513"/>
      <c r="V37" s="513"/>
      <c r="W37" s="537"/>
    </row>
    <row r="38" spans="2:23" ht="25.5" customHeight="1">
      <c r="B38" s="103"/>
      <c r="C38" s="842"/>
      <c r="D38" s="143"/>
      <c r="E38" s="143"/>
      <c r="F38" s="538"/>
      <c r="G38" s="539"/>
      <c r="H38" s="540"/>
      <c r="I38" s="541"/>
      <c r="J38" s="541"/>
      <c r="K38" s="541"/>
      <c r="L38" s="542"/>
      <c r="M38" s="541"/>
      <c r="N38" s="585"/>
      <c r="P38" s="480"/>
      <c r="U38" s="513"/>
      <c r="V38" s="513"/>
      <c r="W38" s="537"/>
    </row>
    <row r="39" spans="2:23" s="543" customFormat="1" ht="31">
      <c r="B39" s="221" t="s">
        <v>510</v>
      </c>
      <c r="C39" s="69"/>
      <c r="D39" s="69"/>
      <c r="E39" s="69"/>
      <c r="F39" s="544"/>
      <c r="G39" s="544"/>
      <c r="H39" s="545"/>
      <c r="I39" s="546"/>
      <c r="J39" s="546"/>
      <c r="K39" s="546"/>
      <c r="L39" s="546"/>
      <c r="M39" s="547"/>
      <c r="N39" s="547"/>
      <c r="P39" s="548"/>
      <c r="U39" s="549"/>
      <c r="V39" s="549"/>
      <c r="W39" s="550"/>
    </row>
    <row r="40" spans="2:23" s="551" customFormat="1" ht="52">
      <c r="B40" s="78" t="s">
        <v>23</v>
      </c>
      <c r="C40" s="840" t="s">
        <v>563</v>
      </c>
      <c r="D40" s="149" t="s">
        <v>11</v>
      </c>
      <c r="E40" s="149" t="s">
        <v>12</v>
      </c>
      <c r="F40" s="149" t="s">
        <v>508</v>
      </c>
      <c r="G40" s="520" t="s">
        <v>31</v>
      </c>
      <c r="H40" s="520" t="s">
        <v>248</v>
      </c>
      <c r="I40" s="522" t="s">
        <v>33</v>
      </c>
      <c r="J40" s="522" t="s">
        <v>564</v>
      </c>
      <c r="K40" s="522" t="s">
        <v>565</v>
      </c>
      <c r="L40" s="519"/>
      <c r="M40" s="520" t="s">
        <v>34</v>
      </c>
      <c r="N40" s="520" t="s">
        <v>566</v>
      </c>
      <c r="P40" s="480"/>
      <c r="Q40" s="474"/>
      <c r="R40" s="474"/>
      <c r="S40" s="474"/>
      <c r="T40" s="474"/>
      <c r="U40" s="513"/>
      <c r="V40" s="513"/>
      <c r="W40" s="537"/>
    </row>
    <row r="41" spans="2:23" s="502" customFormat="1" ht="25.5" customHeight="1">
      <c r="B41" s="84" t="s">
        <v>372</v>
      </c>
      <c r="C41" s="186" t="s">
        <v>567</v>
      </c>
      <c r="D41" s="152">
        <v>1</v>
      </c>
      <c r="E41" s="152">
        <v>1</v>
      </c>
      <c r="F41" s="552">
        <v>10</v>
      </c>
      <c r="G41" s="799">
        <f t="shared" ref="G41:G59" si="4">H41/720</f>
        <v>0.2013888888888889</v>
      </c>
      <c r="H41" s="800">
        <f t="shared" ref="H41:H59" si="5">D41*IAAS_vcpu_SUNET+E41*IAAS_ram_SUNET+F41*IAAS_nvme_SUNET</f>
        <v>145</v>
      </c>
      <c r="I41" s="528"/>
      <c r="J41" s="528"/>
      <c r="K41" s="528"/>
      <c r="L41" s="526" t="s">
        <v>405</v>
      </c>
      <c r="M41" s="790">
        <f t="shared" ref="M41:M59" si="6">ROUNDUP(I41*H41,2)</f>
        <v>0</v>
      </c>
      <c r="N41" s="790">
        <f t="shared" ref="N41:N59" si="7">J41*D41*SW_win.ser.201X_SEK+K41*D41*SW_ms.sql.ser_SEK</f>
        <v>0</v>
      </c>
      <c r="P41" s="530"/>
      <c r="U41" s="513"/>
      <c r="W41" s="513"/>
    </row>
    <row r="42" spans="2:23" s="502" customFormat="1" ht="25.5" customHeight="1">
      <c r="B42" s="90" t="s">
        <v>375</v>
      </c>
      <c r="C42" s="54" t="s">
        <v>567</v>
      </c>
      <c r="D42" s="156">
        <v>4</v>
      </c>
      <c r="E42" s="156">
        <v>8</v>
      </c>
      <c r="F42" s="168">
        <v>250</v>
      </c>
      <c r="G42" s="801">
        <f t="shared" si="4"/>
        <v>1.4027777777777777</v>
      </c>
      <c r="H42" s="802">
        <f t="shared" si="5"/>
        <v>1010</v>
      </c>
      <c r="I42" s="528"/>
      <c r="J42" s="528"/>
      <c r="K42" s="528"/>
      <c r="L42" s="501" t="s">
        <v>405</v>
      </c>
      <c r="M42" s="796">
        <f t="shared" si="6"/>
        <v>0</v>
      </c>
      <c r="N42" s="796">
        <f t="shared" si="7"/>
        <v>0</v>
      </c>
      <c r="P42" s="530"/>
      <c r="U42" s="513"/>
      <c r="W42" s="513"/>
    </row>
    <row r="43" spans="2:23" s="502" customFormat="1" ht="25.5" customHeight="1">
      <c r="B43" s="84" t="s">
        <v>376</v>
      </c>
      <c r="C43" s="186" t="s">
        <v>567</v>
      </c>
      <c r="D43" s="152">
        <v>8</v>
      </c>
      <c r="E43" s="152">
        <v>16</v>
      </c>
      <c r="F43" s="552">
        <v>250</v>
      </c>
      <c r="G43" s="799">
        <f t="shared" si="4"/>
        <v>2.4583333333333335</v>
      </c>
      <c r="H43" s="800">
        <f t="shared" si="5"/>
        <v>1770</v>
      </c>
      <c r="I43" s="528"/>
      <c r="J43" s="528"/>
      <c r="K43" s="528"/>
      <c r="L43" s="526" t="s">
        <v>405</v>
      </c>
      <c r="M43" s="790">
        <f t="shared" si="6"/>
        <v>0</v>
      </c>
      <c r="N43" s="790">
        <f t="shared" si="7"/>
        <v>0</v>
      </c>
      <c r="P43" s="530"/>
      <c r="U43" s="513"/>
      <c r="W43" s="513"/>
    </row>
    <row r="44" spans="2:23" s="502" customFormat="1" ht="25.5" customHeight="1">
      <c r="B44" s="90" t="s">
        <v>377</v>
      </c>
      <c r="C44" s="54" t="s">
        <v>567</v>
      </c>
      <c r="D44" s="156">
        <v>16</v>
      </c>
      <c r="E44" s="156">
        <v>32</v>
      </c>
      <c r="F44" s="168">
        <v>250</v>
      </c>
      <c r="G44" s="801">
        <f t="shared" si="4"/>
        <v>4.5694444444444446</v>
      </c>
      <c r="H44" s="802">
        <f t="shared" si="5"/>
        <v>3290</v>
      </c>
      <c r="I44" s="528"/>
      <c r="J44" s="528"/>
      <c r="K44" s="528"/>
      <c r="L44" s="501" t="s">
        <v>405</v>
      </c>
      <c r="M44" s="796">
        <f t="shared" si="6"/>
        <v>0</v>
      </c>
      <c r="N44" s="796">
        <f t="shared" si="7"/>
        <v>0</v>
      </c>
      <c r="P44" s="530"/>
      <c r="U44" s="513"/>
      <c r="W44" s="513"/>
    </row>
    <row r="45" spans="2:23" s="502" customFormat="1" ht="25.5" customHeight="1">
      <c r="B45" s="84" t="s">
        <v>378</v>
      </c>
      <c r="C45" s="186" t="s">
        <v>567</v>
      </c>
      <c r="D45" s="152">
        <v>16</v>
      </c>
      <c r="E45" s="152">
        <v>32</v>
      </c>
      <c r="F45" s="552">
        <v>500</v>
      </c>
      <c r="G45" s="801">
        <f t="shared" si="4"/>
        <v>4.916666666666667</v>
      </c>
      <c r="H45" s="800">
        <f t="shared" si="5"/>
        <v>3540</v>
      </c>
      <c r="I45" s="528"/>
      <c r="J45" s="528"/>
      <c r="K45" s="528"/>
      <c r="L45" s="526" t="s">
        <v>405</v>
      </c>
      <c r="M45" s="790">
        <f t="shared" si="6"/>
        <v>0</v>
      </c>
      <c r="N45" s="790">
        <f t="shared" si="7"/>
        <v>0</v>
      </c>
      <c r="P45" s="530"/>
      <c r="U45" s="513"/>
      <c r="W45" s="513"/>
    </row>
    <row r="46" spans="2:23" s="502" customFormat="1" ht="25.5" customHeight="1">
      <c r="B46" s="90" t="s">
        <v>379</v>
      </c>
      <c r="C46" s="54" t="s">
        <v>567</v>
      </c>
      <c r="D46" s="156">
        <v>16</v>
      </c>
      <c r="E46" s="156">
        <v>32</v>
      </c>
      <c r="F46" s="168">
        <v>1000</v>
      </c>
      <c r="G46" s="801">
        <f t="shared" si="4"/>
        <v>5.6111111111111107</v>
      </c>
      <c r="H46" s="802">
        <f t="shared" si="5"/>
        <v>4040</v>
      </c>
      <c r="I46" s="528"/>
      <c r="J46" s="528"/>
      <c r="K46" s="528"/>
      <c r="L46" s="501" t="s">
        <v>405</v>
      </c>
      <c r="M46" s="796">
        <f t="shared" si="6"/>
        <v>0</v>
      </c>
      <c r="N46" s="796">
        <f t="shared" si="7"/>
        <v>0</v>
      </c>
      <c r="P46" s="530"/>
      <c r="U46" s="513"/>
      <c r="W46" s="513"/>
    </row>
    <row r="47" spans="2:23" s="502" customFormat="1" ht="25.5" customHeight="1">
      <c r="B47" s="84" t="s">
        <v>380</v>
      </c>
      <c r="C47" s="186" t="s">
        <v>567</v>
      </c>
      <c r="D47" s="152">
        <v>32</v>
      </c>
      <c r="E47" s="152">
        <v>65</v>
      </c>
      <c r="F47" s="552">
        <v>250</v>
      </c>
      <c r="G47" s="799">
        <f t="shared" si="4"/>
        <v>8.8680555555555554</v>
      </c>
      <c r="H47" s="800">
        <f t="shared" si="5"/>
        <v>6385</v>
      </c>
      <c r="I47" s="528"/>
      <c r="J47" s="528"/>
      <c r="K47" s="528"/>
      <c r="L47" s="526" t="s">
        <v>405</v>
      </c>
      <c r="M47" s="790">
        <f t="shared" si="6"/>
        <v>0</v>
      </c>
      <c r="N47" s="790">
        <f t="shared" si="7"/>
        <v>0</v>
      </c>
      <c r="P47" s="530"/>
      <c r="U47" s="513"/>
      <c r="W47" s="513"/>
    </row>
    <row r="48" spans="2:23" s="502" customFormat="1" ht="25.5" customHeight="1">
      <c r="B48" s="90" t="s">
        <v>381</v>
      </c>
      <c r="C48" s="54" t="s">
        <v>567</v>
      </c>
      <c r="D48" s="156">
        <v>32</v>
      </c>
      <c r="E48" s="156">
        <v>65</v>
      </c>
      <c r="F48" s="168">
        <v>500</v>
      </c>
      <c r="G48" s="801">
        <f t="shared" si="4"/>
        <v>9.2152777777777786</v>
      </c>
      <c r="H48" s="802">
        <f t="shared" si="5"/>
        <v>6635</v>
      </c>
      <c r="I48" s="528"/>
      <c r="J48" s="528"/>
      <c r="K48" s="528"/>
      <c r="L48" s="501" t="s">
        <v>405</v>
      </c>
      <c r="M48" s="796">
        <f t="shared" si="6"/>
        <v>0</v>
      </c>
      <c r="N48" s="796">
        <f t="shared" si="7"/>
        <v>0</v>
      </c>
      <c r="P48" s="530"/>
      <c r="U48" s="513"/>
      <c r="W48" s="513"/>
    </row>
    <row r="49" spans="2:24" s="502" customFormat="1" ht="25.5" customHeight="1">
      <c r="B49" s="84" t="s">
        <v>382</v>
      </c>
      <c r="C49" s="186" t="s">
        <v>567</v>
      </c>
      <c r="D49" s="152">
        <v>32</v>
      </c>
      <c r="E49" s="152">
        <v>65</v>
      </c>
      <c r="F49" s="552">
        <v>1000</v>
      </c>
      <c r="G49" s="799">
        <f t="shared" si="4"/>
        <v>9.9097222222222214</v>
      </c>
      <c r="H49" s="800">
        <f t="shared" si="5"/>
        <v>7135</v>
      </c>
      <c r="I49" s="528"/>
      <c r="J49" s="528"/>
      <c r="K49" s="528"/>
      <c r="L49" s="526" t="s">
        <v>405</v>
      </c>
      <c r="M49" s="790">
        <f t="shared" si="6"/>
        <v>0</v>
      </c>
      <c r="N49" s="790">
        <f t="shared" si="7"/>
        <v>0</v>
      </c>
      <c r="P49" s="530"/>
      <c r="U49" s="513"/>
      <c r="W49" s="513"/>
    </row>
    <row r="50" spans="2:24" s="502" customFormat="1" ht="25.5" customHeight="1">
      <c r="B50" s="90" t="s">
        <v>385</v>
      </c>
      <c r="C50" s="54" t="s">
        <v>567</v>
      </c>
      <c r="D50" s="156">
        <v>4</v>
      </c>
      <c r="E50" s="156">
        <v>16</v>
      </c>
      <c r="F50" s="168">
        <v>250</v>
      </c>
      <c r="G50" s="801">
        <f t="shared" si="4"/>
        <v>2.0138888888888888</v>
      </c>
      <c r="H50" s="802">
        <f t="shared" si="5"/>
        <v>1450</v>
      </c>
      <c r="I50" s="528"/>
      <c r="J50" s="528"/>
      <c r="K50" s="528"/>
      <c r="L50" s="501" t="s">
        <v>405</v>
      </c>
      <c r="M50" s="796">
        <f t="shared" si="6"/>
        <v>0</v>
      </c>
      <c r="N50" s="796">
        <f t="shared" si="7"/>
        <v>0</v>
      </c>
      <c r="P50" s="530"/>
      <c r="U50" s="513"/>
      <c r="W50" s="513"/>
    </row>
    <row r="51" spans="2:24" s="502" customFormat="1" ht="25.5" customHeight="1">
      <c r="B51" s="84" t="s">
        <v>386</v>
      </c>
      <c r="C51" s="186" t="s">
        <v>567</v>
      </c>
      <c r="D51" s="152">
        <v>8</v>
      </c>
      <c r="E51" s="152">
        <v>32</v>
      </c>
      <c r="F51" s="552">
        <v>250</v>
      </c>
      <c r="G51" s="799">
        <f t="shared" si="4"/>
        <v>3.6805555555555554</v>
      </c>
      <c r="H51" s="800">
        <f t="shared" si="5"/>
        <v>2650</v>
      </c>
      <c r="I51" s="528"/>
      <c r="J51" s="528"/>
      <c r="K51" s="528"/>
      <c r="L51" s="526" t="s">
        <v>405</v>
      </c>
      <c r="M51" s="790">
        <f t="shared" si="6"/>
        <v>0</v>
      </c>
      <c r="N51" s="790">
        <f t="shared" si="7"/>
        <v>0</v>
      </c>
      <c r="P51" s="530"/>
      <c r="U51" s="513"/>
      <c r="W51" s="513"/>
    </row>
    <row r="52" spans="2:24" s="502" customFormat="1" ht="25.5" customHeight="1">
      <c r="B52" s="90" t="s">
        <v>387</v>
      </c>
      <c r="C52" s="54" t="s">
        <v>567</v>
      </c>
      <c r="D52" s="156">
        <v>8</v>
      </c>
      <c r="E52" s="156">
        <v>32</v>
      </c>
      <c r="F52" s="168">
        <v>500</v>
      </c>
      <c r="G52" s="801">
        <f t="shared" si="4"/>
        <v>4.0277777777777777</v>
      </c>
      <c r="H52" s="802">
        <f t="shared" si="5"/>
        <v>2900</v>
      </c>
      <c r="I52" s="528"/>
      <c r="J52" s="528"/>
      <c r="K52" s="528"/>
      <c r="L52" s="501" t="s">
        <v>405</v>
      </c>
      <c r="M52" s="796">
        <f t="shared" si="6"/>
        <v>0</v>
      </c>
      <c r="N52" s="796">
        <f t="shared" si="7"/>
        <v>0</v>
      </c>
      <c r="P52" s="530"/>
      <c r="U52" s="513"/>
      <c r="W52" s="513"/>
    </row>
    <row r="53" spans="2:24" s="502" customFormat="1" ht="25.5" customHeight="1">
      <c r="B53" s="84" t="s">
        <v>388</v>
      </c>
      <c r="C53" s="186" t="s">
        <v>567</v>
      </c>
      <c r="D53" s="152">
        <v>8</v>
      </c>
      <c r="E53" s="152">
        <v>32</v>
      </c>
      <c r="F53" s="552">
        <v>1000</v>
      </c>
      <c r="G53" s="799">
        <f t="shared" si="4"/>
        <v>4.7222222222222223</v>
      </c>
      <c r="H53" s="800">
        <f t="shared" si="5"/>
        <v>3400</v>
      </c>
      <c r="I53" s="528"/>
      <c r="J53" s="528"/>
      <c r="K53" s="528"/>
      <c r="L53" s="526" t="s">
        <v>405</v>
      </c>
      <c r="M53" s="790">
        <f t="shared" si="6"/>
        <v>0</v>
      </c>
      <c r="N53" s="790">
        <f t="shared" si="7"/>
        <v>0</v>
      </c>
      <c r="P53" s="530"/>
      <c r="U53" s="513"/>
      <c r="W53" s="513"/>
    </row>
    <row r="54" spans="2:24" s="502" customFormat="1" ht="25.5" customHeight="1">
      <c r="B54" s="90" t="s">
        <v>389</v>
      </c>
      <c r="C54" s="54" t="s">
        <v>567</v>
      </c>
      <c r="D54" s="156">
        <v>16</v>
      </c>
      <c r="E54" s="156">
        <v>65</v>
      </c>
      <c r="F54" s="168">
        <v>250</v>
      </c>
      <c r="G54" s="801">
        <f t="shared" si="4"/>
        <v>7.0902777777777777</v>
      </c>
      <c r="H54" s="802">
        <f t="shared" si="5"/>
        <v>5105</v>
      </c>
      <c r="I54" s="528"/>
      <c r="J54" s="528"/>
      <c r="K54" s="528"/>
      <c r="L54" s="501" t="s">
        <v>405</v>
      </c>
      <c r="M54" s="796">
        <f t="shared" si="6"/>
        <v>0</v>
      </c>
      <c r="N54" s="796">
        <f t="shared" si="7"/>
        <v>0</v>
      </c>
      <c r="P54" s="530"/>
      <c r="U54" s="513"/>
      <c r="W54" s="513"/>
    </row>
    <row r="55" spans="2:24" s="502" customFormat="1" ht="25.5" customHeight="1">
      <c r="B55" s="84" t="s">
        <v>390</v>
      </c>
      <c r="C55" s="186" t="s">
        <v>567</v>
      </c>
      <c r="D55" s="152">
        <v>16</v>
      </c>
      <c r="E55" s="152">
        <v>65</v>
      </c>
      <c r="F55" s="552">
        <v>500</v>
      </c>
      <c r="G55" s="799">
        <f t="shared" si="4"/>
        <v>7.4375</v>
      </c>
      <c r="H55" s="800">
        <f t="shared" si="5"/>
        <v>5355</v>
      </c>
      <c r="I55" s="528"/>
      <c r="J55" s="528"/>
      <c r="K55" s="528"/>
      <c r="L55" s="526" t="s">
        <v>405</v>
      </c>
      <c r="M55" s="790">
        <f t="shared" si="6"/>
        <v>0</v>
      </c>
      <c r="N55" s="790">
        <f t="shared" si="7"/>
        <v>0</v>
      </c>
      <c r="P55" s="530"/>
      <c r="U55" s="513"/>
      <c r="W55" s="513"/>
    </row>
    <row r="56" spans="2:24" s="502" customFormat="1" ht="25.5" customHeight="1">
      <c r="B56" s="90" t="s">
        <v>391</v>
      </c>
      <c r="C56" s="54" t="s">
        <v>567</v>
      </c>
      <c r="D56" s="156">
        <v>16</v>
      </c>
      <c r="E56" s="156">
        <v>65</v>
      </c>
      <c r="F56" s="168">
        <v>1000</v>
      </c>
      <c r="G56" s="801">
        <f t="shared" si="4"/>
        <v>8.1319444444444446</v>
      </c>
      <c r="H56" s="802">
        <f t="shared" si="5"/>
        <v>5855</v>
      </c>
      <c r="I56" s="528"/>
      <c r="J56" s="528"/>
      <c r="K56" s="528"/>
      <c r="L56" s="501" t="s">
        <v>405</v>
      </c>
      <c r="M56" s="796">
        <f t="shared" si="6"/>
        <v>0</v>
      </c>
      <c r="N56" s="796">
        <f t="shared" si="7"/>
        <v>0</v>
      </c>
      <c r="P56" s="530"/>
      <c r="U56" s="513"/>
      <c r="W56" s="513"/>
    </row>
    <row r="57" spans="2:24" s="502" customFormat="1" ht="25.5" customHeight="1">
      <c r="B57" s="84" t="s">
        <v>392</v>
      </c>
      <c r="C57" s="186" t="s">
        <v>567</v>
      </c>
      <c r="D57" s="152">
        <v>32</v>
      </c>
      <c r="E57" s="152">
        <v>131</v>
      </c>
      <c r="F57" s="552">
        <v>250</v>
      </c>
      <c r="G57" s="799">
        <f t="shared" si="4"/>
        <v>13.909722222222221</v>
      </c>
      <c r="H57" s="800">
        <f t="shared" si="5"/>
        <v>10015</v>
      </c>
      <c r="I57" s="528"/>
      <c r="J57" s="528"/>
      <c r="K57" s="528"/>
      <c r="L57" s="526" t="s">
        <v>405</v>
      </c>
      <c r="M57" s="790">
        <f t="shared" si="6"/>
        <v>0</v>
      </c>
      <c r="N57" s="790">
        <f t="shared" si="7"/>
        <v>0</v>
      </c>
      <c r="P57" s="530"/>
      <c r="U57" s="513"/>
      <c r="W57" s="513"/>
    </row>
    <row r="58" spans="2:24" s="502" customFormat="1" ht="25.5" customHeight="1">
      <c r="B58" s="90" t="s">
        <v>393</v>
      </c>
      <c r="C58" s="54" t="s">
        <v>567</v>
      </c>
      <c r="D58" s="156">
        <v>32</v>
      </c>
      <c r="E58" s="156">
        <v>131</v>
      </c>
      <c r="F58" s="168">
        <v>500</v>
      </c>
      <c r="G58" s="801">
        <f t="shared" si="4"/>
        <v>14.256944444444445</v>
      </c>
      <c r="H58" s="802">
        <f t="shared" si="5"/>
        <v>10265</v>
      </c>
      <c r="I58" s="528"/>
      <c r="J58" s="528"/>
      <c r="K58" s="528"/>
      <c r="L58" s="501" t="s">
        <v>405</v>
      </c>
      <c r="M58" s="796">
        <f t="shared" si="6"/>
        <v>0</v>
      </c>
      <c r="N58" s="796">
        <f t="shared" si="7"/>
        <v>0</v>
      </c>
      <c r="P58" s="530"/>
      <c r="U58" s="513"/>
      <c r="W58" s="513"/>
    </row>
    <row r="59" spans="2:24" s="502" customFormat="1" ht="25.5" customHeight="1">
      <c r="B59" s="84" t="s">
        <v>394</v>
      </c>
      <c r="C59" s="186" t="s">
        <v>567</v>
      </c>
      <c r="D59" s="152">
        <v>32</v>
      </c>
      <c r="E59" s="152">
        <v>131</v>
      </c>
      <c r="F59" s="552">
        <v>1000</v>
      </c>
      <c r="G59" s="799">
        <f t="shared" si="4"/>
        <v>14.951388888888889</v>
      </c>
      <c r="H59" s="800">
        <f t="shared" si="5"/>
        <v>10765</v>
      </c>
      <c r="I59" s="528"/>
      <c r="J59" s="528"/>
      <c r="K59" s="528"/>
      <c r="L59" s="526" t="s">
        <v>405</v>
      </c>
      <c r="M59" s="790">
        <f t="shared" si="6"/>
        <v>0</v>
      </c>
      <c r="N59" s="790">
        <f t="shared" si="7"/>
        <v>0</v>
      </c>
      <c r="P59" s="530"/>
      <c r="U59" s="513"/>
      <c r="W59" s="513"/>
    </row>
    <row r="60" spans="2:24" s="502" customFormat="1" ht="25.5" customHeight="1">
      <c r="B60" s="534" t="s">
        <v>62</v>
      </c>
      <c r="C60" s="841"/>
      <c r="D60" s="580"/>
      <c r="E60" s="580"/>
      <c r="F60" s="580"/>
      <c r="G60" s="582"/>
      <c r="H60" s="583"/>
      <c r="I60" s="557" t="str">
        <f>SUM(I41:I59)&amp;" st"</f>
        <v>0 st</v>
      </c>
      <c r="J60" s="557" t="str">
        <f>SUM(J41:J59)&amp;" st"</f>
        <v>0 st</v>
      </c>
      <c r="K60" s="557" t="str">
        <f>SUM(K41:K59)&amp;" st"</f>
        <v>0 st</v>
      </c>
      <c r="L60" s="559"/>
      <c r="M60" s="798">
        <f>SUM(M41:M59)</f>
        <v>0</v>
      </c>
      <c r="N60" s="807">
        <f>SUM(N41:N59)</f>
        <v>0</v>
      </c>
      <c r="P60" s="530"/>
      <c r="U60" s="513"/>
      <c r="W60" s="513"/>
    </row>
    <row r="61" spans="2:24" ht="25.5" customHeight="1">
      <c r="B61" s="112"/>
      <c r="C61" s="843"/>
      <c r="D61" s="113"/>
      <c r="E61" s="113"/>
      <c r="F61" s="561"/>
      <c r="G61" s="562"/>
      <c r="H61" s="563"/>
      <c r="I61" s="563"/>
      <c r="J61" s="563"/>
      <c r="K61" s="563"/>
      <c r="L61" s="561"/>
      <c r="M61" s="564"/>
      <c r="N61" s="564"/>
      <c r="P61" s="480"/>
      <c r="Q61" s="502"/>
      <c r="U61" s="513"/>
      <c r="V61" s="513"/>
      <c r="W61" s="537"/>
    </row>
    <row r="62" spans="2:24" ht="25.5" customHeight="1">
      <c r="B62" s="112"/>
      <c r="C62" s="843"/>
      <c r="D62" s="113"/>
      <c r="E62" s="113"/>
      <c r="F62" s="561"/>
      <c r="G62" s="562"/>
      <c r="H62" s="563"/>
      <c r="I62" s="563"/>
      <c r="J62" s="563"/>
      <c r="K62" s="563"/>
      <c r="L62" s="561"/>
      <c r="M62" s="564"/>
      <c r="N62" s="564"/>
      <c r="P62" s="480"/>
      <c r="Q62" s="502"/>
      <c r="U62" s="513"/>
      <c r="V62" s="513"/>
      <c r="W62" s="537"/>
    </row>
    <row r="63" spans="2:24" ht="25.5" customHeight="1">
      <c r="B63" s="566" t="s">
        <v>568</v>
      </c>
      <c r="C63" s="567"/>
      <c r="D63" s="567"/>
      <c r="E63" s="567"/>
      <c r="F63" s="567"/>
      <c r="G63" s="567"/>
      <c r="H63" s="568"/>
      <c r="I63" s="475"/>
      <c r="J63" s="475"/>
      <c r="L63" s="475"/>
      <c r="M63" s="569"/>
      <c r="N63" s="569"/>
      <c r="P63" s="480"/>
      <c r="U63" s="513"/>
      <c r="V63" s="513"/>
      <c r="W63" s="537"/>
    </row>
    <row r="64" spans="2:24" s="571" customFormat="1" ht="52">
      <c r="B64" s="78" t="s">
        <v>23</v>
      </c>
      <c r="C64" s="840" t="s">
        <v>563</v>
      </c>
      <c r="D64" s="149" t="s">
        <v>28</v>
      </c>
      <c r="E64" s="149" t="s">
        <v>12</v>
      </c>
      <c r="F64" s="148" t="s">
        <v>508</v>
      </c>
      <c r="G64" s="520" t="s">
        <v>31</v>
      </c>
      <c r="H64" s="520" t="s">
        <v>248</v>
      </c>
      <c r="I64" s="522" t="s">
        <v>33</v>
      </c>
      <c r="J64" s="522" t="s">
        <v>564</v>
      </c>
      <c r="K64" s="522" t="s">
        <v>565</v>
      </c>
      <c r="L64" s="519"/>
      <c r="M64" s="520" t="s">
        <v>34</v>
      </c>
      <c r="N64" s="520" t="s">
        <v>566</v>
      </c>
      <c r="O64" s="573"/>
      <c r="P64" s="574"/>
      <c r="Q64" s="573"/>
      <c r="R64" s="573"/>
      <c r="V64" s="575"/>
      <c r="W64" s="575"/>
      <c r="X64" s="576"/>
    </row>
    <row r="65" spans="2:24" s="571" customFormat="1" ht="25">
      <c r="B65" s="84" t="s">
        <v>569</v>
      </c>
      <c r="C65" s="186" t="s">
        <v>570</v>
      </c>
      <c r="D65" s="152">
        <v>1</v>
      </c>
      <c r="E65" s="152">
        <v>1</v>
      </c>
      <c r="F65" s="86">
        <v>10</v>
      </c>
      <c r="G65" s="803">
        <f t="shared" ref="G65:G85" si="8">H65/720</f>
        <v>0.1875</v>
      </c>
      <c r="H65" s="804">
        <f t="shared" ref="H65:H85" si="9">D65*IAAS_vcpu_SUNET+E65*IAAS_ram_SUNET+F65*IAAS_ssd_SUNET</f>
        <v>135</v>
      </c>
      <c r="I65" s="528"/>
      <c r="J65" s="528"/>
      <c r="K65" s="528"/>
      <c r="L65" s="526" t="s">
        <v>405</v>
      </c>
      <c r="M65" s="790">
        <f t="shared" ref="M65:M85" si="10">ROUNDUP(I65*H65,2)</f>
        <v>0</v>
      </c>
      <c r="N65" s="790">
        <f t="shared" ref="N65:N85" si="11">J65*D65*SW_win.ser.201X_SEK+K65*D65*SW_ms.sql.ser_SEK</f>
        <v>0</v>
      </c>
      <c r="O65" s="573"/>
      <c r="P65" s="574"/>
      <c r="Q65" s="573"/>
      <c r="R65" s="573"/>
      <c r="V65" s="575"/>
      <c r="W65" s="575"/>
      <c r="X65" s="576"/>
    </row>
    <row r="66" spans="2:24" s="571" customFormat="1" ht="25">
      <c r="B66" s="90" t="s">
        <v>571</v>
      </c>
      <c r="C66" s="54" t="s">
        <v>570</v>
      </c>
      <c r="D66" s="156">
        <v>1</v>
      </c>
      <c r="E66" s="156">
        <v>2</v>
      </c>
      <c r="F66" s="92">
        <v>20</v>
      </c>
      <c r="G66" s="805">
        <f t="shared" si="8"/>
        <v>0.2638888888888889</v>
      </c>
      <c r="H66" s="806">
        <f t="shared" si="9"/>
        <v>190</v>
      </c>
      <c r="I66" s="528"/>
      <c r="J66" s="528"/>
      <c r="K66" s="528"/>
      <c r="L66" s="501" t="s">
        <v>405</v>
      </c>
      <c r="M66" s="796">
        <f t="shared" si="10"/>
        <v>0</v>
      </c>
      <c r="N66" s="796">
        <f t="shared" si="11"/>
        <v>0</v>
      </c>
      <c r="O66" s="573"/>
      <c r="P66" s="574"/>
      <c r="Q66" s="573"/>
      <c r="R66" s="573"/>
      <c r="V66" s="575"/>
      <c r="W66" s="575"/>
      <c r="X66" s="576"/>
    </row>
    <row r="67" spans="2:24" s="571" customFormat="1" ht="25">
      <c r="B67" s="84" t="s">
        <v>572</v>
      </c>
      <c r="C67" s="186" t="s">
        <v>570</v>
      </c>
      <c r="D67" s="152">
        <v>2</v>
      </c>
      <c r="E67" s="152">
        <v>4</v>
      </c>
      <c r="F67" s="86">
        <v>250</v>
      </c>
      <c r="G67" s="803">
        <f t="shared" si="8"/>
        <v>0.52777777777777779</v>
      </c>
      <c r="H67" s="804">
        <f t="shared" si="9"/>
        <v>380</v>
      </c>
      <c r="I67" s="528"/>
      <c r="J67" s="528"/>
      <c r="K67" s="528"/>
      <c r="L67" s="526" t="s">
        <v>405</v>
      </c>
      <c r="M67" s="790">
        <f t="shared" si="10"/>
        <v>0</v>
      </c>
      <c r="N67" s="790">
        <f t="shared" si="11"/>
        <v>0</v>
      </c>
      <c r="O67" s="573"/>
      <c r="P67" s="574"/>
      <c r="Q67" s="573"/>
      <c r="R67" s="573"/>
      <c r="V67" s="575"/>
      <c r="W67" s="575"/>
      <c r="X67" s="576"/>
    </row>
    <row r="68" spans="2:24" s="571" customFormat="1" ht="25">
      <c r="B68" s="90" t="s">
        <v>573</v>
      </c>
      <c r="C68" s="54" t="s">
        <v>570</v>
      </c>
      <c r="D68" s="156">
        <v>4</v>
      </c>
      <c r="E68" s="156">
        <v>8</v>
      </c>
      <c r="F68" s="92">
        <v>250</v>
      </c>
      <c r="G68" s="805">
        <f t="shared" si="8"/>
        <v>1.0555555555555556</v>
      </c>
      <c r="H68" s="806">
        <f t="shared" si="9"/>
        <v>760</v>
      </c>
      <c r="I68" s="528"/>
      <c r="J68" s="528"/>
      <c r="K68" s="528"/>
      <c r="L68" s="501" t="s">
        <v>405</v>
      </c>
      <c r="M68" s="796">
        <f t="shared" si="10"/>
        <v>0</v>
      </c>
      <c r="N68" s="796">
        <f t="shared" si="11"/>
        <v>0</v>
      </c>
      <c r="O68" s="573"/>
      <c r="P68" s="574"/>
      <c r="Q68" s="573"/>
      <c r="R68" s="573"/>
      <c r="V68" s="575"/>
      <c r="W68" s="575"/>
      <c r="X68" s="576"/>
    </row>
    <row r="69" spans="2:24" s="571" customFormat="1" ht="25">
      <c r="B69" s="84" t="s">
        <v>574</v>
      </c>
      <c r="C69" s="186" t="s">
        <v>570</v>
      </c>
      <c r="D69" s="152">
        <v>8</v>
      </c>
      <c r="E69" s="152">
        <v>16</v>
      </c>
      <c r="F69" s="86">
        <v>250</v>
      </c>
      <c r="G69" s="803">
        <f t="shared" si="8"/>
        <v>2.1111111111111112</v>
      </c>
      <c r="H69" s="804">
        <f t="shared" si="9"/>
        <v>1520</v>
      </c>
      <c r="I69" s="528"/>
      <c r="J69" s="528"/>
      <c r="K69" s="528"/>
      <c r="L69" s="526" t="s">
        <v>405</v>
      </c>
      <c r="M69" s="790">
        <f t="shared" si="10"/>
        <v>0</v>
      </c>
      <c r="N69" s="790">
        <f t="shared" si="11"/>
        <v>0</v>
      </c>
      <c r="O69" s="573"/>
      <c r="P69" s="574"/>
      <c r="Q69" s="573"/>
      <c r="R69" s="573"/>
      <c r="V69" s="575"/>
      <c r="W69" s="575"/>
      <c r="X69" s="576"/>
    </row>
    <row r="70" spans="2:24" s="571" customFormat="1" ht="25">
      <c r="B70" s="90" t="s">
        <v>575</v>
      </c>
      <c r="C70" s="54" t="s">
        <v>570</v>
      </c>
      <c r="D70" s="156">
        <v>16</v>
      </c>
      <c r="E70" s="156">
        <v>32</v>
      </c>
      <c r="F70" s="92">
        <v>250</v>
      </c>
      <c r="G70" s="805">
        <f t="shared" si="8"/>
        <v>4.2222222222222223</v>
      </c>
      <c r="H70" s="806">
        <f t="shared" si="9"/>
        <v>3040</v>
      </c>
      <c r="I70" s="528"/>
      <c r="J70" s="528"/>
      <c r="K70" s="528"/>
      <c r="L70" s="501" t="s">
        <v>405</v>
      </c>
      <c r="M70" s="796">
        <f t="shared" si="10"/>
        <v>0</v>
      </c>
      <c r="N70" s="796">
        <f t="shared" si="11"/>
        <v>0</v>
      </c>
      <c r="O70" s="573"/>
      <c r="P70" s="574"/>
      <c r="Q70" s="573"/>
      <c r="R70" s="573"/>
      <c r="V70" s="575"/>
      <c r="W70" s="575"/>
      <c r="X70" s="576"/>
    </row>
    <row r="71" spans="2:24" s="571" customFormat="1" ht="25">
      <c r="B71" s="84" t="s">
        <v>576</v>
      </c>
      <c r="C71" s="186" t="s">
        <v>570</v>
      </c>
      <c r="D71" s="152">
        <v>16</v>
      </c>
      <c r="E71" s="152">
        <v>32</v>
      </c>
      <c r="F71" s="86">
        <v>500</v>
      </c>
      <c r="G71" s="803">
        <f t="shared" si="8"/>
        <v>4.2222222222222223</v>
      </c>
      <c r="H71" s="804">
        <f t="shared" si="9"/>
        <v>3040</v>
      </c>
      <c r="I71" s="528"/>
      <c r="J71" s="528"/>
      <c r="K71" s="528"/>
      <c r="L71" s="526" t="s">
        <v>405</v>
      </c>
      <c r="M71" s="790">
        <f t="shared" si="10"/>
        <v>0</v>
      </c>
      <c r="N71" s="790">
        <f t="shared" si="11"/>
        <v>0</v>
      </c>
      <c r="O71" s="573"/>
      <c r="P71" s="574"/>
      <c r="Q71" s="573"/>
      <c r="R71" s="573"/>
      <c r="V71" s="575"/>
      <c r="W71" s="575"/>
      <c r="X71" s="576"/>
    </row>
    <row r="72" spans="2:24" s="571" customFormat="1" ht="25">
      <c r="B72" s="90" t="s">
        <v>577</v>
      </c>
      <c r="C72" s="54" t="s">
        <v>570</v>
      </c>
      <c r="D72" s="156">
        <v>16</v>
      </c>
      <c r="E72" s="156">
        <v>32</v>
      </c>
      <c r="F72" s="92">
        <v>1000</v>
      </c>
      <c r="G72" s="805">
        <f t="shared" si="8"/>
        <v>4.2222222222222223</v>
      </c>
      <c r="H72" s="806">
        <f t="shared" si="9"/>
        <v>3040</v>
      </c>
      <c r="I72" s="528"/>
      <c r="J72" s="528"/>
      <c r="K72" s="528"/>
      <c r="L72" s="501" t="s">
        <v>405</v>
      </c>
      <c r="M72" s="796">
        <f t="shared" si="10"/>
        <v>0</v>
      </c>
      <c r="N72" s="796">
        <f t="shared" si="11"/>
        <v>0</v>
      </c>
      <c r="O72" s="573"/>
      <c r="P72" s="574"/>
      <c r="Q72" s="573"/>
      <c r="R72" s="573"/>
      <c r="V72" s="575"/>
      <c r="W72" s="575"/>
      <c r="X72" s="576"/>
    </row>
    <row r="73" spans="2:24" s="571" customFormat="1" ht="25">
      <c r="B73" s="84" t="s">
        <v>578</v>
      </c>
      <c r="C73" s="186" t="s">
        <v>570</v>
      </c>
      <c r="D73" s="152">
        <v>32</v>
      </c>
      <c r="E73" s="152">
        <v>65</v>
      </c>
      <c r="F73" s="86">
        <v>250</v>
      </c>
      <c r="G73" s="803">
        <f t="shared" si="8"/>
        <v>8.5208333333333339</v>
      </c>
      <c r="H73" s="804">
        <f t="shared" si="9"/>
        <v>6135</v>
      </c>
      <c r="I73" s="528"/>
      <c r="J73" s="528"/>
      <c r="K73" s="528"/>
      <c r="L73" s="526" t="s">
        <v>405</v>
      </c>
      <c r="M73" s="790">
        <f t="shared" si="10"/>
        <v>0</v>
      </c>
      <c r="N73" s="790">
        <f t="shared" si="11"/>
        <v>0</v>
      </c>
      <c r="O73" s="573"/>
      <c r="P73" s="574"/>
      <c r="Q73" s="573"/>
      <c r="R73" s="573"/>
      <c r="V73" s="575"/>
      <c r="W73" s="575"/>
      <c r="X73" s="576"/>
    </row>
    <row r="74" spans="2:24" s="571" customFormat="1" ht="25">
      <c r="B74" s="90" t="s">
        <v>579</v>
      </c>
      <c r="C74" s="54" t="s">
        <v>570</v>
      </c>
      <c r="D74" s="156">
        <v>32</v>
      </c>
      <c r="E74" s="156">
        <v>65</v>
      </c>
      <c r="F74" s="92">
        <v>500</v>
      </c>
      <c r="G74" s="805">
        <f t="shared" si="8"/>
        <v>8.5208333333333339</v>
      </c>
      <c r="H74" s="806">
        <f t="shared" si="9"/>
        <v>6135</v>
      </c>
      <c r="I74" s="528"/>
      <c r="J74" s="528"/>
      <c r="K74" s="528"/>
      <c r="L74" s="501" t="s">
        <v>405</v>
      </c>
      <c r="M74" s="796">
        <f t="shared" si="10"/>
        <v>0</v>
      </c>
      <c r="N74" s="796">
        <f t="shared" si="11"/>
        <v>0</v>
      </c>
      <c r="O74" s="573"/>
      <c r="P74" s="574"/>
      <c r="Q74" s="573"/>
      <c r="R74" s="573"/>
      <c r="V74" s="575"/>
      <c r="W74" s="575"/>
      <c r="X74" s="576"/>
    </row>
    <row r="75" spans="2:24" s="571" customFormat="1" ht="25">
      <c r="B75" s="84" t="s">
        <v>580</v>
      </c>
      <c r="C75" s="186" t="s">
        <v>570</v>
      </c>
      <c r="D75" s="152">
        <v>32</v>
      </c>
      <c r="E75" s="152">
        <v>65</v>
      </c>
      <c r="F75" s="86">
        <v>1000</v>
      </c>
      <c r="G75" s="803">
        <f t="shared" si="8"/>
        <v>8.5208333333333339</v>
      </c>
      <c r="H75" s="804">
        <f t="shared" si="9"/>
        <v>6135</v>
      </c>
      <c r="I75" s="528"/>
      <c r="J75" s="528"/>
      <c r="K75" s="528"/>
      <c r="L75" s="526" t="s">
        <v>405</v>
      </c>
      <c r="M75" s="790">
        <f t="shared" si="10"/>
        <v>0</v>
      </c>
      <c r="N75" s="790">
        <f t="shared" si="11"/>
        <v>0</v>
      </c>
      <c r="O75" s="573"/>
      <c r="P75" s="574"/>
      <c r="Q75" s="573"/>
      <c r="R75" s="573"/>
      <c r="V75" s="575"/>
      <c r="W75" s="575"/>
      <c r="X75" s="576"/>
    </row>
    <row r="76" spans="2:24" s="571" customFormat="1" ht="25">
      <c r="B76" s="90" t="s">
        <v>581</v>
      </c>
      <c r="C76" s="54" t="s">
        <v>570</v>
      </c>
      <c r="D76" s="156">
        <v>1</v>
      </c>
      <c r="E76" s="156">
        <v>4</v>
      </c>
      <c r="F76" s="92">
        <v>20</v>
      </c>
      <c r="G76" s="805">
        <f t="shared" si="8"/>
        <v>0.41666666666666669</v>
      </c>
      <c r="H76" s="806">
        <f t="shared" si="9"/>
        <v>300</v>
      </c>
      <c r="I76" s="528"/>
      <c r="J76" s="528"/>
      <c r="K76" s="528"/>
      <c r="L76" s="501" t="s">
        <v>405</v>
      </c>
      <c r="M76" s="796">
        <f t="shared" si="10"/>
        <v>0</v>
      </c>
      <c r="N76" s="796">
        <f t="shared" si="11"/>
        <v>0</v>
      </c>
      <c r="O76" s="573"/>
      <c r="P76" s="574"/>
      <c r="Q76" s="573"/>
      <c r="R76" s="573"/>
      <c r="V76" s="575"/>
      <c r="W76" s="575"/>
      <c r="X76" s="576"/>
    </row>
    <row r="77" spans="2:24" s="571" customFormat="1" ht="25">
      <c r="B77" s="84" t="s">
        <v>582</v>
      </c>
      <c r="C77" s="186" t="s">
        <v>570</v>
      </c>
      <c r="D77" s="152">
        <v>2</v>
      </c>
      <c r="E77" s="152">
        <v>8</v>
      </c>
      <c r="F77" s="86">
        <v>250</v>
      </c>
      <c r="G77" s="803">
        <f t="shared" si="8"/>
        <v>0.83333333333333337</v>
      </c>
      <c r="H77" s="804">
        <f t="shared" si="9"/>
        <v>600</v>
      </c>
      <c r="I77" s="528"/>
      <c r="J77" s="528"/>
      <c r="K77" s="528"/>
      <c r="L77" s="526" t="s">
        <v>405</v>
      </c>
      <c r="M77" s="790">
        <f t="shared" si="10"/>
        <v>0</v>
      </c>
      <c r="N77" s="790">
        <f t="shared" si="11"/>
        <v>0</v>
      </c>
      <c r="O77" s="573"/>
      <c r="P77" s="574"/>
      <c r="Q77" s="573"/>
      <c r="R77" s="573"/>
      <c r="V77" s="575"/>
      <c r="W77" s="575"/>
      <c r="X77" s="576"/>
    </row>
    <row r="78" spans="2:24" s="571" customFormat="1" ht="25">
      <c r="B78" s="90" t="s">
        <v>583</v>
      </c>
      <c r="C78" s="54" t="s">
        <v>570</v>
      </c>
      <c r="D78" s="156">
        <v>4</v>
      </c>
      <c r="E78" s="156">
        <v>16</v>
      </c>
      <c r="F78" s="92">
        <v>250</v>
      </c>
      <c r="G78" s="805">
        <f t="shared" si="8"/>
        <v>1.6666666666666667</v>
      </c>
      <c r="H78" s="806">
        <f t="shared" si="9"/>
        <v>1200</v>
      </c>
      <c r="I78" s="528"/>
      <c r="J78" s="528"/>
      <c r="K78" s="528"/>
      <c r="L78" s="501" t="s">
        <v>405</v>
      </c>
      <c r="M78" s="796">
        <f t="shared" si="10"/>
        <v>0</v>
      </c>
      <c r="N78" s="796">
        <f t="shared" si="11"/>
        <v>0</v>
      </c>
      <c r="O78" s="573"/>
      <c r="P78" s="574"/>
      <c r="Q78" s="573"/>
      <c r="R78" s="573"/>
      <c r="V78" s="575"/>
      <c r="W78" s="575"/>
      <c r="X78" s="576"/>
    </row>
    <row r="79" spans="2:24" s="571" customFormat="1" ht="25">
      <c r="B79" s="84" t="s">
        <v>584</v>
      </c>
      <c r="C79" s="186" t="s">
        <v>570</v>
      </c>
      <c r="D79" s="152">
        <v>8</v>
      </c>
      <c r="E79" s="152">
        <v>32</v>
      </c>
      <c r="F79" s="86">
        <v>250</v>
      </c>
      <c r="G79" s="803">
        <f t="shared" si="8"/>
        <v>3.3333333333333335</v>
      </c>
      <c r="H79" s="804">
        <f t="shared" si="9"/>
        <v>2400</v>
      </c>
      <c r="I79" s="528"/>
      <c r="J79" s="528"/>
      <c r="K79" s="528"/>
      <c r="L79" s="526" t="s">
        <v>405</v>
      </c>
      <c r="M79" s="790">
        <f t="shared" si="10"/>
        <v>0</v>
      </c>
      <c r="N79" s="790">
        <f t="shared" si="11"/>
        <v>0</v>
      </c>
      <c r="O79" s="573"/>
      <c r="P79" s="574"/>
      <c r="Q79" s="573"/>
      <c r="R79" s="573"/>
      <c r="V79" s="575"/>
      <c r="W79" s="575"/>
      <c r="X79" s="576"/>
    </row>
    <row r="80" spans="2:24" s="571" customFormat="1" ht="25">
      <c r="B80" s="90" t="s">
        <v>585</v>
      </c>
      <c r="C80" s="54" t="s">
        <v>570</v>
      </c>
      <c r="D80" s="156">
        <v>16</v>
      </c>
      <c r="E80" s="156">
        <v>65</v>
      </c>
      <c r="F80" s="92">
        <v>250</v>
      </c>
      <c r="G80" s="805">
        <f t="shared" si="8"/>
        <v>6.7430555555555554</v>
      </c>
      <c r="H80" s="806">
        <f t="shared" si="9"/>
        <v>4855</v>
      </c>
      <c r="I80" s="528"/>
      <c r="J80" s="528"/>
      <c r="K80" s="528"/>
      <c r="L80" s="501" t="s">
        <v>405</v>
      </c>
      <c r="M80" s="796">
        <f t="shared" si="10"/>
        <v>0</v>
      </c>
      <c r="N80" s="796">
        <f t="shared" si="11"/>
        <v>0</v>
      </c>
      <c r="O80" s="573"/>
      <c r="P80" s="574"/>
      <c r="Q80" s="573"/>
      <c r="R80" s="573"/>
      <c r="V80" s="575"/>
      <c r="W80" s="575"/>
      <c r="X80" s="576"/>
    </row>
    <row r="81" spans="2:24" s="571" customFormat="1" ht="25">
      <c r="B81" s="84" t="s">
        <v>586</v>
      </c>
      <c r="C81" s="186" t="s">
        <v>570</v>
      </c>
      <c r="D81" s="152">
        <v>16</v>
      </c>
      <c r="E81" s="152">
        <v>65</v>
      </c>
      <c r="F81" s="86">
        <v>500</v>
      </c>
      <c r="G81" s="803">
        <f t="shared" si="8"/>
        <v>6.7430555555555554</v>
      </c>
      <c r="H81" s="804">
        <f t="shared" si="9"/>
        <v>4855</v>
      </c>
      <c r="I81" s="528"/>
      <c r="J81" s="528"/>
      <c r="K81" s="528"/>
      <c r="L81" s="526" t="s">
        <v>405</v>
      </c>
      <c r="M81" s="790">
        <f t="shared" si="10"/>
        <v>0</v>
      </c>
      <c r="N81" s="790">
        <f t="shared" si="11"/>
        <v>0</v>
      </c>
      <c r="O81" s="573"/>
      <c r="P81" s="574"/>
      <c r="Q81" s="573"/>
      <c r="R81" s="573"/>
      <c r="V81" s="575"/>
      <c r="W81" s="575"/>
      <c r="X81" s="576"/>
    </row>
    <row r="82" spans="2:24" s="571" customFormat="1" ht="25">
      <c r="B82" s="90" t="s">
        <v>587</v>
      </c>
      <c r="C82" s="54" t="s">
        <v>570</v>
      </c>
      <c r="D82" s="156">
        <v>16</v>
      </c>
      <c r="E82" s="156">
        <v>65</v>
      </c>
      <c r="F82" s="92">
        <v>1000</v>
      </c>
      <c r="G82" s="805">
        <f t="shared" si="8"/>
        <v>6.7430555555555554</v>
      </c>
      <c r="H82" s="806">
        <f t="shared" si="9"/>
        <v>4855</v>
      </c>
      <c r="I82" s="528"/>
      <c r="J82" s="528"/>
      <c r="K82" s="528"/>
      <c r="L82" s="501" t="s">
        <v>405</v>
      </c>
      <c r="M82" s="796">
        <f t="shared" si="10"/>
        <v>0</v>
      </c>
      <c r="N82" s="796">
        <f t="shared" si="11"/>
        <v>0</v>
      </c>
      <c r="O82" s="573"/>
      <c r="P82" s="574"/>
      <c r="Q82" s="573"/>
      <c r="R82" s="573"/>
      <c r="V82" s="575"/>
      <c r="W82" s="575"/>
      <c r="X82" s="576"/>
    </row>
    <row r="83" spans="2:24" s="571" customFormat="1" ht="25">
      <c r="B83" s="84" t="s">
        <v>588</v>
      </c>
      <c r="C83" s="186" t="s">
        <v>570</v>
      </c>
      <c r="D83" s="152">
        <v>32</v>
      </c>
      <c r="E83" s="152">
        <v>131</v>
      </c>
      <c r="F83" s="86">
        <v>250</v>
      </c>
      <c r="G83" s="803">
        <f t="shared" si="8"/>
        <v>13.5625</v>
      </c>
      <c r="H83" s="804">
        <f t="shared" si="9"/>
        <v>9765</v>
      </c>
      <c r="I83" s="528"/>
      <c r="J83" s="528"/>
      <c r="K83" s="528"/>
      <c r="L83" s="526" t="s">
        <v>405</v>
      </c>
      <c r="M83" s="790">
        <f t="shared" si="10"/>
        <v>0</v>
      </c>
      <c r="N83" s="790">
        <f t="shared" si="11"/>
        <v>0</v>
      </c>
      <c r="O83" s="573"/>
      <c r="P83" s="574"/>
      <c r="Q83" s="573"/>
      <c r="R83" s="573"/>
      <c r="V83" s="575"/>
      <c r="W83" s="575"/>
      <c r="X83" s="576"/>
    </row>
    <row r="84" spans="2:24" s="571" customFormat="1" ht="25">
      <c r="B84" s="90" t="s">
        <v>589</v>
      </c>
      <c r="C84" s="54" t="s">
        <v>570</v>
      </c>
      <c r="D84" s="156">
        <v>32</v>
      </c>
      <c r="E84" s="156">
        <v>131</v>
      </c>
      <c r="F84" s="92">
        <v>500</v>
      </c>
      <c r="G84" s="805">
        <f t="shared" si="8"/>
        <v>13.5625</v>
      </c>
      <c r="H84" s="806">
        <f t="shared" si="9"/>
        <v>9765</v>
      </c>
      <c r="I84" s="528"/>
      <c r="J84" s="528"/>
      <c r="K84" s="528"/>
      <c r="L84" s="501" t="s">
        <v>405</v>
      </c>
      <c r="M84" s="796">
        <f t="shared" si="10"/>
        <v>0</v>
      </c>
      <c r="N84" s="796">
        <f t="shared" si="11"/>
        <v>0</v>
      </c>
      <c r="O84" s="573"/>
      <c r="P84" s="574"/>
      <c r="Q84" s="573"/>
      <c r="R84" s="573"/>
      <c r="V84" s="575"/>
      <c r="W84" s="575"/>
      <c r="X84" s="576"/>
    </row>
    <row r="85" spans="2:24" s="571" customFormat="1" ht="25">
      <c r="B85" s="84" t="s">
        <v>590</v>
      </c>
      <c r="C85" s="186" t="s">
        <v>570</v>
      </c>
      <c r="D85" s="152">
        <v>32</v>
      </c>
      <c r="E85" s="152">
        <v>131</v>
      </c>
      <c r="F85" s="86">
        <v>1000</v>
      </c>
      <c r="G85" s="803">
        <f t="shared" si="8"/>
        <v>13.5625</v>
      </c>
      <c r="H85" s="804">
        <f t="shared" si="9"/>
        <v>9765</v>
      </c>
      <c r="I85" s="528"/>
      <c r="J85" s="528"/>
      <c r="K85" s="528"/>
      <c r="L85" s="526" t="s">
        <v>405</v>
      </c>
      <c r="M85" s="790">
        <f t="shared" si="10"/>
        <v>0</v>
      </c>
      <c r="N85" s="790">
        <f t="shared" si="11"/>
        <v>0</v>
      </c>
      <c r="O85" s="573"/>
      <c r="P85" s="574"/>
      <c r="Q85" s="573"/>
      <c r="R85" s="573"/>
      <c r="V85" s="575"/>
      <c r="W85" s="575"/>
      <c r="X85" s="576"/>
    </row>
    <row r="86" spans="2:24" s="579" customFormat="1" ht="25.5" customHeight="1">
      <c r="B86" s="534" t="s">
        <v>591</v>
      </c>
      <c r="C86" s="841"/>
      <c r="D86" s="580"/>
      <c r="E86" s="580"/>
      <c r="F86" s="581"/>
      <c r="G86" s="582"/>
      <c r="H86" s="583"/>
      <c r="I86" s="557" t="str">
        <f>SUM(I65:I85)&amp;" st"</f>
        <v>0 st</v>
      </c>
      <c r="J86" s="557" t="str">
        <f>SUM(J65:J85)&amp;" st"</f>
        <v>0 st</v>
      </c>
      <c r="K86" s="557" t="str">
        <f>SUM(K65:K85)&amp;" st"</f>
        <v>0 st</v>
      </c>
      <c r="L86" s="559"/>
      <c r="M86" s="798">
        <f>SUM(M65:M85)</f>
        <v>0</v>
      </c>
      <c r="N86" s="798">
        <f>SUM(N65:N85)</f>
        <v>0</v>
      </c>
      <c r="O86" s="585"/>
      <c r="P86" s="586"/>
      <c r="Q86" s="587"/>
      <c r="R86" s="587"/>
      <c r="S86" s="587"/>
      <c r="T86" s="587"/>
      <c r="U86" s="588"/>
      <c r="V86" s="587"/>
      <c r="W86" s="589"/>
    </row>
    <row r="87" spans="2:24" s="502" customFormat="1" ht="25.5" customHeight="1">
      <c r="B87" s="103"/>
      <c r="C87" s="844"/>
      <c r="D87" s="160"/>
      <c r="E87" s="143"/>
      <c r="F87" s="590"/>
      <c r="G87" s="590"/>
      <c r="H87" s="514"/>
      <c r="I87" s="514"/>
      <c r="J87" s="514"/>
      <c r="K87" s="811"/>
      <c r="L87" s="514"/>
      <c r="M87" s="591"/>
      <c r="N87" s="591"/>
      <c r="P87" s="530"/>
      <c r="U87" s="513"/>
      <c r="W87" s="513"/>
    </row>
    <row r="88" spans="2:24" s="502" customFormat="1" ht="25.5" customHeight="1">
      <c r="B88" s="103"/>
      <c r="C88" s="844"/>
      <c r="D88" s="160"/>
      <c r="E88" s="143"/>
      <c r="F88" s="590"/>
      <c r="G88" s="590"/>
      <c r="H88" s="514"/>
      <c r="I88" s="514"/>
      <c r="J88" s="514"/>
      <c r="K88" s="811"/>
      <c r="L88" s="514"/>
      <c r="M88" s="591"/>
      <c r="N88" s="591"/>
      <c r="P88" s="530"/>
      <c r="U88" s="513"/>
      <c r="W88" s="513"/>
    </row>
    <row r="89" spans="2:24" s="543" customFormat="1" ht="31">
      <c r="B89" s="221" t="s">
        <v>403</v>
      </c>
      <c r="C89" s="163"/>
      <c r="D89" s="163"/>
      <c r="E89" s="163"/>
      <c r="F89" s="593"/>
      <c r="G89" s="593"/>
      <c r="H89" s="514"/>
      <c r="I89" s="514"/>
      <c r="J89" s="514"/>
      <c r="K89" s="811"/>
      <c r="L89" s="514"/>
      <c r="M89" s="591"/>
      <c r="N89" s="591"/>
      <c r="P89" s="548"/>
      <c r="Q89" s="514"/>
      <c r="R89" s="514"/>
      <c r="S89" s="514"/>
      <c r="T89" s="514"/>
      <c r="U89" s="549"/>
      <c r="V89" s="514"/>
      <c r="W89" s="550"/>
    </row>
    <row r="90" spans="2:24" s="571" customFormat="1" ht="47">
      <c r="B90" s="78" t="s">
        <v>23</v>
      </c>
      <c r="C90" s="149" t="s">
        <v>28</v>
      </c>
      <c r="D90" s="149" t="s">
        <v>12</v>
      </c>
      <c r="E90" s="149" t="s">
        <v>29</v>
      </c>
      <c r="F90" s="808"/>
      <c r="G90" s="520" t="s">
        <v>31</v>
      </c>
      <c r="H90" s="520" t="s">
        <v>248</v>
      </c>
      <c r="I90" s="845" t="s">
        <v>33</v>
      </c>
      <c r="J90" s="845" t="s">
        <v>564</v>
      </c>
      <c r="K90" s="845" t="s">
        <v>565</v>
      </c>
      <c r="L90" s="519"/>
      <c r="M90" s="520" t="s">
        <v>34</v>
      </c>
      <c r="N90" s="520" t="s">
        <v>566</v>
      </c>
      <c r="O90" s="573"/>
      <c r="P90" s="574"/>
      <c r="Q90" s="573"/>
      <c r="R90" s="573"/>
      <c r="V90" s="575"/>
      <c r="W90" s="575"/>
      <c r="X90" s="576"/>
    </row>
    <row r="91" spans="2:24" s="502" customFormat="1" ht="25.5" customHeight="1">
      <c r="B91" s="594" t="s">
        <v>404</v>
      </c>
      <c r="C91" s="164">
        <v>16</v>
      </c>
      <c r="D91" s="164">
        <v>128</v>
      </c>
      <c r="E91" s="846">
        <v>3800</v>
      </c>
      <c r="F91" s="595"/>
      <c r="G91" s="799">
        <f>H91/720</f>
        <v>9.5</v>
      </c>
      <c r="H91" s="800">
        <f>INSTANCE_p1.2xlarge.16d_SEK</f>
        <v>6840</v>
      </c>
      <c r="I91" s="528">
        <v>0</v>
      </c>
      <c r="J91" s="528">
        <v>0</v>
      </c>
      <c r="K91" s="528">
        <v>0</v>
      </c>
      <c r="L91" s="526" t="s">
        <v>405</v>
      </c>
      <c r="M91" s="790">
        <f>ROUNDUP(I91*H91,2)</f>
        <v>0</v>
      </c>
      <c r="N91" s="790">
        <f>J91*C91*SW_win.ser.201X_SEK+K91*C91*SW_ms.sql.ser_SEK</f>
        <v>0</v>
      </c>
      <c r="O91" s="514"/>
      <c r="P91" s="530"/>
    </row>
    <row r="92" spans="2:24" s="502" customFormat="1" ht="25.5" customHeight="1">
      <c r="B92" s="596" t="s">
        <v>406</v>
      </c>
      <c r="C92" s="167">
        <v>32</v>
      </c>
      <c r="D92" s="167">
        <v>256</v>
      </c>
      <c r="E92" s="92">
        <v>3800</v>
      </c>
      <c r="F92" s="597"/>
      <c r="G92" s="801">
        <f>H92/720</f>
        <v>19</v>
      </c>
      <c r="H92" s="802">
        <f>INSTANCE_p1.4xlarge.16d_SEK</f>
        <v>13680</v>
      </c>
      <c r="I92" s="528">
        <v>0</v>
      </c>
      <c r="J92" s="528">
        <v>0</v>
      </c>
      <c r="K92" s="528">
        <v>0</v>
      </c>
      <c r="L92" s="501" t="str">
        <f>L91</f>
        <v>Instanser</v>
      </c>
      <c r="M92" s="796">
        <f>ROUNDUP(I92*H92,2)</f>
        <v>0</v>
      </c>
      <c r="N92" s="796">
        <f>J92*C92*SW_win.ser.201X_SEK+K92*C92*SW_ms.sql.ser_SEK</f>
        <v>0</v>
      </c>
      <c r="O92" s="514"/>
      <c r="P92" s="530"/>
      <c r="X92" s="513"/>
    </row>
    <row r="93" spans="2:24" s="587" customFormat="1" ht="25.5" customHeight="1">
      <c r="B93" s="224" t="s">
        <v>407</v>
      </c>
      <c r="C93" s="172">
        <v>64</v>
      </c>
      <c r="D93" s="172">
        <v>512</v>
      </c>
      <c r="E93" s="847">
        <v>7600</v>
      </c>
      <c r="F93" s="598"/>
      <c r="G93" s="809">
        <f>H93/720</f>
        <v>38</v>
      </c>
      <c r="H93" s="810">
        <f>INSTANCE_p1.8xlarge.32d_SEK</f>
        <v>27360</v>
      </c>
      <c r="I93" s="528">
        <v>0</v>
      </c>
      <c r="J93" s="528">
        <v>0</v>
      </c>
      <c r="K93" s="528">
        <v>0</v>
      </c>
      <c r="L93" s="526" t="s">
        <v>405</v>
      </c>
      <c r="M93" s="790">
        <f>ROUNDUP(I93*H93,2)</f>
        <v>0</v>
      </c>
      <c r="N93" s="790">
        <f>J93*C93*SW_win.ser.201X_SEK+K93*C93*SW_ms.sql.ser_SEK</f>
        <v>0</v>
      </c>
      <c r="O93" s="601"/>
      <c r="P93" s="602"/>
    </row>
    <row r="94" spans="2:24" ht="25.5" customHeight="1">
      <c r="B94" s="103" t="s">
        <v>62</v>
      </c>
      <c r="C94" s="842"/>
      <c r="D94" s="143"/>
      <c r="E94" s="143"/>
      <c r="F94" s="587"/>
      <c r="G94" s="587"/>
      <c r="H94" s="587"/>
      <c r="I94" s="557" t="str">
        <f>SUM(I91:I93)&amp;" st"</f>
        <v>0 st</v>
      </c>
      <c r="J94" s="557" t="str">
        <f>SUM(J91:J93)&amp;" st"</f>
        <v>0 st</v>
      </c>
      <c r="K94" s="557" t="str">
        <f>SUM(K91:K93)&amp;" st"</f>
        <v>0 st</v>
      </c>
      <c r="L94" s="559"/>
      <c r="M94" s="798">
        <f>SUM(M91:M93)</f>
        <v>0</v>
      </c>
      <c r="N94" s="807">
        <f>SUM(N91:N93)</f>
        <v>0</v>
      </c>
      <c r="P94" s="480"/>
    </row>
    <row r="95" spans="2:24" ht="25.5" customHeight="1">
      <c r="B95" s="175"/>
      <c r="C95" s="848"/>
      <c r="D95" s="176"/>
      <c r="E95" s="176"/>
      <c r="F95" s="603"/>
      <c r="G95" s="603"/>
      <c r="H95" s="587"/>
      <c r="I95" s="604"/>
      <c r="J95" s="604"/>
      <c r="K95" s="604"/>
      <c r="L95" s="542"/>
      <c r="M95" s="541"/>
      <c r="N95" s="585"/>
      <c r="P95" s="480"/>
    </row>
    <row r="96" spans="2:24" s="502" customFormat="1" ht="25.5" customHeight="1">
      <c r="B96" s="177"/>
      <c r="C96" s="844"/>
      <c r="D96" s="160"/>
      <c r="E96" s="160"/>
      <c r="F96" s="590"/>
      <c r="G96" s="590"/>
      <c r="H96" s="514"/>
      <c r="I96" s="514"/>
      <c r="J96" s="514"/>
      <c r="K96" s="811"/>
      <c r="L96" s="514"/>
      <c r="M96" s="591"/>
      <c r="N96" s="591"/>
      <c r="P96" s="530"/>
      <c r="U96" s="513"/>
      <c r="W96" s="513"/>
    </row>
    <row r="97" spans="2:25" ht="25.5" customHeight="1">
      <c r="B97" s="221" t="s">
        <v>592</v>
      </c>
      <c r="C97" s="163"/>
      <c r="D97" s="163"/>
      <c r="E97" s="163"/>
      <c r="F97" s="593"/>
      <c r="G97" s="593"/>
      <c r="H97" s="514"/>
      <c r="I97" s="514"/>
      <c r="J97" s="514"/>
      <c r="K97" s="811"/>
      <c r="L97" s="514"/>
      <c r="M97" s="591"/>
      <c r="N97" s="591"/>
      <c r="P97" s="480"/>
      <c r="Q97" s="502"/>
      <c r="R97" s="502"/>
      <c r="S97" s="502"/>
      <c r="T97" s="502"/>
      <c r="U97" s="513"/>
      <c r="V97" s="502"/>
      <c r="W97" s="537"/>
    </row>
    <row r="98" spans="2:25" s="606" customFormat="1" ht="35.25" customHeight="1">
      <c r="B98" s="78" t="s">
        <v>23</v>
      </c>
      <c r="C98" s="179" t="s">
        <v>227</v>
      </c>
      <c r="D98" s="179"/>
      <c r="E98" s="6" t="s">
        <v>31</v>
      </c>
      <c r="F98" s="1008" t="s">
        <v>593</v>
      </c>
      <c r="G98" s="1008"/>
      <c r="H98" s="1023"/>
      <c r="I98" s="1023"/>
      <c r="J98" s="609" t="s">
        <v>228</v>
      </c>
      <c r="K98" s="608"/>
      <c r="L98" s="608"/>
      <c r="M98" s="608"/>
      <c r="N98" s="607"/>
      <c r="O98" s="525"/>
      <c r="P98" s="611"/>
      <c r="R98" s="525"/>
      <c r="S98" s="525"/>
      <c r="W98" s="612"/>
      <c r="X98" s="612"/>
      <c r="Y98" s="613"/>
    </row>
    <row r="99" spans="2:25" s="502" customFormat="1" ht="25.5" customHeight="1">
      <c r="B99" s="594" t="s">
        <v>410</v>
      </c>
      <c r="C99" s="186" t="s">
        <v>43</v>
      </c>
      <c r="D99" s="187"/>
      <c r="E99" s="210">
        <f>F99/720</f>
        <v>1.6666666666666666E-3</v>
      </c>
      <c r="F99" s="1067">
        <f>VOLUME_large_SEK</f>
        <v>1.2</v>
      </c>
      <c r="G99" s="1067"/>
      <c r="H99" s="1079"/>
      <c r="I99" s="1079"/>
      <c r="J99" s="616"/>
      <c r="K99" s="812" t="s">
        <v>98</v>
      </c>
      <c r="L99" s="617"/>
      <c r="M99" s="849"/>
      <c r="N99" s="763">
        <f>ROUNDUP(J99*F99,2)</f>
        <v>0</v>
      </c>
      <c r="O99" s="514"/>
      <c r="P99" s="530"/>
    </row>
    <row r="100" spans="2:25" s="502" customFormat="1" ht="25.5" customHeight="1">
      <c r="B100" s="596" t="s">
        <v>411</v>
      </c>
      <c r="C100" s="54" t="s">
        <v>41</v>
      </c>
      <c r="D100" s="174"/>
      <c r="E100" s="850">
        <f>F100/720</f>
        <v>5.0000000000000001E-3</v>
      </c>
      <c r="F100" s="1068">
        <f>VOLUME_fast_SEK</f>
        <v>3.6</v>
      </c>
      <c r="G100" s="1068"/>
      <c r="H100" s="1080"/>
      <c r="I100" s="1080"/>
      <c r="J100" s="621">
        <v>0</v>
      </c>
      <c r="K100" s="813" t="s">
        <v>98</v>
      </c>
      <c r="L100" s="622"/>
      <c r="N100" s="814">
        <f>ROUNDUP(J100*F100,2)</f>
        <v>0</v>
      </c>
      <c r="O100" s="514"/>
      <c r="P100" s="530"/>
      <c r="Y100" s="513"/>
    </row>
    <row r="101" spans="2:25" ht="25.5" customHeight="1">
      <c r="B101" s="534" t="s">
        <v>27</v>
      </c>
      <c r="C101" s="841"/>
      <c r="D101" s="580"/>
      <c r="E101" s="580"/>
      <c r="F101" s="582"/>
      <c r="G101" s="583"/>
      <c r="H101" s="583"/>
      <c r="I101" s="851"/>
      <c r="J101" s="624" t="str">
        <f>SUM(J99:J100)&amp;" GB"</f>
        <v>0 GB</v>
      </c>
      <c r="K101" s="625"/>
      <c r="L101" s="583"/>
      <c r="M101" s="583"/>
      <c r="N101" s="807">
        <f>SUM(N99:N100)</f>
        <v>0</v>
      </c>
      <c r="P101" s="480"/>
    </row>
    <row r="102" spans="2:25" ht="25.5" customHeight="1">
      <c r="B102" s="630"/>
      <c r="C102" s="848"/>
      <c r="D102" s="176"/>
      <c r="E102" s="176"/>
      <c r="F102" s="603"/>
      <c r="G102" s="603"/>
      <c r="H102" s="626"/>
      <c r="I102" s="626"/>
      <c r="J102" s="626"/>
      <c r="K102" s="627"/>
      <c r="L102" s="628"/>
      <c r="M102" s="666"/>
      <c r="N102" s="666"/>
      <c r="P102" s="480"/>
    </row>
    <row r="103" spans="2:25" ht="25.5" customHeight="1">
      <c r="B103" s="630"/>
      <c r="C103" s="848"/>
      <c r="D103" s="176"/>
      <c r="E103" s="176"/>
      <c r="F103" s="603"/>
      <c r="G103" s="603"/>
      <c r="H103" s="626"/>
      <c r="I103" s="626"/>
      <c r="J103" s="626"/>
      <c r="K103" s="627"/>
      <c r="L103" s="628"/>
      <c r="M103" s="666"/>
      <c r="N103" s="666"/>
      <c r="P103" s="480"/>
    </row>
    <row r="104" spans="2:25" s="490" customFormat="1" ht="25.5" customHeight="1">
      <c r="B104" s="630"/>
      <c r="C104" s="848"/>
      <c r="D104" s="176"/>
      <c r="E104" s="176"/>
      <c r="F104" s="603"/>
      <c r="G104" s="603"/>
      <c r="H104" s="626"/>
      <c r="I104" s="626"/>
      <c r="J104" s="626"/>
      <c r="K104" s="627"/>
      <c r="L104" s="628"/>
      <c r="M104" s="666"/>
      <c r="N104" s="666"/>
      <c r="P104" s="489"/>
    </row>
    <row r="105" spans="2:25" s="490" customFormat="1" ht="25.5" customHeight="1">
      <c r="B105" s="1006" t="s">
        <v>594</v>
      </c>
      <c r="C105" s="1006"/>
      <c r="D105" s="1006"/>
      <c r="E105" s="1006"/>
      <c r="F105" s="1006"/>
      <c r="G105" s="1006"/>
      <c r="H105" s="498"/>
      <c r="J105" s="501"/>
      <c r="K105" s="501"/>
      <c r="M105" s="499"/>
      <c r="N105" s="499"/>
      <c r="P105" s="489"/>
    </row>
    <row r="106" spans="2:25" s="490" customFormat="1" ht="25.5" customHeight="1">
      <c r="B106" s="1006"/>
      <c r="C106" s="1006"/>
      <c r="D106" s="1006"/>
      <c r="E106" s="1006"/>
      <c r="F106" s="1006"/>
      <c r="G106" s="1006"/>
      <c r="H106" s="498"/>
      <c r="J106" s="501"/>
      <c r="K106" s="501"/>
      <c r="M106" s="499"/>
      <c r="N106" s="499"/>
      <c r="P106" s="489"/>
    </row>
    <row r="107" spans="2:25" s="490" customFormat="1" ht="25.5" customHeight="1">
      <c r="B107" s="1006"/>
      <c r="C107" s="1006"/>
      <c r="D107" s="1006"/>
      <c r="E107" s="1006"/>
      <c r="F107" s="1006"/>
      <c r="G107" s="1006"/>
      <c r="H107" s="498"/>
      <c r="J107" s="501"/>
      <c r="K107" s="501"/>
      <c r="M107" s="499"/>
      <c r="N107" s="499"/>
      <c r="P107" s="489"/>
    </row>
    <row r="108" spans="2:25" s="490" customFormat="1" ht="25.5" customHeight="1">
      <c r="B108" s="1011" t="s">
        <v>595</v>
      </c>
      <c r="C108" s="1011"/>
      <c r="D108" s="1011"/>
      <c r="E108" s="1011"/>
      <c r="F108" s="1011"/>
      <c r="H108" s="498"/>
      <c r="J108" s="501"/>
      <c r="K108" s="501"/>
      <c r="M108" s="499"/>
      <c r="N108" s="499"/>
      <c r="O108" s="506"/>
      <c r="P108" s="511"/>
    </row>
    <row r="109" spans="2:25" s="631" customFormat="1" ht="25.5" customHeight="1">
      <c r="B109" s="1007" t="s">
        <v>596</v>
      </c>
      <c r="C109" s="1007"/>
      <c r="D109" s="1007"/>
      <c r="E109" s="1007"/>
      <c r="F109" s="1007"/>
      <c r="G109" s="632"/>
      <c r="H109" s="633"/>
      <c r="I109" s="632"/>
      <c r="J109" s="634"/>
      <c r="K109" s="635"/>
      <c r="L109" s="632"/>
      <c r="M109" s="815"/>
      <c r="N109" s="815"/>
      <c r="O109" s="632"/>
      <c r="P109" s="637"/>
    </row>
    <row r="110" spans="2:25" s="490" customFormat="1" ht="25.5" customHeight="1">
      <c r="B110" s="638" t="s">
        <v>561</v>
      </c>
      <c r="C110" s="839"/>
      <c r="D110" s="63"/>
      <c r="E110" s="63"/>
      <c r="F110" s="512"/>
      <c r="G110" s="506"/>
      <c r="H110" s="507"/>
      <c r="I110" s="506"/>
      <c r="J110" s="508"/>
      <c r="K110" s="639"/>
      <c r="L110" s="639"/>
      <c r="M110" s="506"/>
      <c r="N110" s="509"/>
      <c r="O110" s="509"/>
      <c r="P110" s="530"/>
      <c r="R110" s="502"/>
      <c r="S110" s="502"/>
    </row>
    <row r="111" spans="2:25" s="490" customFormat="1" ht="25.5" customHeight="1">
      <c r="B111" s="38"/>
      <c r="C111" s="38"/>
      <c r="D111" s="38"/>
      <c r="E111" s="38"/>
      <c r="F111" s="512"/>
      <c r="G111" s="506"/>
      <c r="H111" s="507"/>
      <c r="I111" s="506"/>
      <c r="J111" s="508"/>
      <c r="K111" s="639"/>
      <c r="L111" s="639"/>
      <c r="M111" s="506"/>
      <c r="N111" s="509"/>
      <c r="O111" s="509"/>
      <c r="P111" s="530"/>
      <c r="R111" s="502"/>
      <c r="S111" s="502"/>
    </row>
    <row r="112" spans="2:25" s="490" customFormat="1" ht="25.5" customHeight="1">
      <c r="B112" s="78" t="s">
        <v>23</v>
      </c>
      <c r="C112" s="840" t="s">
        <v>53</v>
      </c>
      <c r="D112" s="1008" t="s">
        <v>597</v>
      </c>
      <c r="E112" s="1008"/>
      <c r="F112" s="1008"/>
      <c r="G112" s="1008"/>
      <c r="H112" s="1008"/>
      <c r="I112" s="1008"/>
      <c r="J112" s="1008"/>
      <c r="K112" s="1008"/>
      <c r="L112" s="607"/>
      <c r="M112" s="608"/>
      <c r="N112" s="608"/>
      <c r="O112" s="509"/>
      <c r="P112" s="530"/>
      <c r="R112" s="502"/>
      <c r="S112" s="502"/>
    </row>
    <row r="113" spans="2:24" s="490" customFormat="1" ht="25.5" customHeight="1">
      <c r="B113" s="84" t="s">
        <v>417</v>
      </c>
      <c r="C113" s="33" t="s">
        <v>598</v>
      </c>
      <c r="D113" s="1081">
        <f>S3_storage.50_SUNET</f>
        <v>0.35</v>
      </c>
      <c r="E113" s="1081"/>
      <c r="F113" s="1070"/>
      <c r="G113" s="1070"/>
      <c r="H113" s="1070"/>
      <c r="I113" s="1070"/>
      <c r="J113" s="1070"/>
      <c r="K113" s="1070"/>
      <c r="L113" s="817"/>
      <c r="M113" s="818"/>
      <c r="N113" s="818"/>
      <c r="O113" s="509"/>
      <c r="P113" s="530"/>
      <c r="R113" s="502"/>
      <c r="S113" s="502"/>
    </row>
    <row r="114" spans="2:24" s="490" customFormat="1" ht="25.5" customHeight="1">
      <c r="B114" s="90" t="s">
        <v>417</v>
      </c>
      <c r="C114" s="38" t="s">
        <v>599</v>
      </c>
      <c r="D114" s="1082">
        <f>S3_storage.100_SUNET</f>
        <v>0.19</v>
      </c>
      <c r="E114" s="1082"/>
      <c r="F114" s="1071"/>
      <c r="G114" s="1071"/>
      <c r="H114" s="1071"/>
      <c r="I114" s="1071"/>
      <c r="J114" s="1071"/>
      <c r="K114" s="1071"/>
      <c r="L114" s="819"/>
      <c r="M114" s="820"/>
      <c r="N114" s="820"/>
      <c r="O114" s="509"/>
      <c r="P114" s="530"/>
      <c r="R114" s="502"/>
      <c r="S114" s="502"/>
    </row>
    <row r="115" spans="2:24" s="490" customFormat="1" ht="25.5" customHeight="1">
      <c r="B115" s="84" t="s">
        <v>417</v>
      </c>
      <c r="C115" s="33" t="s">
        <v>600</v>
      </c>
      <c r="D115" s="1083">
        <f>S3_storage.500_SUNET</f>
        <v>0.1</v>
      </c>
      <c r="E115" s="1083"/>
      <c r="F115" s="1072"/>
      <c r="G115" s="1072"/>
      <c r="H115" s="1072"/>
      <c r="I115" s="1072"/>
      <c r="J115" s="1072"/>
      <c r="K115" s="1072"/>
      <c r="L115" s="821"/>
      <c r="M115" s="822"/>
      <c r="N115" s="822"/>
      <c r="O115" s="509"/>
      <c r="P115" s="530"/>
      <c r="R115" s="502"/>
      <c r="S115" s="502"/>
    </row>
    <row r="116" spans="2:24" s="490" customFormat="1" ht="25.5" customHeight="1">
      <c r="B116" s="90" t="s">
        <v>417</v>
      </c>
      <c r="C116" s="38" t="s">
        <v>601</v>
      </c>
      <c r="D116" s="1082">
        <f>S3_storage.1000_SUNET</f>
        <v>0.06</v>
      </c>
      <c r="E116" s="1082"/>
      <c r="F116" s="1071"/>
      <c r="G116" s="1071"/>
      <c r="H116" s="1071"/>
      <c r="I116" s="1071"/>
      <c r="J116" s="1071"/>
      <c r="K116" s="1071"/>
      <c r="L116" s="819"/>
      <c r="M116" s="820"/>
      <c r="N116" s="820"/>
      <c r="O116" s="509"/>
      <c r="P116" s="530"/>
      <c r="R116" s="502"/>
      <c r="S116" s="502"/>
    </row>
    <row r="117" spans="2:24" s="490" customFormat="1" ht="25.5" customHeight="1">
      <c r="B117" s="84" t="s">
        <v>417</v>
      </c>
      <c r="C117" s="33" t="s">
        <v>527</v>
      </c>
      <c r="D117" s="1084" t="str">
        <f>S3_storage.quote_SUNET</f>
        <v>Be om offert</v>
      </c>
      <c r="E117" s="1084"/>
      <c r="F117" s="1073"/>
      <c r="G117" s="1073"/>
      <c r="H117" s="1073"/>
      <c r="I117" s="1073"/>
      <c r="J117" s="1073"/>
      <c r="K117" s="1073"/>
      <c r="L117" s="494"/>
      <c r="M117" s="491"/>
      <c r="N117" s="491"/>
      <c r="O117" s="509"/>
      <c r="P117" s="530"/>
      <c r="R117" s="502"/>
      <c r="S117" s="502"/>
    </row>
    <row r="118" spans="2:24" s="490" customFormat="1" ht="25.5" customHeight="1">
      <c r="B118" s="823"/>
      <c r="C118" s="852"/>
      <c r="D118" s="824"/>
      <c r="E118" s="824"/>
      <c r="F118" s="509"/>
      <c r="G118" s="509"/>
      <c r="H118" s="509"/>
      <c r="I118" s="509"/>
      <c r="J118" s="509"/>
      <c r="K118" s="509"/>
      <c r="L118" s="509"/>
      <c r="M118" s="509"/>
      <c r="N118" s="509"/>
      <c r="O118" s="509"/>
      <c r="P118" s="530"/>
      <c r="R118" s="502"/>
      <c r="S118" s="502"/>
    </row>
    <row r="119" spans="2:24" s="571" customFormat="1" ht="25.5" customHeight="1">
      <c r="B119" s="8"/>
      <c r="C119" s="207"/>
      <c r="D119" s="64"/>
      <c r="E119" s="64"/>
      <c r="F119" s="512"/>
      <c r="G119" s="506"/>
      <c r="H119" s="507"/>
      <c r="I119" s="506"/>
      <c r="J119" s="508"/>
      <c r="K119" s="639"/>
      <c r="L119" s="639"/>
      <c r="M119" s="506"/>
      <c r="N119" s="509"/>
      <c r="O119" s="509"/>
      <c r="P119" s="663"/>
      <c r="R119" s="606"/>
      <c r="S119" s="606"/>
      <c r="T119" s="606"/>
      <c r="U119" s="606"/>
      <c r="V119" s="606"/>
      <c r="W119" s="606"/>
      <c r="X119" s="606"/>
    </row>
    <row r="120" spans="2:24" ht="25.5" customHeight="1">
      <c r="B120" s="78" t="s">
        <v>23</v>
      </c>
      <c r="C120" s="179"/>
      <c r="D120" s="179"/>
      <c r="E120" s="6" t="s">
        <v>31</v>
      </c>
      <c r="F120" s="1008" t="s">
        <v>593</v>
      </c>
      <c r="G120" s="1008"/>
      <c r="H120" s="609" t="s">
        <v>53</v>
      </c>
      <c r="I120" s="608"/>
      <c r="J120" s="608"/>
      <c r="K120" s="179" t="s">
        <v>602</v>
      </c>
      <c r="L120" s="608"/>
      <c r="M120" s="608"/>
      <c r="N120" s="607" t="s">
        <v>39</v>
      </c>
      <c r="O120" s="648"/>
      <c r="P120" s="530"/>
      <c r="R120" s="502"/>
      <c r="S120" s="502"/>
    </row>
    <row r="121" spans="2:24" s="579" customFormat="1" ht="25.5" customHeight="1">
      <c r="B121" s="224" t="s">
        <v>417</v>
      </c>
      <c r="C121" s="225"/>
      <c r="D121" s="225"/>
      <c r="E121" s="226">
        <f>F121/720</f>
        <v>4.861111111111111E-4</v>
      </c>
      <c r="F121" s="1085">
        <f t="array" ref="F121">_xlfn.IFS(H121&lt;=299,D113,H121&lt;1000,D114,H121&lt;2000,D115,H121&gt;=2000,D116)</f>
        <v>0.35</v>
      </c>
      <c r="G121" s="1085"/>
      <c r="H121" s="644">
        <v>0</v>
      </c>
      <c r="I121" s="645" t="s">
        <v>56</v>
      </c>
      <c r="J121" s="646"/>
      <c r="K121" s="646" t="str">
        <f t="array" ref="K121">_xlfn.IFS(H121&lt;=299,"6 månader",H121&lt;1000,"12 månader",H121&lt;2000,"12 månader",H121&gt;=2000,"36 månader")</f>
        <v>6 månader</v>
      </c>
      <c r="L121" s="646"/>
      <c r="M121" s="1086">
        <f>ROUNDUP((H121*1000)*F121,2)</f>
        <v>0</v>
      </c>
      <c r="N121" s="1086"/>
      <c r="O121" s="648"/>
      <c r="P121" s="602"/>
      <c r="R121" s="587"/>
      <c r="S121" s="587"/>
    </row>
    <row r="122" spans="2:24" ht="25.5" customHeight="1">
      <c r="B122" s="657" t="s">
        <v>62</v>
      </c>
      <c r="C122" s="842"/>
      <c r="D122" s="143"/>
      <c r="E122" s="143"/>
      <c r="F122" s="539"/>
      <c r="G122" s="540"/>
      <c r="H122" s="540"/>
      <c r="I122" s="540"/>
      <c r="J122" s="540"/>
      <c r="K122" s="659"/>
      <c r="L122" s="659"/>
      <c r="M122" s="1087">
        <f>SUM(M121)</f>
        <v>0</v>
      </c>
      <c r="N122" s="1087"/>
      <c r="O122" s="648"/>
      <c r="P122" s="530"/>
      <c r="R122" s="502"/>
      <c r="S122" s="502"/>
    </row>
    <row r="123" spans="2:24" ht="25.5" customHeight="1">
      <c r="B123" s="239"/>
      <c r="C123" s="853"/>
      <c r="D123" s="239"/>
      <c r="E123" s="239"/>
      <c r="F123" s="664"/>
      <c r="G123" s="665"/>
      <c r="H123" s="626"/>
      <c r="I123" s="626"/>
      <c r="J123" s="626"/>
      <c r="K123" s="626"/>
      <c r="L123" s="626"/>
      <c r="M123" s="666"/>
      <c r="N123" s="666"/>
      <c r="O123" s="648"/>
      <c r="P123" s="530"/>
      <c r="R123" s="502"/>
      <c r="S123" s="502"/>
    </row>
    <row r="124" spans="2:24" ht="25.5" customHeight="1">
      <c r="B124" s="239"/>
      <c r="C124" s="853"/>
      <c r="D124" s="239"/>
      <c r="E124" s="239"/>
      <c r="F124" s="664"/>
      <c r="G124" s="665"/>
      <c r="H124" s="626"/>
      <c r="I124" s="626"/>
      <c r="J124" s="626"/>
      <c r="K124" s="626"/>
      <c r="L124" s="626"/>
      <c r="M124" s="666"/>
      <c r="N124" s="666"/>
      <c r="O124" s="666"/>
      <c r="P124" s="530"/>
      <c r="R124" s="502"/>
      <c r="S124" s="502"/>
      <c r="V124" s="490"/>
    </row>
    <row r="125" spans="2:24" s="490" customFormat="1" ht="25.5" customHeight="1">
      <c r="B125" s="239"/>
      <c r="C125" s="853"/>
      <c r="D125" s="239"/>
      <c r="E125" s="239"/>
      <c r="F125" s="664"/>
      <c r="G125" s="665"/>
      <c r="H125" s="626"/>
      <c r="I125" s="626"/>
      <c r="J125" s="626"/>
      <c r="K125" s="626"/>
      <c r="L125" s="626"/>
      <c r="M125" s="666"/>
      <c r="N125" s="666"/>
      <c r="O125" s="666"/>
      <c r="P125" s="489"/>
    </row>
    <row r="126" spans="2:24" s="490" customFormat="1" ht="25.5" customHeight="1">
      <c r="B126" s="1006" t="s">
        <v>183</v>
      </c>
      <c r="C126" s="1006"/>
      <c r="D126" s="1006"/>
      <c r="E126" s="1006"/>
      <c r="F126" s="1006"/>
      <c r="G126" s="1006"/>
      <c r="H126" s="498"/>
      <c r="J126" s="501"/>
      <c r="K126" s="501"/>
      <c r="L126" s="501"/>
      <c r="N126" s="499"/>
      <c r="O126" s="499"/>
      <c r="P126" s="489"/>
    </row>
    <row r="127" spans="2:24" s="490" customFormat="1" ht="25.5" customHeight="1">
      <c r="B127" s="1006"/>
      <c r="C127" s="1006"/>
      <c r="D127" s="1006"/>
      <c r="E127" s="1006"/>
      <c r="F127" s="1006"/>
      <c r="G127" s="1006"/>
      <c r="H127" s="498"/>
      <c r="J127" s="501"/>
      <c r="K127" s="501"/>
      <c r="L127" s="501"/>
      <c r="N127" s="499"/>
      <c r="O127" s="499"/>
      <c r="P127" s="489"/>
    </row>
    <row r="128" spans="2:24" s="490" customFormat="1" ht="25.5" customHeight="1">
      <c r="B128" s="1006"/>
      <c r="C128" s="1006"/>
      <c r="D128" s="1006"/>
      <c r="E128" s="1006"/>
      <c r="F128" s="1006"/>
      <c r="G128" s="1006"/>
      <c r="H128" s="498"/>
      <c r="J128" s="501"/>
      <c r="K128" s="501"/>
      <c r="L128" s="501"/>
      <c r="N128" s="499"/>
      <c r="O128" s="499"/>
      <c r="P128" s="489"/>
    </row>
    <row r="129" spans="2:35" s="490" customFormat="1" ht="25.5" customHeight="1">
      <c r="B129" s="1021" t="s">
        <v>419</v>
      </c>
      <c r="C129" s="1021"/>
      <c r="D129" s="1021"/>
      <c r="E129" s="1021"/>
      <c r="F129" s="1021"/>
      <c r="H129" s="498"/>
      <c r="J129" s="501"/>
      <c r="K129" s="501"/>
      <c r="L129" s="501"/>
      <c r="N129" s="499"/>
      <c r="O129" s="499"/>
      <c r="P129" s="511"/>
    </row>
    <row r="130" spans="2:35" s="490" customFormat="1" ht="25.5" customHeight="1">
      <c r="B130" s="1034" t="s">
        <v>603</v>
      </c>
      <c r="C130" s="1034"/>
      <c r="D130" s="1034"/>
      <c r="E130" s="1034"/>
      <c r="F130" s="1034"/>
      <c r="G130" s="506"/>
      <c r="H130" s="507"/>
      <c r="I130" s="506"/>
      <c r="J130" s="508"/>
      <c r="K130" s="639"/>
      <c r="L130" s="639"/>
      <c r="M130" s="506"/>
      <c r="N130" s="509"/>
      <c r="O130" s="509"/>
      <c r="P130" s="511"/>
    </row>
    <row r="131" spans="2:35" s="514" customFormat="1" ht="25.5" customHeight="1">
      <c r="B131" s="638" t="s">
        <v>604</v>
      </c>
      <c r="C131" s="839"/>
      <c r="D131" s="63"/>
      <c r="E131" s="63"/>
      <c r="F131" s="512"/>
      <c r="G131" s="506"/>
      <c r="H131" s="507"/>
      <c r="I131" s="506"/>
      <c r="J131" s="508"/>
      <c r="K131" s="639"/>
      <c r="L131" s="639"/>
      <c r="M131" s="490"/>
      <c r="N131" s="509"/>
      <c r="O131" s="509"/>
      <c r="P131" s="530"/>
      <c r="R131" s="502"/>
      <c r="S131" s="502"/>
      <c r="T131" s="502"/>
      <c r="U131" s="502"/>
      <c r="V131" s="502"/>
      <c r="W131" s="502"/>
      <c r="X131" s="502"/>
      <c r="AA131" s="474"/>
      <c r="AB131" s="474"/>
      <c r="AC131" s="474"/>
    </row>
    <row r="132" spans="2:35" s="571" customFormat="1" ht="25.5" customHeight="1">
      <c r="B132" s="223"/>
      <c r="C132" s="161"/>
      <c r="D132" s="161"/>
      <c r="E132" s="161"/>
      <c r="F132" s="514"/>
      <c r="G132" s="514"/>
      <c r="H132" s="514"/>
      <c r="I132" s="514"/>
      <c r="J132" s="514"/>
      <c r="K132" s="514"/>
      <c r="L132" s="514"/>
      <c r="M132" s="474"/>
      <c r="N132" s="591"/>
      <c r="O132" s="591"/>
      <c r="P132" s="663"/>
      <c r="S132" s="606"/>
      <c r="T132" s="606"/>
      <c r="U132" s="606"/>
      <c r="V132" s="606"/>
      <c r="W132" s="606"/>
      <c r="X132" s="606"/>
    </row>
    <row r="133" spans="2:35" ht="25">
      <c r="B133" s="78" t="s">
        <v>23</v>
      </c>
      <c r="C133" s="1008" t="s">
        <v>239</v>
      </c>
      <c r="D133" s="1008"/>
      <c r="E133" s="6" t="s">
        <v>31</v>
      </c>
      <c r="F133" s="1008" t="s">
        <v>593</v>
      </c>
      <c r="G133" s="1008"/>
      <c r="H133" s="609" t="s">
        <v>241</v>
      </c>
      <c r="I133" s="608"/>
      <c r="J133" s="1023" t="s">
        <v>605</v>
      </c>
      <c r="K133" s="1023"/>
      <c r="L133" s="667"/>
      <c r="M133" s="608"/>
      <c r="N133" s="607" t="s">
        <v>77</v>
      </c>
      <c r="O133" s="591"/>
      <c r="P133" s="480"/>
    </row>
    <row r="134" spans="2:35" ht="25.5" customHeight="1">
      <c r="B134" s="668" t="s">
        <v>423</v>
      </c>
      <c r="C134" s="826"/>
      <c r="D134" s="246" t="s">
        <v>20</v>
      </c>
      <c r="E134" s="246" t="s">
        <v>20</v>
      </c>
      <c r="F134" s="1074">
        <f>BAAS_on.demand_SEK</f>
        <v>2.4500000000000002</v>
      </c>
      <c r="G134" s="1074"/>
      <c r="H134" s="670">
        <v>0</v>
      </c>
      <c r="I134" s="812" t="s">
        <v>98</v>
      </c>
      <c r="J134" s="1026" t="s">
        <v>20</v>
      </c>
      <c r="K134" s="1026"/>
      <c r="L134" s="671"/>
      <c r="M134" s="617"/>
      <c r="N134" s="763">
        <f>ROUNDUP(H134*F134,2)</f>
        <v>0</v>
      </c>
      <c r="O134" s="591"/>
      <c r="P134" s="480"/>
    </row>
    <row r="135" spans="2:35" ht="25.5" customHeight="1">
      <c r="B135" s="672" t="s">
        <v>424</v>
      </c>
      <c r="C135" s="587"/>
      <c r="D135" s="299">
        <v>5500</v>
      </c>
      <c r="E135" s="674" t="s">
        <v>20</v>
      </c>
      <c r="F135" s="1075">
        <f>BAAS_small_SEK</f>
        <v>1.75</v>
      </c>
      <c r="G135" s="1075"/>
      <c r="H135" s="675">
        <v>0</v>
      </c>
      <c r="I135" s="813" t="s">
        <v>98</v>
      </c>
      <c r="J135" s="1029">
        <v>0.75</v>
      </c>
      <c r="K135" s="1029"/>
      <c r="L135" s="622"/>
      <c r="M135" s="622"/>
      <c r="N135" s="814">
        <f>IF(H135&gt;0,IF(SUM($D$135+($F$135*((H135*(1-$J$135))-1000)))&lt;=D135,$D$135,$D$135+($F$135*((H135*(1-$J$135))-1000))),0)</f>
        <v>0</v>
      </c>
      <c r="O135" s="591"/>
      <c r="P135" s="480"/>
    </row>
    <row r="136" spans="2:35" s="676" customFormat="1" ht="25.5" customHeight="1">
      <c r="B136" s="677" t="s">
        <v>425</v>
      </c>
      <c r="C136" s="749"/>
      <c r="D136" s="384">
        <v>9500</v>
      </c>
      <c r="E136" s="679" t="s">
        <v>20</v>
      </c>
      <c r="F136" s="1076">
        <f>BAAS_large_SEK</f>
        <v>0.92</v>
      </c>
      <c r="G136" s="1076"/>
      <c r="H136" s="644">
        <v>0</v>
      </c>
      <c r="I136" s="645" t="s">
        <v>98</v>
      </c>
      <c r="J136" s="1032">
        <v>0.75</v>
      </c>
      <c r="K136" s="1032"/>
      <c r="L136" s="680"/>
      <c r="M136" s="680"/>
      <c r="N136" s="767">
        <f>IF(H136&gt;0,$D$136+($F$136*(H136*(1-$J$136))),0)</f>
        <v>0</v>
      </c>
      <c r="O136" s="591"/>
      <c r="P136" s="682"/>
      <c r="W136" s="474"/>
      <c r="X136" s="474"/>
      <c r="Y136" s="474"/>
      <c r="Z136" s="474"/>
      <c r="AA136" s="474"/>
      <c r="AB136" s="474"/>
      <c r="AC136" s="474"/>
      <c r="AD136" s="474"/>
      <c r="AE136" s="474"/>
      <c r="AF136" s="474"/>
      <c r="AG136" s="474"/>
      <c r="AH136" s="474"/>
      <c r="AI136" s="474"/>
    </row>
    <row r="137" spans="2:35" s="676" customFormat="1" ht="25.5" customHeight="1">
      <c r="B137" s="657" t="s">
        <v>62</v>
      </c>
      <c r="C137" s="842"/>
      <c r="D137" s="143"/>
      <c r="E137" s="143"/>
      <c r="F137" s="539"/>
      <c r="G137" s="540"/>
      <c r="H137" s="624" t="str">
        <f>SUM(H134:H136)&amp;" GB"</f>
        <v>0 GB</v>
      </c>
      <c r="I137" s="540"/>
      <c r="J137" s="540"/>
      <c r="K137" s="659"/>
      <c r="L137" s="659"/>
      <c r="N137" s="807">
        <f>SUM(N134:N136)</f>
        <v>0</v>
      </c>
      <c r="O137" s="591"/>
      <c r="P137" s="682"/>
      <c r="R137" s="683"/>
      <c r="W137" s="474"/>
      <c r="X137" s="474"/>
      <c r="Y137" s="474"/>
      <c r="Z137" s="474"/>
      <c r="AA137" s="474"/>
      <c r="AB137" s="474"/>
      <c r="AC137" s="474"/>
      <c r="AD137" s="474"/>
      <c r="AE137" s="474"/>
      <c r="AF137" s="474"/>
      <c r="AG137" s="474"/>
      <c r="AH137" s="474"/>
      <c r="AI137" s="474"/>
    </row>
    <row r="138" spans="2:35" s="676" customFormat="1" ht="25.5" customHeight="1">
      <c r="B138" s="657"/>
      <c r="C138" s="842"/>
      <c r="D138" s="143"/>
      <c r="E138" s="143"/>
      <c r="F138" s="539"/>
      <c r="G138" s="540"/>
      <c r="H138" s="540"/>
      <c r="I138" s="540"/>
      <c r="J138" s="540"/>
      <c r="K138" s="659"/>
      <c r="L138" s="659"/>
      <c r="M138" s="541"/>
      <c r="N138" s="541"/>
      <c r="O138" s="591"/>
      <c r="P138" s="682"/>
      <c r="R138" s="683"/>
      <c r="W138" s="474"/>
      <c r="X138" s="474"/>
      <c r="Y138" s="474"/>
      <c r="Z138" s="474"/>
      <c r="AA138" s="474"/>
      <c r="AB138" s="474"/>
      <c r="AC138" s="474"/>
      <c r="AD138" s="474"/>
      <c r="AE138" s="474"/>
      <c r="AF138" s="474"/>
      <c r="AG138" s="474"/>
      <c r="AH138" s="474"/>
      <c r="AI138" s="474"/>
    </row>
    <row r="139" spans="2:35" s="676" customFormat="1" ht="25.5" customHeight="1">
      <c r="B139" s="684" t="s">
        <v>606</v>
      </c>
      <c r="C139" s="842"/>
      <c r="D139" s="143"/>
      <c r="E139" s="143"/>
      <c r="F139" s="539"/>
      <c r="G139" s="540"/>
      <c r="H139" s="540"/>
      <c r="I139" s="540"/>
      <c r="J139" s="540"/>
      <c r="K139" s="659"/>
      <c r="L139" s="659"/>
      <c r="M139" s="541"/>
      <c r="N139" s="541"/>
      <c r="O139" s="541"/>
      <c r="P139" s="682"/>
      <c r="R139" s="683"/>
      <c r="W139" s="474"/>
      <c r="X139" s="474"/>
      <c r="Y139" s="474"/>
      <c r="Z139" s="474"/>
      <c r="AA139" s="474"/>
      <c r="AB139" s="474"/>
      <c r="AC139" s="474"/>
      <c r="AD139" s="474"/>
      <c r="AE139" s="474"/>
      <c r="AF139" s="474"/>
      <c r="AG139" s="474"/>
      <c r="AH139" s="474"/>
      <c r="AI139" s="474"/>
    </row>
    <row r="140" spans="2:35" ht="25.5" customHeight="1">
      <c r="B140" s="684" t="s">
        <v>607</v>
      </c>
      <c r="C140" s="842"/>
      <c r="D140" s="143"/>
      <c r="E140" s="143"/>
      <c r="F140" s="539"/>
      <c r="G140" s="540"/>
      <c r="H140" s="540"/>
      <c r="I140" s="540"/>
      <c r="J140" s="540"/>
      <c r="K140" s="659"/>
      <c r="L140" s="659"/>
      <c r="M140" s="541"/>
      <c r="N140" s="541"/>
      <c r="O140" s="541"/>
      <c r="P140" s="530"/>
      <c r="R140" s="502"/>
      <c r="S140" s="502"/>
    </row>
    <row r="141" spans="2:35" ht="25.5" customHeight="1">
      <c r="B141" s="684" t="s">
        <v>608</v>
      </c>
      <c r="C141" s="853"/>
      <c r="D141" s="239"/>
      <c r="E141" s="239"/>
      <c r="F141" s="664"/>
      <c r="G141" s="665"/>
      <c r="H141" s="626"/>
      <c r="I141" s="626"/>
      <c r="J141" s="626"/>
      <c r="K141" s="626"/>
      <c r="L141" s="626"/>
      <c r="M141" s="666"/>
      <c r="N141" s="666"/>
      <c r="O141" s="666"/>
      <c r="P141" s="530"/>
      <c r="R141" s="502"/>
      <c r="S141" s="502"/>
    </row>
    <row r="142" spans="2:35" ht="25.5" customHeight="1">
      <c r="B142" s="684" t="s">
        <v>609</v>
      </c>
      <c r="C142" s="853"/>
      <c r="D142" s="239"/>
      <c r="E142" s="239"/>
      <c r="F142" s="664"/>
      <c r="G142" s="665"/>
      <c r="H142" s="626"/>
      <c r="I142" s="626"/>
      <c r="J142" s="626"/>
      <c r="K142" s="626"/>
      <c r="L142" s="666"/>
      <c r="M142" s="666"/>
      <c r="N142" s="666"/>
      <c r="O142" s="514"/>
      <c r="P142" s="530"/>
      <c r="Q142" s="502"/>
      <c r="R142" s="502"/>
    </row>
    <row r="143" spans="2:35" ht="25.5" customHeight="1">
      <c r="B143" s="260"/>
      <c r="C143" s="853"/>
      <c r="D143" s="239"/>
      <c r="E143" s="239"/>
      <c r="F143" s="664"/>
      <c r="G143" s="665"/>
      <c r="H143" s="626"/>
      <c r="I143" s="626"/>
      <c r="J143" s="626"/>
      <c r="K143" s="626"/>
      <c r="L143" s="666"/>
      <c r="M143" s="666"/>
      <c r="N143" s="666"/>
      <c r="O143" s="514"/>
      <c r="P143" s="530"/>
      <c r="Q143" s="502"/>
      <c r="R143" s="502"/>
    </row>
    <row r="144" spans="2:35" ht="25.5" customHeight="1">
      <c r="B144" s="260"/>
      <c r="C144" s="853"/>
      <c r="D144" s="239"/>
      <c r="E144" s="239"/>
      <c r="F144" s="664"/>
      <c r="G144" s="665"/>
      <c r="H144" s="626"/>
      <c r="I144" s="626"/>
      <c r="J144" s="626"/>
      <c r="K144" s="626"/>
      <c r="L144" s="666"/>
      <c r="M144" s="666"/>
      <c r="N144" s="666"/>
      <c r="O144" s="514"/>
      <c r="P144" s="530"/>
      <c r="Q144" s="502"/>
      <c r="R144" s="502"/>
    </row>
    <row r="145" spans="1:23" ht="25.5" customHeight="1">
      <c r="B145" s="260"/>
      <c r="C145" s="853"/>
      <c r="D145" s="239"/>
      <c r="E145" s="239"/>
      <c r="F145" s="664"/>
      <c r="G145" s="665"/>
      <c r="H145" s="626"/>
      <c r="I145" s="626"/>
      <c r="J145" s="626"/>
      <c r="K145" s="626"/>
      <c r="L145" s="666"/>
      <c r="M145" s="666"/>
      <c r="N145" s="666"/>
      <c r="O145" s="514"/>
      <c r="P145" s="530"/>
      <c r="Q145" s="502"/>
      <c r="R145" s="502"/>
    </row>
    <row r="146" spans="1:23" ht="25.5" customHeight="1">
      <c r="A146" s="708"/>
      <c r="B146" s="709"/>
      <c r="C146" s="854"/>
      <c r="D146" s="319"/>
      <c r="E146" s="319"/>
      <c r="F146" s="710"/>
      <c r="G146" s="711"/>
      <c r="H146" s="712"/>
      <c r="I146" s="712"/>
      <c r="J146" s="712"/>
      <c r="K146" s="712"/>
      <c r="L146" s="713"/>
      <c r="M146" s="713"/>
      <c r="N146" s="713"/>
      <c r="O146" s="715"/>
      <c r="P146" s="530"/>
      <c r="Q146" s="502"/>
      <c r="R146" s="502"/>
    </row>
    <row r="147" spans="1:23" s="490" customFormat="1" ht="25.5" customHeight="1">
      <c r="A147" s="484"/>
      <c r="B147" s="327"/>
      <c r="C147" s="855"/>
      <c r="D147" s="327"/>
      <c r="E147" s="327"/>
      <c r="F147" s="716"/>
      <c r="G147" s="717"/>
      <c r="H147" s="718"/>
      <c r="I147" s="718"/>
      <c r="J147" s="718"/>
      <c r="K147" s="718"/>
      <c r="L147" s="719"/>
      <c r="M147" s="719"/>
      <c r="N147" s="719"/>
      <c r="O147" s="484"/>
      <c r="P147" s="489"/>
    </row>
    <row r="148" spans="1:23" s="490" customFormat="1" ht="25.5" customHeight="1">
      <c r="A148" s="484"/>
      <c r="B148" s="327"/>
      <c r="C148" s="855"/>
      <c r="D148" s="327"/>
      <c r="E148" s="327"/>
      <c r="F148" s="716"/>
      <c r="G148" s="717"/>
      <c r="H148" s="718"/>
      <c r="I148" s="718"/>
      <c r="J148" s="718"/>
      <c r="K148" s="718"/>
      <c r="L148" s="719"/>
      <c r="M148" s="719"/>
      <c r="N148" s="719"/>
      <c r="O148" s="484"/>
      <c r="P148" s="489"/>
    </row>
    <row r="149" spans="1:23" s="490" customFormat="1" ht="25.5" customHeight="1">
      <c r="A149" s="484"/>
      <c r="B149" s="327"/>
      <c r="C149" s="855"/>
      <c r="D149" s="327"/>
      <c r="E149" s="327"/>
      <c r="F149" s="716"/>
      <c r="G149" s="717"/>
      <c r="H149" s="718"/>
      <c r="I149" s="718"/>
      <c r="J149" s="718"/>
      <c r="K149" s="718"/>
      <c r="L149" s="719"/>
      <c r="M149" s="719"/>
      <c r="N149" s="719"/>
      <c r="O149" s="484"/>
      <c r="P149" s="489"/>
    </row>
    <row r="150" spans="1:23" s="490" customFormat="1" ht="25.5" customHeight="1">
      <c r="A150" s="484"/>
      <c r="B150" s="1062" t="s">
        <v>277</v>
      </c>
      <c r="C150" s="1062"/>
      <c r="D150" s="1062"/>
      <c r="E150" s="1062"/>
      <c r="F150" s="1062"/>
      <c r="G150" s="1062"/>
      <c r="H150" s="486"/>
      <c r="I150" s="484"/>
      <c r="J150" s="526"/>
      <c r="K150" s="526"/>
      <c r="L150" s="484"/>
      <c r="M150" s="487"/>
      <c r="N150" s="487"/>
      <c r="O150" s="484"/>
      <c r="P150" s="489"/>
    </row>
    <row r="151" spans="1:23" s="490" customFormat="1" ht="25.5" customHeight="1">
      <c r="A151" s="484"/>
      <c r="B151" s="1062"/>
      <c r="C151" s="1062"/>
      <c r="D151" s="1062"/>
      <c r="E151" s="1062"/>
      <c r="F151" s="1062"/>
      <c r="G151" s="1062"/>
      <c r="H151" s="486"/>
      <c r="I151" s="484"/>
      <c r="J151" s="526"/>
      <c r="K151" s="526"/>
      <c r="L151" s="484"/>
      <c r="M151" s="487"/>
      <c r="N151" s="487"/>
      <c r="O151" s="484"/>
      <c r="P151" s="489"/>
    </row>
    <row r="152" spans="1:23" s="490" customFormat="1" ht="25.5" customHeight="1">
      <c r="A152" s="484"/>
      <c r="B152" s="1062"/>
      <c r="C152" s="1062"/>
      <c r="D152" s="1062"/>
      <c r="E152" s="1062"/>
      <c r="F152" s="1062"/>
      <c r="G152" s="1062"/>
      <c r="H152" s="486"/>
      <c r="I152" s="484"/>
      <c r="J152" s="526"/>
      <c r="K152" s="526"/>
      <c r="L152" s="484"/>
      <c r="M152" s="487"/>
      <c r="N152" s="487"/>
      <c r="O152" s="484"/>
      <c r="P152" s="489"/>
    </row>
    <row r="153" spans="1:23" s="490" customFormat="1" ht="25.5" customHeight="1">
      <c r="A153" s="484"/>
      <c r="B153" s="1078" t="s">
        <v>603</v>
      </c>
      <c r="C153" s="1078"/>
      <c r="D153" s="1078"/>
      <c r="E153" s="1078"/>
      <c r="F153" s="1078"/>
      <c r="G153" s="484"/>
      <c r="H153" s="486"/>
      <c r="I153" s="484"/>
      <c r="J153" s="526"/>
      <c r="K153" s="526"/>
      <c r="L153" s="484"/>
      <c r="M153" s="487"/>
      <c r="N153" s="487"/>
      <c r="O153" s="721"/>
      <c r="P153" s="511"/>
    </row>
    <row r="154" spans="1:23" s="490" customFormat="1" ht="25.5" customHeight="1">
      <c r="A154" s="484"/>
      <c r="B154" s="32"/>
      <c r="C154" s="33"/>
      <c r="D154" s="32"/>
      <c r="E154" s="32"/>
      <c r="F154" s="722"/>
      <c r="G154" s="484"/>
      <c r="H154" s="486"/>
      <c r="I154" s="484"/>
      <c r="J154" s="526"/>
      <c r="K154" s="526"/>
      <c r="L154" s="484"/>
      <c r="M154" s="487"/>
      <c r="N154" s="487"/>
      <c r="O154" s="721"/>
      <c r="P154" s="511"/>
    </row>
    <row r="155" spans="1:23" s="490" customFormat="1" ht="25.5" customHeight="1">
      <c r="A155" s="484"/>
      <c r="B155" s="26" t="s">
        <v>610</v>
      </c>
      <c r="C155" s="33"/>
      <c r="D155" s="32"/>
      <c r="E155" s="32"/>
      <c r="F155" s="722"/>
      <c r="G155" s="484"/>
      <c r="H155" s="486"/>
      <c r="I155" s="484"/>
      <c r="J155" s="526"/>
      <c r="K155" s="526"/>
      <c r="L155" s="484"/>
      <c r="M155" s="487"/>
      <c r="N155" s="487"/>
      <c r="O155" s="721"/>
      <c r="P155" s="511"/>
    </row>
    <row r="156" spans="1:23" s="490" customFormat="1" ht="25.5" customHeight="1">
      <c r="A156" s="484"/>
      <c r="B156" s="27" t="s">
        <v>190</v>
      </c>
      <c r="C156" s="33"/>
      <c r="D156" s="32"/>
      <c r="E156" s="32"/>
      <c r="F156" s="722"/>
      <c r="G156" s="484"/>
      <c r="H156" s="486"/>
      <c r="I156" s="484"/>
      <c r="J156" s="526"/>
      <c r="K156" s="526"/>
      <c r="L156" s="484"/>
      <c r="M156" s="487"/>
      <c r="N156" s="487"/>
      <c r="O156" s="721"/>
      <c r="P156" s="511"/>
    </row>
    <row r="157" spans="1:23" s="490" customFormat="1" ht="25.5" customHeight="1">
      <c r="A157" s="484"/>
      <c r="B157" s="723" t="s">
        <v>497</v>
      </c>
      <c r="C157" s="335"/>
      <c r="D157" s="335"/>
      <c r="E157" s="335"/>
      <c r="F157" s="724"/>
      <c r="G157" s="721"/>
      <c r="H157" s="725"/>
      <c r="I157" s="721"/>
      <c r="J157" s="856"/>
      <c r="K157" s="726"/>
      <c r="L157" s="721"/>
      <c r="M157" s="727"/>
      <c r="N157" s="727"/>
      <c r="O157" s="721"/>
      <c r="P157" s="511"/>
    </row>
    <row r="158" spans="1:23" s="571" customFormat="1" ht="25.5" customHeight="1">
      <c r="A158" s="729"/>
      <c r="B158" s="340"/>
      <c r="C158" s="335"/>
      <c r="D158" s="340"/>
      <c r="E158" s="340"/>
      <c r="F158" s="730"/>
      <c r="G158" s="721"/>
      <c r="H158" s="725"/>
      <c r="I158" s="721"/>
      <c r="J158" s="856"/>
      <c r="K158" s="726"/>
      <c r="L158" s="721"/>
      <c r="M158" s="727"/>
      <c r="N158" s="727"/>
      <c r="O158" s="729"/>
      <c r="P158" s="663"/>
      <c r="Q158" s="731"/>
      <c r="R158" s="606"/>
      <c r="S158" s="606"/>
      <c r="T158" s="606"/>
      <c r="U158" s="606"/>
      <c r="V158" s="606"/>
      <c r="W158" s="606"/>
    </row>
    <row r="159" spans="1:23" ht="25.5" customHeight="1">
      <c r="A159" s="477"/>
      <c r="B159" s="732" t="s">
        <v>611</v>
      </c>
      <c r="C159" s="344"/>
      <c r="D159" s="345"/>
      <c r="E159" s="344"/>
      <c r="F159" s="733"/>
      <c r="G159" s="733"/>
      <c r="H159" s="733"/>
      <c r="I159" s="733"/>
      <c r="J159" s="733"/>
      <c r="K159" s="734"/>
      <c r="L159" s="734"/>
      <c r="M159" s="733" t="s">
        <v>277</v>
      </c>
      <c r="N159" s="831"/>
      <c r="O159" s="736"/>
      <c r="P159" s="480"/>
      <c r="Q159" s="683"/>
    </row>
    <row r="160" spans="1:23" ht="25.5" customHeight="1">
      <c r="A160" s="477"/>
      <c r="B160" s="1089" t="s">
        <v>500</v>
      </c>
      <c r="C160" s="1089"/>
      <c r="D160" s="857"/>
      <c r="E160" s="351"/>
      <c r="F160" s="858"/>
      <c r="G160" s="739"/>
      <c r="H160" s="739"/>
      <c r="I160" s="739"/>
      <c r="J160" s="739"/>
      <c r="K160" s="859"/>
      <c r="L160" s="859"/>
      <c r="M160" s="739">
        <f>M86+M94+M60+M36+N101</f>
        <v>0</v>
      </c>
      <c r="N160" s="763"/>
      <c r="O160" s="477"/>
      <c r="P160" s="480"/>
      <c r="Q160" s="683"/>
    </row>
    <row r="161" spans="1:17" ht="25.5" customHeight="1">
      <c r="A161" s="477"/>
      <c r="B161" s="1090" t="s">
        <v>501</v>
      </c>
      <c r="C161" s="1090"/>
      <c r="D161" s="363"/>
      <c r="E161" s="364"/>
      <c r="F161" s="744"/>
      <c r="G161" s="745"/>
      <c r="H161" s="745"/>
      <c r="I161" s="745"/>
      <c r="J161" s="745"/>
      <c r="K161" s="860"/>
      <c r="L161" s="860"/>
      <c r="M161" s="745">
        <f>M122</f>
        <v>0</v>
      </c>
      <c r="N161" s="763"/>
      <c r="O161" s="477"/>
      <c r="P161" s="480"/>
      <c r="Q161" s="683"/>
    </row>
    <row r="162" spans="1:17" ht="25.5" customHeight="1">
      <c r="A162" s="477"/>
      <c r="B162" s="362" t="s">
        <v>502</v>
      </c>
      <c r="C162" s="861"/>
      <c r="D162" s="363"/>
      <c r="E162" s="364"/>
      <c r="F162" s="744"/>
      <c r="G162" s="745"/>
      <c r="H162" s="745"/>
      <c r="I162" s="745"/>
      <c r="J162" s="745"/>
      <c r="K162" s="860"/>
      <c r="L162" s="860"/>
      <c r="M162" s="745">
        <f>N137</f>
        <v>0</v>
      </c>
      <c r="N162" s="763"/>
      <c r="O162" s="477"/>
      <c r="P162" s="480"/>
      <c r="Q162" s="683"/>
    </row>
    <row r="163" spans="1:17" s="754" customFormat="1" ht="25.5" customHeight="1">
      <c r="A163" s="748"/>
      <c r="B163" s="1091" t="s">
        <v>612</v>
      </c>
      <c r="C163" s="1091"/>
      <c r="D163" s="384"/>
      <c r="E163" s="385"/>
      <c r="F163" s="750"/>
      <c r="G163" s="751"/>
      <c r="H163" s="751"/>
      <c r="I163" s="751"/>
      <c r="J163" s="751"/>
      <c r="K163" s="766"/>
      <c r="L163" s="766"/>
      <c r="M163" s="751">
        <f>N86+N94+N60+N36</f>
        <v>0</v>
      </c>
      <c r="N163" s="763"/>
      <c r="O163" s="748"/>
      <c r="P163" s="753"/>
    </row>
    <row r="164" spans="1:17" ht="25.5" customHeight="1">
      <c r="A164" s="477"/>
      <c r="B164" s="759" t="s">
        <v>62</v>
      </c>
      <c r="C164" s="862"/>
      <c r="D164" s="373"/>
      <c r="E164" s="373"/>
      <c r="F164" s="755"/>
      <c r="G164" s="756"/>
      <c r="H164" s="756"/>
      <c r="I164" s="756"/>
      <c r="J164" s="1088">
        <f>SUM(M160:M163)</f>
        <v>0</v>
      </c>
      <c r="K164" s="1088"/>
      <c r="L164" s="1088"/>
      <c r="M164" s="1088"/>
      <c r="N164" s="760"/>
      <c r="O164" s="477"/>
      <c r="P164" s="480"/>
    </row>
    <row r="165" spans="1:17" ht="25.5" customHeight="1">
      <c r="A165" s="477"/>
      <c r="B165" s="759"/>
      <c r="C165" s="862"/>
      <c r="D165" s="373"/>
      <c r="E165" s="373"/>
      <c r="F165" s="755"/>
      <c r="G165" s="756"/>
      <c r="H165" s="756"/>
      <c r="I165" s="756"/>
      <c r="J165" s="760"/>
      <c r="K165" s="760"/>
      <c r="L165" s="760"/>
      <c r="M165" s="760"/>
      <c r="N165" s="760"/>
      <c r="O165" s="477"/>
      <c r="P165" s="480"/>
    </row>
    <row r="166" spans="1:17" ht="25.5" customHeight="1">
      <c r="A166" s="477"/>
      <c r="B166" s="355" t="s">
        <v>613</v>
      </c>
      <c r="C166" s="861"/>
      <c r="D166" s="861"/>
      <c r="E166" s="364"/>
      <c r="F166" s="744"/>
      <c r="G166" s="745"/>
      <c r="H166" s="745"/>
      <c r="I166" s="745"/>
      <c r="J166" s="745"/>
      <c r="K166" s="746"/>
      <c r="L166" s="746"/>
      <c r="M166" s="745">
        <f>M160*0.88+M161+M162+M163</f>
        <v>0</v>
      </c>
      <c r="N166" s="763"/>
      <c r="O166" s="477"/>
      <c r="P166" s="480"/>
      <c r="Q166" s="683"/>
    </row>
    <row r="167" spans="1:17" ht="25.5" customHeight="1">
      <c r="A167" s="477"/>
      <c r="B167" s="355" t="s">
        <v>614</v>
      </c>
      <c r="C167" s="861"/>
      <c r="D167" s="861"/>
      <c r="E167" s="364"/>
      <c r="F167" s="744"/>
      <c r="G167" s="745"/>
      <c r="H167" s="745"/>
      <c r="I167" s="745"/>
      <c r="J167" s="745"/>
      <c r="K167" s="746"/>
      <c r="L167" s="746"/>
      <c r="M167" s="745">
        <f>M160*0.76+M161+M162+M163</f>
        <v>0</v>
      </c>
      <c r="N167" s="763"/>
      <c r="O167" s="477"/>
      <c r="P167" s="480"/>
      <c r="Q167" s="683"/>
    </row>
    <row r="168" spans="1:17" ht="25.5" customHeight="1">
      <c r="A168" s="477"/>
      <c r="B168" s="191"/>
      <c r="C168" s="186"/>
      <c r="D168" s="378"/>
      <c r="E168" s="282"/>
      <c r="F168" s="687"/>
      <c r="G168" s="761"/>
      <c r="H168" s="617"/>
      <c r="I168" s="617"/>
      <c r="J168" s="863"/>
      <c r="K168" s="617"/>
      <c r="L168" s="762"/>
      <c r="M168" s="763"/>
      <c r="N168" s="763"/>
      <c r="O168" s="477"/>
      <c r="P168" s="480"/>
    </row>
    <row r="169" spans="1:17" ht="25.5" customHeight="1">
      <c r="A169" s="764"/>
      <c r="B169" s="229"/>
      <c r="C169" s="864"/>
      <c r="D169" s="384"/>
      <c r="E169" s="385"/>
      <c r="F169" s="765"/>
      <c r="G169" s="751"/>
      <c r="H169" s="680"/>
      <c r="I169" s="680"/>
      <c r="J169" s="865"/>
      <c r="K169" s="680"/>
      <c r="L169" s="766"/>
      <c r="M169" s="767"/>
      <c r="N169" s="767"/>
      <c r="O169" s="769"/>
      <c r="P169" s="480"/>
    </row>
    <row r="170" spans="1:17" s="770" customFormat="1" ht="24" customHeight="1">
      <c r="B170" s="393"/>
      <c r="C170" s="401"/>
      <c r="D170" s="394"/>
      <c r="E170" s="395"/>
      <c r="F170" s="771"/>
      <c r="G170" s="772"/>
      <c r="H170" s="773"/>
      <c r="I170" s="773"/>
      <c r="J170" s="866"/>
      <c r="K170" s="773"/>
      <c r="L170" s="774"/>
      <c r="M170" s="775"/>
      <c r="N170" s="775"/>
    </row>
    <row r="171" spans="1:17" s="770" customFormat="1" ht="24" customHeight="1">
      <c r="B171" s="393"/>
      <c r="C171" s="401"/>
      <c r="D171" s="393"/>
      <c r="E171" s="393"/>
      <c r="F171" s="777"/>
      <c r="G171" s="778"/>
      <c r="H171" s="779"/>
      <c r="I171" s="779"/>
      <c r="J171" s="779"/>
      <c r="K171" s="779"/>
      <c r="L171" s="775"/>
      <c r="M171" s="775"/>
      <c r="N171" s="775"/>
    </row>
    <row r="172" spans="1:17" s="770" customFormat="1" ht="24" customHeight="1">
      <c r="B172" s="393"/>
      <c r="C172" s="401"/>
      <c r="D172" s="393"/>
      <c r="E172" s="393"/>
      <c r="F172" s="777"/>
      <c r="G172" s="778"/>
      <c r="H172" s="779"/>
      <c r="I172" s="779"/>
      <c r="J172" s="779"/>
      <c r="K172" s="779"/>
      <c r="L172" s="775"/>
      <c r="M172" s="775"/>
      <c r="N172" s="775"/>
    </row>
    <row r="173" spans="1:17" s="770" customFormat="1" ht="24" customHeight="1">
      <c r="B173" s="393"/>
      <c r="C173" s="401"/>
      <c r="D173" s="393"/>
      <c r="E173" s="393"/>
      <c r="F173" s="777"/>
      <c r="G173" s="778"/>
      <c r="H173" s="779"/>
      <c r="I173" s="779"/>
      <c r="J173" s="779"/>
      <c r="K173" s="779"/>
      <c r="L173" s="775"/>
      <c r="M173" s="775"/>
      <c r="N173" s="775"/>
    </row>
    <row r="174" spans="1:17" s="770" customFormat="1" ht="24" customHeight="1">
      <c r="B174" s="393"/>
      <c r="C174" s="401"/>
      <c r="D174" s="393"/>
      <c r="E174" s="393"/>
      <c r="F174" s="777"/>
      <c r="G174" s="778"/>
      <c r="H174" s="779"/>
      <c r="I174" s="779"/>
      <c r="J174" s="779"/>
      <c r="K174" s="779"/>
      <c r="L174" s="775"/>
      <c r="M174" s="775"/>
      <c r="N174" s="775"/>
    </row>
    <row r="175" spans="1:17" s="770" customFormat="1" ht="24" customHeight="1">
      <c r="B175" s="393"/>
      <c r="C175" s="401"/>
      <c r="D175" s="393"/>
      <c r="E175" s="393"/>
      <c r="F175" s="777"/>
      <c r="G175" s="778"/>
      <c r="H175" s="779"/>
      <c r="I175" s="779"/>
      <c r="J175" s="779"/>
      <c r="K175" s="779"/>
      <c r="L175" s="775"/>
      <c r="M175" s="775"/>
      <c r="N175" s="775"/>
    </row>
    <row r="176" spans="1:17" s="770" customFormat="1" ht="24" customHeight="1">
      <c r="B176" s="393"/>
      <c r="C176" s="401"/>
      <c r="D176" s="393"/>
      <c r="E176" s="393"/>
      <c r="F176" s="777"/>
      <c r="G176" s="778"/>
      <c r="H176" s="779"/>
      <c r="I176" s="779"/>
      <c r="J176" s="779"/>
      <c r="K176" s="779"/>
      <c r="L176" s="775"/>
      <c r="M176" s="775"/>
      <c r="N176" s="775"/>
    </row>
    <row r="177" spans="1:23" s="770" customFormat="1" ht="24" customHeight="1">
      <c r="B177" s="393"/>
      <c r="C177" s="401"/>
      <c r="D177" s="393"/>
      <c r="E177" s="393"/>
      <c r="F177" s="777"/>
      <c r="G177" s="778"/>
      <c r="H177" s="779"/>
      <c r="I177" s="779"/>
      <c r="J177" s="779"/>
      <c r="K177" s="779"/>
      <c r="L177" s="775"/>
      <c r="M177" s="775"/>
      <c r="N177" s="775"/>
    </row>
    <row r="178" spans="1:23" s="770" customFormat="1" ht="24" customHeight="1">
      <c r="B178" s="393"/>
      <c r="C178" s="401"/>
      <c r="D178" s="393"/>
      <c r="E178" s="393"/>
      <c r="F178" s="777"/>
      <c r="G178" s="778"/>
      <c r="H178" s="779"/>
      <c r="I178" s="779"/>
      <c r="J178" s="779"/>
      <c r="K178" s="779"/>
      <c r="L178" s="775"/>
      <c r="M178" s="775"/>
      <c r="N178" s="775"/>
    </row>
    <row r="179" spans="1:23" s="770" customFormat="1" ht="24" customHeight="1">
      <c r="B179" s="393"/>
      <c r="C179" s="401"/>
      <c r="D179" s="393"/>
      <c r="E179" s="393"/>
      <c r="F179" s="777"/>
      <c r="G179" s="778"/>
      <c r="H179" s="779"/>
      <c r="I179" s="779"/>
      <c r="J179" s="779"/>
      <c r="K179" s="779"/>
      <c r="L179" s="775"/>
      <c r="M179" s="775"/>
      <c r="N179" s="775"/>
    </row>
    <row r="180" spans="1:23" s="780" customFormat="1" ht="24" customHeight="1">
      <c r="A180" s="770"/>
      <c r="B180" s="393"/>
      <c r="C180" s="401"/>
      <c r="D180" s="393"/>
      <c r="E180" s="393"/>
      <c r="F180" s="777"/>
      <c r="G180" s="778"/>
      <c r="H180" s="779"/>
      <c r="I180" s="779"/>
      <c r="J180" s="779"/>
      <c r="K180" s="779"/>
      <c r="L180" s="775"/>
      <c r="M180" s="775"/>
      <c r="N180" s="775"/>
      <c r="O180" s="770"/>
      <c r="P180" s="770"/>
      <c r="Q180" s="770"/>
      <c r="R180" s="770"/>
      <c r="S180" s="770"/>
      <c r="T180" s="770"/>
      <c r="U180" s="770"/>
      <c r="V180" s="770"/>
      <c r="W180" s="770"/>
    </row>
    <row r="181" spans="1:23" s="770" customFormat="1" ht="24" customHeight="1">
      <c r="B181" s="393"/>
      <c r="C181" s="401"/>
      <c r="D181" s="393"/>
      <c r="E181" s="393"/>
      <c r="F181" s="777"/>
      <c r="G181" s="778"/>
      <c r="H181" s="779"/>
      <c r="I181" s="779"/>
      <c r="J181" s="779"/>
      <c r="K181" s="779"/>
      <c r="L181" s="775"/>
      <c r="M181" s="775"/>
      <c r="N181" s="775"/>
    </row>
    <row r="182" spans="1:23" s="770" customFormat="1" ht="24" customHeight="1">
      <c r="B182" s="393"/>
      <c r="C182" s="401"/>
      <c r="D182" s="393"/>
      <c r="E182" s="393"/>
      <c r="F182" s="777"/>
      <c r="G182" s="778"/>
      <c r="H182" s="779"/>
      <c r="I182" s="779"/>
      <c r="J182" s="779"/>
      <c r="K182" s="779"/>
      <c r="L182" s="775"/>
      <c r="M182" s="775"/>
      <c r="N182" s="775"/>
    </row>
    <row r="183" spans="1:23" s="770" customFormat="1" ht="24" customHeight="1">
      <c r="B183" s="393"/>
      <c r="C183" s="401"/>
      <c r="D183" s="393"/>
      <c r="E183" s="393"/>
      <c r="F183" s="777"/>
      <c r="G183" s="778"/>
      <c r="H183" s="779"/>
      <c r="I183" s="779"/>
      <c r="J183" s="779"/>
      <c r="K183" s="779"/>
      <c r="L183" s="775"/>
      <c r="M183" s="775"/>
      <c r="N183" s="775"/>
    </row>
    <row r="184" spans="1:23" s="770" customFormat="1" ht="24" customHeight="1">
      <c r="B184" s="393"/>
      <c r="C184" s="401"/>
      <c r="D184" s="393"/>
      <c r="E184" s="393"/>
      <c r="F184" s="777"/>
      <c r="G184" s="778"/>
      <c r="H184" s="779"/>
      <c r="I184" s="779"/>
      <c r="J184" s="779"/>
      <c r="K184" s="779"/>
      <c r="L184" s="775"/>
      <c r="M184" s="775"/>
      <c r="N184" s="775"/>
    </row>
    <row r="185" spans="1:23" s="770" customFormat="1" ht="24" customHeight="1">
      <c r="B185" s="393"/>
      <c r="C185" s="401"/>
      <c r="D185" s="393"/>
      <c r="E185" s="393"/>
      <c r="F185" s="777"/>
      <c r="G185" s="778"/>
      <c r="H185" s="779"/>
      <c r="I185" s="779"/>
      <c r="J185" s="779"/>
      <c r="K185" s="779"/>
      <c r="L185" s="775"/>
      <c r="M185" s="775"/>
      <c r="N185" s="775"/>
    </row>
    <row r="186" spans="1:23" s="770" customFormat="1" ht="24" customHeight="1">
      <c r="B186" s="393"/>
      <c r="C186" s="401"/>
      <c r="D186" s="393"/>
      <c r="E186" s="393"/>
      <c r="F186" s="777"/>
      <c r="G186" s="778"/>
      <c r="H186" s="779"/>
      <c r="I186" s="779"/>
      <c r="J186" s="779"/>
      <c r="K186" s="779"/>
      <c r="L186" s="775"/>
      <c r="M186" s="775"/>
      <c r="N186" s="775"/>
    </row>
    <row r="187" spans="1:23" s="770" customFormat="1" ht="24" customHeight="1">
      <c r="B187" s="393"/>
      <c r="C187" s="401"/>
      <c r="D187" s="393"/>
      <c r="E187" s="393"/>
      <c r="F187" s="777"/>
      <c r="G187" s="778"/>
      <c r="H187" s="779"/>
      <c r="I187" s="779"/>
      <c r="J187" s="779"/>
      <c r="K187" s="779"/>
      <c r="L187" s="775"/>
      <c r="M187" s="775"/>
      <c r="N187" s="775"/>
    </row>
    <row r="188" spans="1:23" s="770" customFormat="1" ht="24" customHeight="1">
      <c r="B188" s="393"/>
      <c r="C188" s="401"/>
      <c r="D188" s="393"/>
      <c r="E188" s="393"/>
      <c r="F188" s="777"/>
      <c r="G188" s="778"/>
      <c r="H188" s="779"/>
      <c r="I188" s="779"/>
      <c r="J188" s="779"/>
      <c r="K188" s="779"/>
      <c r="L188" s="775"/>
      <c r="M188" s="775"/>
      <c r="N188" s="775"/>
    </row>
    <row r="189" spans="1:23" s="770" customFormat="1" ht="24" customHeight="1">
      <c r="B189" s="393"/>
      <c r="C189" s="401"/>
      <c r="D189" s="393"/>
      <c r="E189" s="393"/>
      <c r="F189" s="777"/>
      <c r="G189" s="778"/>
      <c r="H189" s="779"/>
      <c r="I189" s="779"/>
      <c r="J189" s="779"/>
      <c r="K189" s="779"/>
      <c r="L189" s="775"/>
      <c r="M189" s="775"/>
      <c r="N189" s="775"/>
    </row>
    <row r="190" spans="1:23" s="770" customFormat="1" ht="24" customHeight="1">
      <c r="B190" s="393"/>
      <c r="C190" s="401"/>
      <c r="D190" s="393"/>
      <c r="E190" s="393"/>
      <c r="F190" s="777"/>
      <c r="G190" s="778"/>
      <c r="H190" s="779"/>
      <c r="I190" s="779"/>
      <c r="J190" s="779"/>
      <c r="K190" s="779"/>
      <c r="L190" s="775"/>
      <c r="M190" s="775"/>
      <c r="N190" s="775"/>
    </row>
    <row r="191" spans="1:23" s="770" customFormat="1" ht="24" customHeight="1">
      <c r="B191" s="393"/>
      <c r="C191" s="401"/>
      <c r="D191" s="393"/>
      <c r="E191" s="393"/>
      <c r="F191" s="777"/>
      <c r="G191" s="778"/>
      <c r="H191" s="779"/>
      <c r="I191" s="779"/>
      <c r="J191" s="779"/>
      <c r="K191" s="779"/>
      <c r="L191" s="775"/>
      <c r="M191" s="775"/>
      <c r="N191" s="775"/>
    </row>
    <row r="192" spans="1:23" s="770" customFormat="1" ht="24" customHeight="1">
      <c r="B192" s="393"/>
      <c r="C192" s="401"/>
      <c r="D192" s="393"/>
      <c r="E192" s="393"/>
      <c r="F192" s="777"/>
      <c r="G192" s="778"/>
      <c r="H192" s="779"/>
      <c r="I192" s="779"/>
      <c r="J192" s="779"/>
      <c r="K192" s="779"/>
      <c r="L192" s="775"/>
      <c r="M192" s="775"/>
      <c r="N192" s="775"/>
    </row>
    <row r="193" spans="2:14" s="770" customFormat="1" ht="24" customHeight="1">
      <c r="B193" s="393"/>
      <c r="C193" s="401"/>
      <c r="D193" s="393"/>
      <c r="E193" s="393"/>
      <c r="F193" s="777"/>
      <c r="G193" s="778"/>
      <c r="H193" s="779"/>
      <c r="I193" s="779"/>
      <c r="J193" s="779"/>
      <c r="K193" s="779"/>
      <c r="L193" s="775"/>
      <c r="M193" s="775"/>
      <c r="N193" s="775"/>
    </row>
    <row r="194" spans="2:14" s="770" customFormat="1" ht="24" customHeight="1">
      <c r="B194" s="393"/>
      <c r="C194" s="401"/>
      <c r="D194" s="393"/>
      <c r="E194" s="393"/>
      <c r="F194" s="777"/>
      <c r="G194" s="778"/>
      <c r="H194" s="779"/>
      <c r="I194" s="779"/>
      <c r="J194" s="779"/>
      <c r="K194" s="779"/>
      <c r="L194" s="775"/>
      <c r="M194" s="775"/>
      <c r="N194" s="775"/>
    </row>
    <row r="195" spans="2:14" s="770" customFormat="1" ht="25.5" customHeight="1">
      <c r="B195" s="393"/>
      <c r="C195" s="401"/>
      <c r="D195" s="393"/>
      <c r="E195" s="393"/>
      <c r="F195" s="777"/>
      <c r="G195" s="778"/>
      <c r="H195" s="779"/>
      <c r="I195" s="779"/>
      <c r="J195" s="779"/>
      <c r="K195" s="779"/>
      <c r="L195" s="775"/>
      <c r="M195" s="775"/>
      <c r="N195" s="775"/>
    </row>
    <row r="196" spans="2:14" s="770" customFormat="1" ht="25.5" customHeight="1">
      <c r="B196" s="393"/>
      <c r="C196" s="401"/>
      <c r="D196" s="393"/>
      <c r="E196" s="393"/>
      <c r="F196" s="777"/>
      <c r="G196" s="778"/>
      <c r="H196" s="779"/>
      <c r="I196" s="779"/>
      <c r="J196" s="779"/>
      <c r="K196" s="779"/>
      <c r="L196" s="775"/>
      <c r="M196" s="775"/>
      <c r="N196" s="775"/>
    </row>
    <row r="197" spans="2:14" s="770" customFormat="1" ht="25.5" customHeight="1">
      <c r="B197" s="393"/>
      <c r="C197" s="401"/>
      <c r="D197" s="393"/>
      <c r="E197" s="393"/>
      <c r="F197" s="777"/>
      <c r="G197" s="778"/>
      <c r="H197" s="779"/>
      <c r="I197" s="779"/>
      <c r="J197" s="779"/>
      <c r="K197" s="779"/>
      <c r="L197" s="775"/>
      <c r="M197" s="775"/>
      <c r="N197" s="775"/>
    </row>
    <row r="198" spans="2:14" s="770" customFormat="1" ht="25.5" customHeight="1">
      <c r="B198" s="393"/>
      <c r="C198" s="401"/>
      <c r="D198" s="393"/>
      <c r="E198" s="393"/>
      <c r="F198" s="777"/>
      <c r="G198" s="778"/>
      <c r="H198" s="779"/>
      <c r="I198" s="779"/>
      <c r="J198" s="779"/>
      <c r="K198" s="779"/>
      <c r="L198" s="775"/>
      <c r="M198" s="775"/>
      <c r="N198" s="775"/>
    </row>
    <row r="199" spans="2:14" s="770" customFormat="1" ht="25.5" customHeight="1">
      <c r="B199" s="393"/>
      <c r="C199" s="401"/>
      <c r="D199" s="393"/>
      <c r="E199" s="393"/>
      <c r="F199" s="777"/>
      <c r="G199" s="778"/>
      <c r="H199" s="779"/>
      <c r="I199" s="779"/>
      <c r="J199" s="779"/>
      <c r="K199" s="779"/>
      <c r="L199" s="775"/>
      <c r="M199" s="775"/>
      <c r="N199" s="775"/>
    </row>
    <row r="200" spans="2:14" s="770" customFormat="1" ht="25.5" customHeight="1">
      <c r="B200" s="393"/>
      <c r="C200" s="401"/>
      <c r="D200" s="401"/>
      <c r="E200" s="401"/>
      <c r="K200" s="779"/>
      <c r="M200" s="835"/>
    </row>
    <row r="201" spans="2:14" s="770" customFormat="1" ht="25.5" customHeight="1">
      <c r="B201" s="393"/>
      <c r="C201" s="401"/>
      <c r="D201" s="401"/>
      <c r="E201" s="401"/>
      <c r="K201" s="779"/>
      <c r="M201" s="835"/>
    </row>
    <row r="202" spans="2:14" s="770" customFormat="1" ht="25.5" customHeight="1">
      <c r="B202" s="393"/>
      <c r="C202" s="401"/>
      <c r="D202" s="401"/>
      <c r="E202" s="401"/>
      <c r="K202" s="779"/>
      <c r="M202" s="835"/>
    </row>
    <row r="203" spans="2:14" s="770" customFormat="1" ht="25.5" customHeight="1">
      <c r="B203" s="393"/>
      <c r="C203" s="401"/>
      <c r="D203" s="401"/>
      <c r="E203" s="401"/>
      <c r="K203" s="779"/>
      <c r="M203" s="835"/>
    </row>
    <row r="204" spans="2:14" s="770" customFormat="1" ht="25.5" customHeight="1">
      <c r="B204" s="393"/>
      <c r="C204" s="401"/>
      <c r="D204" s="401"/>
      <c r="E204" s="401"/>
      <c r="K204" s="779"/>
      <c r="M204" s="835"/>
    </row>
    <row r="205" spans="2:14" s="770" customFormat="1" ht="25.5" customHeight="1">
      <c r="B205" s="393"/>
      <c r="C205" s="401"/>
      <c r="D205" s="401"/>
      <c r="E205" s="401"/>
      <c r="K205" s="779"/>
      <c r="M205" s="835"/>
    </row>
    <row r="206" spans="2:14" s="770" customFormat="1" ht="25.5" customHeight="1">
      <c r="B206" s="393"/>
      <c r="C206" s="401"/>
      <c r="D206" s="401"/>
      <c r="E206" s="401"/>
      <c r="K206" s="779"/>
      <c r="M206" s="835"/>
    </row>
    <row r="207" spans="2:14" s="770" customFormat="1" ht="25.5" customHeight="1">
      <c r="B207" s="393"/>
      <c r="C207" s="401"/>
      <c r="D207" s="401"/>
      <c r="E207" s="401"/>
      <c r="K207" s="779"/>
      <c r="M207" s="835"/>
    </row>
    <row r="208" spans="2:14" s="770" customFormat="1" ht="25.5" customHeight="1">
      <c r="B208" s="393"/>
      <c r="C208" s="401"/>
      <c r="D208" s="401"/>
      <c r="E208" s="401"/>
      <c r="K208" s="779"/>
      <c r="M208" s="835"/>
    </row>
    <row r="209" spans="2:13" s="770" customFormat="1" ht="25.5" customHeight="1">
      <c r="B209" s="393"/>
      <c r="C209" s="401"/>
      <c r="D209" s="401"/>
      <c r="E209" s="401"/>
      <c r="K209" s="779"/>
      <c r="M209" s="835"/>
    </row>
    <row r="210" spans="2:13" s="770" customFormat="1" ht="25.5" customHeight="1">
      <c r="B210" s="393"/>
      <c r="C210" s="401"/>
      <c r="D210" s="401"/>
      <c r="E210" s="401"/>
      <c r="K210" s="779"/>
      <c r="M210" s="835"/>
    </row>
    <row r="211" spans="2:13" s="770" customFormat="1" ht="25.5" customHeight="1">
      <c r="B211" s="393"/>
      <c r="C211" s="401"/>
      <c r="D211" s="401"/>
      <c r="E211" s="401"/>
      <c r="K211" s="779"/>
      <c r="M211" s="835"/>
    </row>
    <row r="212" spans="2:13" s="770" customFormat="1" ht="25.5" customHeight="1">
      <c r="B212" s="393"/>
      <c r="C212" s="401"/>
      <c r="D212" s="401"/>
      <c r="E212" s="401"/>
      <c r="K212" s="779"/>
      <c r="M212" s="835"/>
    </row>
    <row r="213" spans="2:13" s="770" customFormat="1" ht="25.5" customHeight="1">
      <c r="B213" s="393"/>
      <c r="C213" s="401"/>
      <c r="D213" s="401"/>
      <c r="E213" s="401"/>
      <c r="K213" s="779"/>
      <c r="M213" s="835"/>
    </row>
    <row r="214" spans="2:13" s="770" customFormat="1" ht="25.5" customHeight="1">
      <c r="B214" s="393"/>
      <c r="C214" s="401"/>
      <c r="D214" s="401"/>
      <c r="E214" s="401"/>
      <c r="K214" s="779"/>
      <c r="M214" s="835"/>
    </row>
    <row r="215" spans="2:13" s="770" customFormat="1" ht="25.5" customHeight="1">
      <c r="B215" s="393"/>
      <c r="C215" s="401"/>
      <c r="D215" s="401"/>
      <c r="E215" s="401"/>
      <c r="K215" s="779"/>
      <c r="M215" s="835"/>
    </row>
    <row r="216" spans="2:13" s="770" customFormat="1" ht="25.5" customHeight="1">
      <c r="B216" s="393"/>
      <c r="C216" s="401"/>
      <c r="D216" s="401"/>
      <c r="E216" s="401"/>
      <c r="K216" s="779"/>
      <c r="M216" s="835"/>
    </row>
    <row r="217" spans="2:13" s="770" customFormat="1" ht="25.5" customHeight="1">
      <c r="B217" s="393"/>
      <c r="C217" s="401"/>
      <c r="D217" s="401"/>
      <c r="E217" s="401"/>
      <c r="K217" s="779"/>
      <c r="M217" s="835"/>
    </row>
    <row r="218" spans="2:13" s="770" customFormat="1" ht="25.5" customHeight="1">
      <c r="B218" s="393"/>
      <c r="C218" s="401"/>
      <c r="D218" s="401"/>
      <c r="E218" s="401"/>
      <c r="K218" s="779"/>
      <c r="M218" s="835"/>
    </row>
    <row r="219" spans="2:13" s="770" customFormat="1" ht="25.5" customHeight="1">
      <c r="B219" s="393"/>
      <c r="C219" s="401"/>
      <c r="D219" s="401"/>
      <c r="E219" s="401"/>
      <c r="K219" s="779"/>
      <c r="M219" s="835"/>
    </row>
    <row r="220" spans="2:13" s="770" customFormat="1" ht="25.5" customHeight="1">
      <c r="B220" s="393"/>
      <c r="C220" s="401"/>
      <c r="D220" s="401"/>
      <c r="E220" s="401"/>
      <c r="K220" s="779"/>
      <c r="M220" s="835"/>
    </row>
    <row r="221" spans="2:13" s="770" customFormat="1" ht="25.5" customHeight="1">
      <c r="B221" s="393"/>
      <c r="C221" s="401"/>
      <c r="D221" s="401"/>
      <c r="E221" s="401"/>
      <c r="K221" s="779"/>
      <c r="M221" s="835"/>
    </row>
    <row r="222" spans="2:13" s="770" customFormat="1" ht="25.5" customHeight="1">
      <c r="B222" s="393"/>
      <c r="C222" s="401"/>
      <c r="D222" s="401"/>
      <c r="E222" s="401"/>
      <c r="K222" s="779"/>
      <c r="M222" s="835"/>
    </row>
    <row r="223" spans="2:13" s="770" customFormat="1" ht="25.5" customHeight="1">
      <c r="B223" s="393"/>
      <c r="C223" s="401"/>
      <c r="D223" s="401"/>
      <c r="E223" s="401"/>
      <c r="K223" s="779"/>
      <c r="M223" s="835"/>
    </row>
    <row r="224" spans="2:13" s="770" customFormat="1" ht="25.5" customHeight="1">
      <c r="B224" s="393"/>
      <c r="C224" s="401"/>
      <c r="D224" s="401"/>
      <c r="E224" s="401"/>
      <c r="K224" s="779"/>
      <c r="M224" s="835"/>
    </row>
    <row r="225" spans="2:13" s="770" customFormat="1" ht="25.5" customHeight="1">
      <c r="B225" s="393"/>
      <c r="C225" s="401"/>
      <c r="D225" s="401"/>
      <c r="E225" s="401"/>
      <c r="K225" s="779"/>
      <c r="M225" s="835"/>
    </row>
    <row r="226" spans="2:13" s="770" customFormat="1" ht="25.5" customHeight="1">
      <c r="B226" s="393"/>
      <c r="C226" s="401"/>
      <c r="D226" s="401"/>
      <c r="E226" s="401"/>
      <c r="K226" s="779"/>
      <c r="M226" s="835"/>
    </row>
    <row r="227" spans="2:13" s="770" customFormat="1" ht="25.5" customHeight="1">
      <c r="B227" s="393"/>
      <c r="C227" s="401"/>
      <c r="D227" s="401"/>
      <c r="E227" s="401"/>
      <c r="K227" s="779"/>
      <c r="M227" s="835"/>
    </row>
    <row r="228" spans="2:13" s="770" customFormat="1" ht="25.5" customHeight="1">
      <c r="B228" s="393"/>
      <c r="C228" s="401"/>
      <c r="D228" s="401"/>
      <c r="E228" s="401"/>
      <c r="K228" s="779"/>
      <c r="M228" s="835"/>
    </row>
    <row r="229" spans="2:13" s="770" customFormat="1" ht="25.5" customHeight="1">
      <c r="B229" s="393"/>
      <c r="C229" s="401"/>
      <c r="D229" s="401"/>
      <c r="E229" s="401"/>
      <c r="K229" s="779"/>
      <c r="M229" s="835"/>
    </row>
    <row r="230" spans="2:13" s="770" customFormat="1" ht="25.5" customHeight="1">
      <c r="B230" s="393"/>
      <c r="C230" s="401"/>
      <c r="D230" s="401"/>
      <c r="E230" s="401"/>
      <c r="K230" s="779"/>
      <c r="M230" s="835"/>
    </row>
    <row r="231" spans="2:13" s="770" customFormat="1" ht="25.5" customHeight="1">
      <c r="B231" s="393"/>
      <c r="C231" s="401"/>
      <c r="D231" s="401"/>
      <c r="E231" s="401"/>
      <c r="K231" s="779"/>
      <c r="M231" s="835"/>
    </row>
    <row r="232" spans="2:13" s="770" customFormat="1" ht="25.5" customHeight="1">
      <c r="B232" s="393"/>
      <c r="C232" s="401"/>
      <c r="D232" s="401"/>
      <c r="E232" s="401"/>
      <c r="K232" s="779"/>
      <c r="M232" s="835"/>
    </row>
    <row r="233" spans="2:13" s="770" customFormat="1" ht="25.5" customHeight="1">
      <c r="B233" s="393"/>
      <c r="C233" s="401"/>
      <c r="D233" s="401"/>
      <c r="E233" s="401"/>
      <c r="K233" s="779"/>
      <c r="M233" s="835"/>
    </row>
    <row r="234" spans="2:13" s="770" customFormat="1" ht="25.5" customHeight="1">
      <c r="B234" s="393"/>
      <c r="C234" s="401"/>
      <c r="D234" s="401"/>
      <c r="E234" s="401"/>
      <c r="K234" s="779"/>
      <c r="M234" s="835"/>
    </row>
    <row r="235" spans="2:13" s="770" customFormat="1" ht="25.5" customHeight="1">
      <c r="B235" s="393"/>
      <c r="C235" s="401"/>
      <c r="D235" s="401"/>
      <c r="E235" s="401"/>
      <c r="K235" s="779"/>
      <c r="M235" s="835"/>
    </row>
    <row r="236" spans="2:13" s="770" customFormat="1" ht="25.5" customHeight="1">
      <c r="B236" s="393"/>
      <c r="C236" s="401"/>
      <c r="D236" s="401"/>
      <c r="E236" s="401"/>
      <c r="K236" s="779"/>
      <c r="M236" s="835"/>
    </row>
    <row r="237" spans="2:13" s="770" customFormat="1" ht="25.5" customHeight="1">
      <c r="B237" s="393"/>
      <c r="C237" s="401"/>
      <c r="D237" s="401"/>
      <c r="E237" s="401"/>
      <c r="K237" s="779"/>
      <c r="M237" s="835"/>
    </row>
    <row r="238" spans="2:13" s="770" customFormat="1" ht="25.5" customHeight="1">
      <c r="B238" s="393"/>
      <c r="C238" s="401"/>
      <c r="D238" s="401"/>
      <c r="E238" s="401"/>
      <c r="K238" s="779"/>
      <c r="M238" s="835"/>
    </row>
    <row r="239" spans="2:13" s="770" customFormat="1" ht="25.5" customHeight="1">
      <c r="B239" s="393"/>
      <c r="C239" s="401"/>
      <c r="D239" s="401"/>
      <c r="E239" s="401"/>
      <c r="K239" s="779"/>
      <c r="M239" s="835"/>
    </row>
    <row r="240" spans="2:13" s="770" customFormat="1" ht="25.5" customHeight="1">
      <c r="B240" s="393"/>
      <c r="C240" s="401"/>
      <c r="D240" s="401"/>
      <c r="E240" s="401"/>
      <c r="K240" s="779"/>
      <c r="M240" s="835"/>
    </row>
    <row r="241" spans="2:13" s="770" customFormat="1" ht="25.5" customHeight="1">
      <c r="B241" s="393"/>
      <c r="C241" s="401"/>
      <c r="D241" s="401"/>
      <c r="E241" s="401"/>
      <c r="K241" s="779"/>
      <c r="M241" s="835"/>
    </row>
    <row r="242" spans="2:13" s="770" customFormat="1" ht="25.5" customHeight="1">
      <c r="B242" s="393"/>
      <c r="C242" s="401"/>
      <c r="D242" s="401"/>
      <c r="E242" s="401"/>
      <c r="K242" s="779"/>
      <c r="M242" s="835"/>
    </row>
    <row r="243" spans="2:13" s="770" customFormat="1" ht="25.5" customHeight="1">
      <c r="B243" s="393"/>
      <c r="C243" s="401"/>
      <c r="D243" s="401"/>
      <c r="E243" s="401"/>
      <c r="K243" s="779"/>
      <c r="M243" s="835"/>
    </row>
    <row r="244" spans="2:13" s="770" customFormat="1" ht="25.5" customHeight="1">
      <c r="B244" s="393"/>
      <c r="C244" s="401"/>
      <c r="D244" s="401"/>
      <c r="E244" s="401"/>
      <c r="K244" s="779"/>
      <c r="M244" s="835"/>
    </row>
    <row r="245" spans="2:13" s="770" customFormat="1" ht="25.5" customHeight="1">
      <c r="B245" s="393"/>
      <c r="C245" s="401"/>
      <c r="D245" s="401"/>
      <c r="E245" s="401"/>
      <c r="K245" s="779"/>
      <c r="M245" s="835"/>
    </row>
    <row r="246" spans="2:13" s="770" customFormat="1" ht="25.5" customHeight="1">
      <c r="B246" s="393"/>
      <c r="C246" s="401"/>
      <c r="D246" s="401"/>
      <c r="E246" s="401"/>
      <c r="K246" s="779"/>
      <c r="M246" s="835"/>
    </row>
    <row r="247" spans="2:13" s="770" customFormat="1" ht="25.5" customHeight="1">
      <c r="B247" s="393"/>
      <c r="C247" s="401"/>
      <c r="D247" s="401"/>
      <c r="E247" s="401"/>
      <c r="K247" s="779"/>
      <c r="M247" s="835"/>
    </row>
    <row r="248" spans="2:13" s="770" customFormat="1" ht="25.5" customHeight="1">
      <c r="B248" s="393"/>
      <c r="C248" s="401"/>
      <c r="D248" s="401"/>
      <c r="E248" s="401"/>
      <c r="K248" s="779"/>
      <c r="M248" s="835"/>
    </row>
    <row r="249" spans="2:13" s="770" customFormat="1" ht="25.5" customHeight="1">
      <c r="B249" s="393"/>
      <c r="C249" s="401"/>
      <c r="D249" s="401"/>
      <c r="E249" s="401"/>
      <c r="K249" s="779"/>
      <c r="M249" s="835"/>
    </row>
    <row r="250" spans="2:13" s="770" customFormat="1" ht="25.5" customHeight="1">
      <c r="B250" s="393"/>
      <c r="C250" s="401"/>
      <c r="D250" s="401"/>
      <c r="E250" s="401"/>
      <c r="K250" s="779"/>
      <c r="M250" s="835"/>
    </row>
    <row r="262" spans="2:4" ht="25.5" customHeight="1">
      <c r="B262" s="197"/>
      <c r="C262" s="54"/>
      <c r="D262" s="170"/>
    </row>
  </sheetData>
  <mergeCells count="58">
    <mergeCell ref="J164:M164"/>
    <mergeCell ref="B150:G152"/>
    <mergeCell ref="B153:F153"/>
    <mergeCell ref="B160:C160"/>
    <mergeCell ref="B161:C161"/>
    <mergeCell ref="B163:C163"/>
    <mergeCell ref="F134:G134"/>
    <mergeCell ref="J134:K134"/>
    <mergeCell ref="F135:G135"/>
    <mergeCell ref="J135:K135"/>
    <mergeCell ref="F136:G136"/>
    <mergeCell ref="J136:K136"/>
    <mergeCell ref="B129:F129"/>
    <mergeCell ref="B130:F130"/>
    <mergeCell ref="C133:D133"/>
    <mergeCell ref="F133:G133"/>
    <mergeCell ref="J133:K133"/>
    <mergeCell ref="F120:G120"/>
    <mergeCell ref="F121:G121"/>
    <mergeCell ref="M121:N121"/>
    <mergeCell ref="M122:N122"/>
    <mergeCell ref="B126:G128"/>
    <mergeCell ref="D116:E116"/>
    <mergeCell ref="F116:G116"/>
    <mergeCell ref="H116:I116"/>
    <mergeCell ref="J116:K116"/>
    <mergeCell ref="D117:E117"/>
    <mergeCell ref="F117:G117"/>
    <mergeCell ref="H117:I117"/>
    <mergeCell ref="J117:K117"/>
    <mergeCell ref="D114:E114"/>
    <mergeCell ref="F114:G114"/>
    <mergeCell ref="H114:I114"/>
    <mergeCell ref="J114:K114"/>
    <mergeCell ref="D115:E115"/>
    <mergeCell ref="F115:G115"/>
    <mergeCell ref="H115:I115"/>
    <mergeCell ref="J115:K115"/>
    <mergeCell ref="J112:K112"/>
    <mergeCell ref="D113:E113"/>
    <mergeCell ref="F113:G113"/>
    <mergeCell ref="H113:I113"/>
    <mergeCell ref="J113:K113"/>
    <mergeCell ref="B108:F108"/>
    <mergeCell ref="B109:F109"/>
    <mergeCell ref="D112:E112"/>
    <mergeCell ref="F112:G112"/>
    <mergeCell ref="H112:I112"/>
    <mergeCell ref="F99:G99"/>
    <mergeCell ref="H99:I99"/>
    <mergeCell ref="F100:G100"/>
    <mergeCell ref="H100:I100"/>
    <mergeCell ref="B105:G107"/>
    <mergeCell ref="B4:C4"/>
    <mergeCell ref="B15:G17"/>
    <mergeCell ref="B19:F19"/>
    <mergeCell ref="F98:G98"/>
    <mergeCell ref="H98:I98"/>
  </mergeCells>
  <conditionalFormatting sqref="H121">
    <cfRule type="cellIs" dxfId="25" priority="12" operator="greaterThan">
      <formula>0</formula>
    </cfRule>
  </conditionalFormatting>
  <conditionalFormatting sqref="H134:H136">
    <cfRule type="cellIs" dxfId="24" priority="10" operator="greaterThan">
      <formula>0</formula>
    </cfRule>
  </conditionalFormatting>
  <conditionalFormatting sqref="I41:I59">
    <cfRule type="cellIs" dxfId="23" priority="5" operator="lessThan">
      <formula>$J41</formula>
    </cfRule>
  </conditionalFormatting>
  <conditionalFormatting sqref="I65:I85 I25:I35">
    <cfRule type="cellIs" dxfId="22" priority="11" operator="lessThan">
      <formula>$J25</formula>
    </cfRule>
  </conditionalFormatting>
  <conditionalFormatting sqref="I91:J93">
    <cfRule type="cellIs" dxfId="21" priority="8" operator="lessThan">
      <formula>$J91</formula>
    </cfRule>
  </conditionalFormatting>
  <conditionalFormatting sqref="I25:K35">
    <cfRule type="cellIs" dxfId="20" priority="13" operator="greaterThan">
      <formula>0</formula>
    </cfRule>
  </conditionalFormatting>
  <conditionalFormatting sqref="I41:K59">
    <cfRule type="cellIs" dxfId="19" priority="4" operator="greaterThan">
      <formula>0</formula>
    </cfRule>
  </conditionalFormatting>
  <conditionalFormatting sqref="I65:K85">
    <cfRule type="cellIs" dxfId="18" priority="3" operator="greaterThan">
      <formula>0</formula>
    </cfRule>
  </conditionalFormatting>
  <conditionalFormatting sqref="I91:K93">
    <cfRule type="cellIs" dxfId="17" priority="6" operator="greaterThan">
      <formula>0</formula>
    </cfRule>
  </conditionalFormatting>
  <conditionalFormatting sqref="J99:J136">
    <cfRule type="cellIs" dxfId="16" priority="9" operator="greaterThan">
      <formula>0</formula>
    </cfRule>
  </conditionalFormatting>
  <conditionalFormatting sqref="M25:N35 M39:N39">
    <cfRule type="cellIs" dxfId="15" priority="14" operator="greaterThan">
      <formula>0</formula>
    </cfRule>
  </conditionalFormatting>
  <conditionalFormatting sqref="M41:N85">
    <cfRule type="cellIs" dxfId="14" priority="2" operator="greaterThan">
      <formula>0</formula>
    </cfRule>
  </conditionalFormatting>
  <conditionalFormatting sqref="M91:N93">
    <cfRule type="cellIs" dxfId="13" priority="7" operator="greaterThan">
      <formula>0</formula>
    </cfRule>
  </conditionalFormatting>
  <hyperlinks>
    <hyperlink ref="B10" r:id="rId1" xr:uid="{00000000-0004-0000-0500-000000000000}"/>
    <hyperlink ref="B157" r:id="rId2" xr:uid="{00000000-0004-0000-0500-000001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F326"/>
  <sheetViews>
    <sheetView showGridLines="0" zoomScaleNormal="100" workbookViewId="0">
      <selection activeCell="I25" sqref="I25"/>
    </sheetView>
  </sheetViews>
  <sheetFormatPr baseColWidth="10" defaultColWidth="15" defaultRowHeight="25" customHeight="1"/>
  <cols>
    <col min="1" max="1" width="11.83203125" style="10" customWidth="1"/>
    <col min="2" max="2" width="30.83203125" style="11" customWidth="1"/>
    <col min="3" max="10" width="14.83203125" style="12" customWidth="1"/>
    <col min="11" max="11" width="14.83203125" style="13" customWidth="1"/>
    <col min="12" max="12" width="14.83203125" style="12" customWidth="1"/>
    <col min="13" max="13" width="14.83203125" style="14" customWidth="1"/>
    <col min="14" max="14" width="14.83203125" style="12" customWidth="1"/>
    <col min="15" max="16384" width="15" style="12"/>
  </cols>
  <sheetData>
    <row r="1" spans="1:26" ht="25" customHeight="1">
      <c r="A1" s="15"/>
      <c r="B1" s="16"/>
      <c r="C1" s="9"/>
      <c r="D1" s="17"/>
      <c r="E1" s="17"/>
      <c r="F1" s="17"/>
      <c r="G1" s="17"/>
      <c r="H1" s="17"/>
      <c r="I1" s="17"/>
      <c r="J1" s="17"/>
      <c r="K1" s="18"/>
      <c r="L1" s="19"/>
      <c r="M1" s="20"/>
    </row>
    <row r="2" spans="1:26" ht="25" customHeight="1">
      <c r="A2" s="15"/>
      <c r="B2" s="16"/>
      <c r="C2" s="9"/>
      <c r="D2" s="17"/>
      <c r="E2" s="17"/>
      <c r="F2" s="17"/>
      <c r="G2" s="17"/>
      <c r="H2" s="17"/>
      <c r="I2" s="17"/>
      <c r="J2" s="17"/>
      <c r="K2" s="18"/>
      <c r="L2" s="19"/>
      <c r="M2" s="20"/>
    </row>
    <row r="3" spans="1:26" ht="25" customHeight="1">
      <c r="A3" s="15"/>
      <c r="B3" s="16"/>
      <c r="C3" s="9"/>
      <c r="D3" s="17"/>
      <c r="E3" s="17"/>
      <c r="F3" s="17"/>
      <c r="G3" s="17"/>
      <c r="H3" s="17"/>
      <c r="I3" s="17"/>
      <c r="J3" s="17"/>
      <c r="K3" s="18"/>
      <c r="L3" s="19"/>
      <c r="M3" s="20"/>
    </row>
    <row r="4" spans="1:26" ht="25" customHeight="1">
      <c r="A4" s="15"/>
      <c r="B4" s="983"/>
      <c r="C4" s="983"/>
      <c r="D4" s="17"/>
      <c r="E4" s="17"/>
      <c r="F4" s="17"/>
      <c r="G4" s="17"/>
      <c r="H4" s="17"/>
      <c r="I4" s="17"/>
      <c r="J4" s="17"/>
      <c r="K4" s="18"/>
      <c r="L4" s="19"/>
      <c r="M4" s="20"/>
    </row>
    <row r="5" spans="1:26" ht="25" customHeight="1">
      <c r="A5" s="15"/>
      <c r="B5" s="21" t="s">
        <v>727</v>
      </c>
      <c r="C5" s="22"/>
      <c r="D5" s="17"/>
      <c r="E5" s="17"/>
      <c r="F5" s="17"/>
      <c r="G5" s="17"/>
      <c r="H5" s="17"/>
      <c r="I5" s="17"/>
      <c r="J5" s="17"/>
      <c r="K5" s="18"/>
      <c r="L5" s="19"/>
      <c r="M5" s="20"/>
    </row>
    <row r="6" spans="1:26" ht="25" customHeight="1">
      <c r="A6" s="15"/>
      <c r="B6" s="23"/>
      <c r="C6" s="9"/>
      <c r="D6" s="17"/>
      <c r="E6" s="17"/>
      <c r="F6" s="17"/>
      <c r="G6" s="17"/>
      <c r="H6" s="17"/>
      <c r="I6" s="17"/>
      <c r="J6" s="17"/>
      <c r="K6" s="18"/>
      <c r="L6" s="19"/>
      <c r="M6" s="20"/>
    </row>
    <row r="7" spans="1:26" ht="25" customHeight="1">
      <c r="A7" s="15"/>
      <c r="B7" s="24"/>
      <c r="C7" s="9"/>
      <c r="D7" s="17"/>
      <c r="E7" s="17"/>
      <c r="F7" s="17"/>
      <c r="G7" s="17"/>
      <c r="H7" s="17"/>
      <c r="I7" s="17"/>
      <c r="J7" s="17"/>
      <c r="K7" s="18"/>
      <c r="L7" s="19"/>
      <c r="M7" s="20"/>
    </row>
    <row r="8" spans="1:26" ht="25" customHeight="1">
      <c r="A8" s="15"/>
      <c r="B8" s="25" t="s">
        <v>284</v>
      </c>
      <c r="C8" s="9"/>
      <c r="D8" s="26" t="s">
        <v>189</v>
      </c>
      <c r="E8" s="17"/>
      <c r="F8" s="17"/>
      <c r="G8" s="17"/>
      <c r="H8" s="17"/>
      <c r="I8" s="17"/>
      <c r="J8" s="17"/>
      <c r="K8" s="18"/>
      <c r="L8" s="19"/>
      <c r="M8" s="20"/>
    </row>
    <row r="9" spans="1:26" ht="25" customHeight="1">
      <c r="A9" s="15"/>
      <c r="B9" s="27" t="s">
        <v>615</v>
      </c>
      <c r="C9" s="9"/>
      <c r="D9" s="17"/>
      <c r="E9" s="17"/>
      <c r="F9" s="17"/>
      <c r="G9" s="17"/>
      <c r="H9" s="17"/>
      <c r="I9" s="17"/>
      <c r="J9" s="17"/>
      <c r="K9" s="18"/>
      <c r="L9" s="19"/>
      <c r="M9" s="20"/>
    </row>
    <row r="10" spans="1:26" ht="25" customHeight="1">
      <c r="A10" s="15"/>
      <c r="B10" s="28" t="s">
        <v>3</v>
      </c>
      <c r="C10" s="29"/>
      <c r="D10" s="17"/>
      <c r="E10" s="17"/>
      <c r="F10" s="17"/>
      <c r="G10" s="17"/>
      <c r="H10" s="17"/>
      <c r="I10" s="17"/>
      <c r="J10" s="17"/>
      <c r="K10" s="18"/>
      <c r="L10" s="19"/>
      <c r="M10" s="20"/>
    </row>
    <row r="11" spans="1:26" s="38" customFormat="1" ht="25" customHeight="1">
      <c r="A11" s="30"/>
      <c r="B11" s="31"/>
      <c r="C11" s="32"/>
      <c r="D11" s="867" t="s">
        <v>616</v>
      </c>
      <c r="E11" s="33"/>
      <c r="F11" s="33"/>
      <c r="G11" s="34"/>
      <c r="H11" s="34"/>
      <c r="I11" s="35"/>
      <c r="J11" s="33"/>
      <c r="K11" s="36"/>
      <c r="L11" s="37"/>
      <c r="M11" s="20"/>
    </row>
    <row r="12" spans="1:26" s="38" customFormat="1" ht="25" customHeight="1">
      <c r="A12" s="39"/>
      <c r="B12" s="40"/>
      <c r="C12" s="41"/>
      <c r="D12" s="42"/>
      <c r="E12" s="42"/>
      <c r="F12" s="42"/>
      <c r="G12" s="43"/>
      <c r="H12" s="43"/>
      <c r="I12" s="44"/>
      <c r="J12" s="42"/>
      <c r="K12" s="45"/>
      <c r="L12" s="46"/>
      <c r="M12" s="20"/>
    </row>
    <row r="13" spans="1:26" s="38" customFormat="1" ht="25" customHeight="1">
      <c r="A13" s="47"/>
      <c r="B13" s="48"/>
      <c r="G13" s="49"/>
      <c r="H13" s="49"/>
      <c r="I13" s="50"/>
      <c r="K13" s="51"/>
      <c r="L13" s="52"/>
      <c r="M13" s="20"/>
    </row>
    <row r="14" spans="1:26" s="38" customFormat="1" ht="25" customHeight="1">
      <c r="A14" s="47"/>
      <c r="B14" s="48"/>
      <c r="G14" s="49"/>
      <c r="H14" s="49"/>
      <c r="I14" s="50"/>
      <c r="K14" s="51"/>
      <c r="L14" s="52"/>
      <c r="M14" s="20"/>
    </row>
    <row r="15" spans="1:26" s="38" customFormat="1" ht="25" customHeight="1">
      <c r="A15" s="47"/>
      <c r="B15" s="982" t="s">
        <v>718</v>
      </c>
      <c r="C15" s="982"/>
      <c r="D15" s="982"/>
      <c r="E15" s="982"/>
      <c r="F15" s="982"/>
      <c r="G15" s="982"/>
      <c r="H15" s="982"/>
      <c r="I15" s="982"/>
      <c r="J15" s="982"/>
      <c r="K15" s="982"/>
      <c r="L15" s="986"/>
      <c r="M15" s="20"/>
      <c r="N15" s="12"/>
      <c r="S15" s="54"/>
      <c r="X15" s="54"/>
      <c r="Y15" s="54"/>
      <c r="Z15" s="54"/>
    </row>
    <row r="16" spans="1:26" s="38" customFormat="1" ht="25" customHeight="1">
      <c r="A16" s="47"/>
      <c r="B16" s="982"/>
      <c r="C16" s="982"/>
      <c r="D16" s="982"/>
      <c r="E16" s="982"/>
      <c r="F16" s="982"/>
      <c r="G16" s="982"/>
      <c r="H16" s="982"/>
      <c r="I16" s="982"/>
      <c r="J16" s="982"/>
      <c r="K16" s="982"/>
      <c r="L16" s="986"/>
      <c r="M16" s="20"/>
      <c r="N16" s="12"/>
      <c r="S16" s="54"/>
      <c r="X16" s="54"/>
      <c r="Y16" s="54"/>
      <c r="Z16" s="54"/>
    </row>
    <row r="17" spans="1:26" s="38" customFormat="1" ht="25" customHeight="1">
      <c r="A17" s="47"/>
      <c r="B17" s="982"/>
      <c r="C17" s="982"/>
      <c r="D17" s="982"/>
      <c r="E17" s="982"/>
      <c r="F17" s="982"/>
      <c r="G17" s="982"/>
      <c r="H17" s="982"/>
      <c r="I17" s="982"/>
      <c r="J17" s="982"/>
      <c r="K17" s="982"/>
      <c r="L17" s="986"/>
      <c r="M17" s="20"/>
      <c r="N17" s="12"/>
      <c r="S17" s="54"/>
      <c r="X17" s="54"/>
      <c r="Y17" s="54"/>
      <c r="Z17" s="54"/>
    </row>
    <row r="18" spans="1:26" s="38" customFormat="1" ht="25" customHeight="1">
      <c r="A18" s="47"/>
      <c r="B18" s="984" t="s">
        <v>287</v>
      </c>
      <c r="C18" s="984"/>
      <c r="D18" s="984"/>
      <c r="E18" s="984"/>
      <c r="F18" s="984"/>
      <c r="G18" s="57"/>
      <c r="H18" s="58"/>
      <c r="J18" s="59"/>
      <c r="K18" s="413"/>
      <c r="L18" s="61"/>
      <c r="M18" s="20"/>
      <c r="N18" s="12"/>
      <c r="S18" s="54"/>
      <c r="T18" s="54"/>
      <c r="U18" s="54"/>
      <c r="V18" s="54"/>
      <c r="W18" s="54"/>
      <c r="X18" s="54"/>
      <c r="Y18" s="54"/>
      <c r="Z18" s="54"/>
    </row>
    <row r="19" spans="1:26" s="38" customFormat="1" ht="25" customHeight="1">
      <c r="A19" s="47"/>
      <c r="B19" s="62" t="s">
        <v>288</v>
      </c>
      <c r="C19" s="62"/>
      <c r="D19" s="62"/>
      <c r="E19" s="62"/>
      <c r="F19" s="62"/>
      <c r="G19" s="57"/>
      <c r="H19" s="58"/>
      <c r="I19" s="57"/>
      <c r="J19" s="59"/>
      <c r="K19" s="413"/>
      <c r="L19" s="61"/>
      <c r="M19" s="20"/>
      <c r="N19" s="12"/>
      <c r="S19" s="54"/>
      <c r="T19" s="54"/>
      <c r="U19" s="54"/>
      <c r="V19" s="54"/>
      <c r="W19" s="66"/>
      <c r="X19" s="161"/>
      <c r="Y19" s="54"/>
      <c r="Z19" s="54"/>
    </row>
    <row r="20" spans="1:26" s="38" customFormat="1" ht="25" customHeight="1">
      <c r="A20" s="47"/>
      <c r="B20" s="8"/>
      <c r="C20" s="64"/>
      <c r="D20" s="64"/>
      <c r="E20" s="64"/>
      <c r="F20" s="64"/>
      <c r="G20" s="57"/>
      <c r="H20" s="58"/>
      <c r="I20" s="57"/>
      <c r="J20" s="59"/>
      <c r="K20" s="413"/>
      <c r="L20" s="61"/>
      <c r="M20" s="20"/>
      <c r="N20" s="12"/>
      <c r="P20" s="12"/>
      <c r="Q20" s="12"/>
      <c r="R20" s="12"/>
      <c r="S20" s="54"/>
      <c r="T20" s="54"/>
      <c r="U20" s="54"/>
      <c r="V20" s="54"/>
      <c r="W20" s="54"/>
      <c r="X20" s="54"/>
      <c r="Y20" s="66"/>
      <c r="Z20" s="54"/>
    </row>
    <row r="21" spans="1:26" s="38" customFormat="1" ht="25" customHeight="1">
      <c r="A21" s="47"/>
      <c r="B21" s="8"/>
      <c r="C21" s="64"/>
      <c r="D21" s="64"/>
      <c r="E21" s="64"/>
      <c r="F21" s="64"/>
      <c r="G21" s="57"/>
      <c r="H21" s="58"/>
      <c r="I21" s="57"/>
      <c r="J21" s="59"/>
      <c r="K21" s="413"/>
      <c r="L21" s="61"/>
      <c r="M21" s="20"/>
      <c r="N21" s="12"/>
      <c r="P21" s="12"/>
      <c r="Q21" s="12"/>
      <c r="R21" s="12"/>
      <c r="S21" s="54"/>
      <c r="T21" s="54"/>
      <c r="U21" s="54"/>
      <c r="V21" s="54"/>
      <c r="W21" s="54"/>
      <c r="X21" s="54"/>
      <c r="Y21" s="66"/>
      <c r="Z21" s="54"/>
    </row>
    <row r="22" spans="1:26" s="73" customFormat="1" ht="25" customHeight="1">
      <c r="A22" s="67"/>
      <c r="B22" s="68" t="s">
        <v>724</v>
      </c>
      <c r="C22" s="69"/>
      <c r="D22" s="69"/>
      <c r="E22" s="69"/>
      <c r="F22" s="69"/>
      <c r="G22" s="69"/>
      <c r="H22" s="70"/>
      <c r="I22" s="71"/>
      <c r="J22" s="71"/>
      <c r="K22" s="414"/>
      <c r="M22" s="20"/>
      <c r="N22" s="12"/>
      <c r="P22" s="74"/>
      <c r="Q22" s="74"/>
      <c r="R22" s="75"/>
    </row>
    <row r="23" spans="1:26" ht="25" customHeight="1">
      <c r="B23" s="985" t="s">
        <v>725</v>
      </c>
      <c r="C23" s="985"/>
      <c r="D23" s="985"/>
      <c r="E23" s="985"/>
      <c r="K23" s="131"/>
      <c r="M23" s="20"/>
    </row>
    <row r="24" spans="1:26" s="82" customFormat="1" ht="25" customHeight="1">
      <c r="A24" s="77"/>
      <c r="B24" s="78" t="s">
        <v>10</v>
      </c>
      <c r="C24" s="79"/>
      <c r="D24" s="79"/>
      <c r="E24" s="6"/>
      <c r="F24" s="6"/>
      <c r="G24" s="6" t="s">
        <v>290</v>
      </c>
      <c r="H24" s="6" t="s">
        <v>621</v>
      </c>
      <c r="I24" s="80" t="s">
        <v>35</v>
      </c>
      <c r="J24" s="79"/>
      <c r="K24" s="81" t="s">
        <v>34</v>
      </c>
      <c r="M24" s="20"/>
      <c r="N24" s="12"/>
      <c r="O24" s="12"/>
      <c r="P24" s="66"/>
      <c r="Q24" s="66"/>
      <c r="R24" s="83"/>
    </row>
    <row r="25" spans="1:26" s="54" customFormat="1" ht="25" customHeight="1">
      <c r="A25" s="47"/>
      <c r="B25" s="137" t="s">
        <v>716</v>
      </c>
      <c r="C25" s="85"/>
      <c r="D25" s="85"/>
      <c r="E25" s="86"/>
      <c r="F25" s="86"/>
      <c r="G25" s="141">
        <f t="shared" ref="G25:G26" si="0">H25/720</f>
        <v>6.8055555555555554</v>
      </c>
      <c r="H25" s="154">
        <v>4900</v>
      </c>
      <c r="I25" s="88"/>
      <c r="J25" s="32"/>
      <c r="K25" s="138">
        <f t="shared" ref="K25:K26" si="1">ROUNDUP(I25*H25,2)</f>
        <v>0</v>
      </c>
      <c r="M25" s="20"/>
      <c r="N25" s="12"/>
      <c r="O25" s="12"/>
      <c r="P25" s="66"/>
      <c r="R25" s="66"/>
    </row>
    <row r="26" spans="1:26" s="54" customFormat="1" ht="25" customHeight="1">
      <c r="A26" s="47"/>
      <c r="B26" s="139" t="s">
        <v>717</v>
      </c>
      <c r="C26" s="91"/>
      <c r="D26" s="91"/>
      <c r="E26" s="92"/>
      <c r="F26" s="92"/>
      <c r="G26" s="416">
        <f t="shared" si="0"/>
        <v>0</v>
      </c>
      <c r="H26" s="158">
        <v>0</v>
      </c>
      <c r="I26" s="88"/>
      <c r="J26" s="94"/>
      <c r="K26" s="140">
        <f t="shared" si="1"/>
        <v>0</v>
      </c>
      <c r="M26" s="20"/>
      <c r="N26" s="12"/>
      <c r="P26" s="66"/>
      <c r="R26" s="66"/>
    </row>
    <row r="27" spans="1:26" s="38" customFormat="1" ht="25" customHeight="1">
      <c r="A27" s="47"/>
      <c r="B27" s="97" t="s">
        <v>27</v>
      </c>
      <c r="C27" s="98"/>
      <c r="D27" s="98"/>
      <c r="E27" s="159"/>
      <c r="F27" s="159"/>
      <c r="G27" s="98"/>
      <c r="H27" s="98"/>
      <c r="I27" s="98" t="str">
        <f>SUM(I14:I26)&amp;" st"</f>
        <v>0 st</v>
      </c>
      <c r="J27" s="98"/>
      <c r="K27" s="142">
        <f>SUM(K14:K26)</f>
        <v>0</v>
      </c>
      <c r="L27" s="52"/>
      <c r="M27" s="20"/>
      <c r="N27" s="12"/>
    </row>
    <row r="28" spans="1:26" s="38" customFormat="1" ht="25" customHeight="1">
      <c r="A28" s="47"/>
      <c r="B28" s="950"/>
      <c r="C28" s="258"/>
      <c r="D28" s="258"/>
      <c r="E28" s="981"/>
      <c r="F28" s="981"/>
      <c r="G28" s="258"/>
      <c r="H28" s="258"/>
      <c r="I28" s="258"/>
      <c r="J28" s="258"/>
      <c r="K28" s="980"/>
      <c r="L28" s="52"/>
      <c r="M28" s="20"/>
      <c r="N28" s="12"/>
    </row>
    <row r="29" spans="1:26" s="38" customFormat="1" ht="24.75" customHeight="1">
      <c r="A29" s="47"/>
      <c r="B29" s="48"/>
      <c r="G29" s="49"/>
      <c r="H29" s="49"/>
      <c r="I29" s="50"/>
      <c r="K29" s="412"/>
      <c r="L29" s="52"/>
      <c r="M29" s="463"/>
    </row>
    <row r="30" spans="1:26" s="38" customFormat="1" ht="25" customHeight="1">
      <c r="A30" s="47"/>
      <c r="B30" s="982" t="s">
        <v>4</v>
      </c>
      <c r="C30" s="982"/>
      <c r="D30" s="982"/>
      <c r="E30" s="982"/>
      <c r="F30" s="982"/>
      <c r="G30" s="982"/>
      <c r="H30" s="50"/>
      <c r="J30" s="53"/>
      <c r="K30" s="51"/>
      <c r="L30" s="52"/>
      <c r="M30" s="20"/>
      <c r="S30" s="54"/>
      <c r="X30" s="54"/>
      <c r="Y30" s="54"/>
      <c r="Z30" s="54"/>
    </row>
    <row r="31" spans="1:26" s="38" customFormat="1" ht="25" customHeight="1">
      <c r="A31" s="47"/>
      <c r="B31" s="982"/>
      <c r="C31" s="982"/>
      <c r="D31" s="982"/>
      <c r="E31" s="982"/>
      <c r="F31" s="982"/>
      <c r="G31" s="982"/>
      <c r="H31" s="50"/>
      <c r="J31" s="53"/>
      <c r="K31" s="51"/>
      <c r="L31" s="52"/>
      <c r="M31" s="20"/>
      <c r="S31" s="54"/>
      <c r="X31" s="54"/>
      <c r="Y31" s="54"/>
      <c r="Z31" s="54"/>
    </row>
    <row r="32" spans="1:26" s="38" customFormat="1" ht="25" customHeight="1">
      <c r="A32" s="47"/>
      <c r="B32" s="982"/>
      <c r="C32" s="982"/>
      <c r="D32" s="982"/>
      <c r="E32" s="982"/>
      <c r="F32" s="982"/>
      <c r="G32" s="982"/>
      <c r="H32" s="50"/>
      <c r="J32" s="53"/>
      <c r="K32" s="51"/>
      <c r="L32" s="52"/>
      <c r="M32" s="20"/>
      <c r="S32" s="54"/>
      <c r="X32" s="54"/>
      <c r="Y32" s="54"/>
      <c r="Z32" s="54"/>
    </row>
    <row r="33" spans="1:26" s="38" customFormat="1" ht="25" customHeight="1">
      <c r="A33" s="47"/>
      <c r="B33" s="55" t="s">
        <v>617</v>
      </c>
      <c r="C33" s="56"/>
      <c r="D33" s="56"/>
      <c r="E33" s="56"/>
      <c r="F33" s="56"/>
      <c r="H33" s="50"/>
      <c r="J33" s="53"/>
      <c r="K33" s="51"/>
      <c r="L33" s="52"/>
      <c r="M33" s="20"/>
      <c r="S33" s="54"/>
      <c r="T33" s="54"/>
      <c r="U33" s="54"/>
      <c r="V33" s="54"/>
      <c r="W33" s="54"/>
      <c r="X33" s="54"/>
      <c r="Y33" s="54"/>
      <c r="Z33" s="54"/>
    </row>
    <row r="34" spans="1:26" s="38" customFormat="1" ht="25" customHeight="1">
      <c r="A34" s="47"/>
      <c r="B34" s="8" t="s">
        <v>618</v>
      </c>
      <c r="C34" s="8"/>
      <c r="D34" s="8"/>
      <c r="E34" s="8"/>
      <c r="F34" s="8"/>
      <c r="G34" s="57"/>
      <c r="H34" s="58"/>
      <c r="J34" s="59"/>
      <c r="K34" s="60"/>
      <c r="L34" s="61"/>
      <c r="M34" s="20"/>
      <c r="S34" s="54"/>
      <c r="T34" s="54"/>
      <c r="U34" s="54"/>
      <c r="V34" s="54"/>
      <c r="W34" s="54"/>
      <c r="X34" s="54"/>
      <c r="Y34" s="54"/>
      <c r="Z34" s="54"/>
    </row>
    <row r="35" spans="1:26" s="38" customFormat="1" ht="25" customHeight="1">
      <c r="A35" s="47"/>
      <c r="B35" s="62" t="s">
        <v>619</v>
      </c>
      <c r="C35" s="63"/>
      <c r="D35" s="63"/>
      <c r="E35" s="64"/>
      <c r="F35" s="64"/>
      <c r="G35" s="57"/>
      <c r="H35" s="58"/>
      <c r="I35" s="57"/>
      <c r="J35" s="59"/>
      <c r="K35" s="60"/>
      <c r="L35" s="65"/>
      <c r="M35" s="20"/>
      <c r="O35" s="54"/>
      <c r="P35" s="54"/>
    </row>
    <row r="36" spans="1:26" s="38" customFormat="1" ht="25" customHeight="1">
      <c r="A36" s="47"/>
      <c r="B36" s="8"/>
      <c r="C36" s="64"/>
      <c r="D36" s="64"/>
      <c r="E36" s="64"/>
      <c r="F36" s="64"/>
      <c r="G36" s="57"/>
      <c r="H36" s="58"/>
      <c r="I36" s="57"/>
      <c r="J36" s="59"/>
      <c r="K36" s="60"/>
      <c r="L36" s="61"/>
      <c r="M36" s="20"/>
      <c r="P36" s="12"/>
      <c r="Q36" s="12"/>
      <c r="R36" s="12"/>
      <c r="S36" s="54"/>
      <c r="T36" s="54"/>
      <c r="U36" s="54"/>
      <c r="V36" s="54"/>
      <c r="W36" s="54"/>
      <c r="X36" s="54"/>
      <c r="Y36" s="66"/>
      <c r="Z36" s="54"/>
    </row>
    <row r="37" spans="1:26" s="38" customFormat="1" ht="25" customHeight="1">
      <c r="A37" s="47"/>
      <c r="B37" s="8"/>
      <c r="C37" s="64"/>
      <c r="D37" s="64"/>
      <c r="E37" s="64"/>
      <c r="F37" s="64"/>
      <c r="G37" s="57"/>
      <c r="H37" s="58"/>
      <c r="I37" s="57"/>
      <c r="J37" s="59"/>
      <c r="K37" s="60"/>
      <c r="L37" s="61"/>
      <c r="M37" s="20"/>
      <c r="P37" s="12"/>
      <c r="Q37" s="12"/>
      <c r="R37" s="12"/>
      <c r="S37" s="54"/>
      <c r="T37" s="54"/>
      <c r="U37" s="54"/>
      <c r="V37" s="54"/>
      <c r="W37" s="54"/>
      <c r="X37" s="54"/>
      <c r="Y37" s="66"/>
      <c r="Z37" s="54"/>
    </row>
    <row r="38" spans="1:26" s="73" customFormat="1" ht="25" customHeight="1">
      <c r="A38" s="67"/>
      <c r="B38" s="68" t="s">
        <v>195</v>
      </c>
      <c r="C38" s="69"/>
      <c r="D38" s="69"/>
      <c r="E38" s="69"/>
      <c r="F38" s="69"/>
      <c r="G38" s="69"/>
      <c r="H38" s="70"/>
      <c r="I38" s="71"/>
      <c r="J38" s="71"/>
      <c r="K38" s="72"/>
      <c r="M38" s="20"/>
      <c r="P38" s="74"/>
      <c r="Q38" s="74"/>
      <c r="R38" s="75"/>
    </row>
    <row r="39" spans="1:26" ht="25" customHeight="1">
      <c r="B39" s="76" t="s">
        <v>620</v>
      </c>
      <c r="C39" s="76"/>
      <c r="D39" s="76"/>
      <c r="E39" s="76"/>
      <c r="F39" s="76"/>
      <c r="M39" s="20"/>
    </row>
    <row r="40" spans="1:26" s="82" customFormat="1" ht="25" customHeight="1">
      <c r="A40" s="77"/>
      <c r="B40" s="78" t="s">
        <v>23</v>
      </c>
      <c r="C40" s="79" t="s">
        <v>11</v>
      </c>
      <c r="D40" s="79" t="s">
        <v>197</v>
      </c>
      <c r="E40" s="6" t="s">
        <v>198</v>
      </c>
      <c r="F40" s="6"/>
      <c r="G40" s="6" t="s">
        <v>290</v>
      </c>
      <c r="H40" s="6" t="s">
        <v>621</v>
      </c>
      <c r="I40" s="80" t="s">
        <v>35</v>
      </c>
      <c r="J40" s="79"/>
      <c r="K40" s="81" t="s">
        <v>34</v>
      </c>
      <c r="M40" s="20"/>
      <c r="N40" s="12"/>
      <c r="O40" s="12"/>
      <c r="P40" s="66"/>
      <c r="Q40" s="66"/>
      <c r="R40" s="83"/>
    </row>
    <row r="41" spans="1:26" s="54" customFormat="1" ht="25" customHeight="1">
      <c r="A41" s="47"/>
      <c r="B41" s="137" t="s">
        <v>199</v>
      </c>
      <c r="C41" s="85">
        <v>2</v>
      </c>
      <c r="D41" s="85">
        <v>4</v>
      </c>
      <c r="E41" s="86">
        <v>100</v>
      </c>
      <c r="F41" s="86"/>
      <c r="G41" s="87">
        <f t="shared" ref="G41:G54" si="2">H41/720</f>
        <v>6.2666666666666662E-2</v>
      </c>
      <c r="H41" s="87">
        <f t="shared" ref="H41:H54" si="3">C41*IAAS_vcpu_EUR+D41*IAAS_ram_EUR+E41*IAAS_nvme_EUR</f>
        <v>45.12</v>
      </c>
      <c r="I41" s="88"/>
      <c r="J41" s="32"/>
      <c r="K41" s="89">
        <f t="shared" ref="K41:K54" si="4">ROUNDUP(I41*H41,2)</f>
        <v>0</v>
      </c>
      <c r="M41" s="20"/>
      <c r="P41" s="66"/>
      <c r="R41" s="66"/>
    </row>
    <row r="42" spans="1:26" s="54" customFormat="1" ht="25" customHeight="1">
      <c r="A42" s="47"/>
      <c r="B42" s="139" t="s">
        <v>200</v>
      </c>
      <c r="C42" s="91">
        <v>2</v>
      </c>
      <c r="D42" s="91">
        <v>4</v>
      </c>
      <c r="E42" s="92">
        <v>500</v>
      </c>
      <c r="F42" s="92"/>
      <c r="G42" s="93">
        <f t="shared" si="2"/>
        <v>0.11488888888888889</v>
      </c>
      <c r="H42" s="93">
        <f t="shared" si="3"/>
        <v>82.72</v>
      </c>
      <c r="I42" s="88"/>
      <c r="J42" s="94"/>
      <c r="K42" s="95">
        <f t="shared" si="4"/>
        <v>0</v>
      </c>
      <c r="M42" s="20"/>
      <c r="P42" s="66"/>
      <c r="R42" s="66"/>
    </row>
    <row r="43" spans="1:26" s="54" customFormat="1" ht="25" customHeight="1">
      <c r="A43" s="47"/>
      <c r="B43" s="137" t="s">
        <v>201</v>
      </c>
      <c r="C43" s="85">
        <v>2</v>
      </c>
      <c r="D43" s="85">
        <v>4</v>
      </c>
      <c r="E43" s="86">
        <v>1000</v>
      </c>
      <c r="F43" s="86"/>
      <c r="G43" s="87">
        <f t="shared" si="2"/>
        <v>0.18016666666666667</v>
      </c>
      <c r="H43" s="87">
        <f t="shared" si="3"/>
        <v>129.72</v>
      </c>
      <c r="I43" s="88"/>
      <c r="J43" s="32"/>
      <c r="K43" s="89">
        <f t="shared" si="4"/>
        <v>0</v>
      </c>
      <c r="M43" s="20"/>
      <c r="P43" s="66"/>
      <c r="R43" s="66"/>
    </row>
    <row r="44" spans="1:26" s="54" customFormat="1" ht="25" customHeight="1">
      <c r="A44" s="47"/>
      <c r="B44" s="139" t="s">
        <v>202</v>
      </c>
      <c r="C44" s="91">
        <v>4</v>
      </c>
      <c r="D44" s="91">
        <v>8</v>
      </c>
      <c r="E44" s="92">
        <v>100</v>
      </c>
      <c r="F44" s="92"/>
      <c r="G44" s="93">
        <f t="shared" si="2"/>
        <v>0.11227777777777778</v>
      </c>
      <c r="H44" s="93">
        <f t="shared" si="3"/>
        <v>80.84</v>
      </c>
      <c r="I44" s="88"/>
      <c r="J44" s="94"/>
      <c r="K44" s="95">
        <f t="shared" si="4"/>
        <v>0</v>
      </c>
      <c r="M44" s="20"/>
      <c r="P44" s="66"/>
      <c r="R44" s="66"/>
    </row>
    <row r="45" spans="1:26" s="54" customFormat="1" ht="25" customHeight="1">
      <c r="A45" s="47"/>
      <c r="B45" s="137" t="s">
        <v>203</v>
      </c>
      <c r="C45" s="85">
        <v>4</v>
      </c>
      <c r="D45" s="85">
        <v>8</v>
      </c>
      <c r="E45" s="86">
        <v>500</v>
      </c>
      <c r="F45" s="86"/>
      <c r="G45" s="87">
        <f t="shared" si="2"/>
        <v>0.16450000000000001</v>
      </c>
      <c r="H45" s="87">
        <f t="shared" si="3"/>
        <v>118.44</v>
      </c>
      <c r="I45" s="88"/>
      <c r="J45" s="32"/>
      <c r="K45" s="89">
        <f t="shared" si="4"/>
        <v>0</v>
      </c>
      <c r="M45" s="20"/>
      <c r="P45" s="66"/>
      <c r="R45" s="66"/>
    </row>
    <row r="46" spans="1:26" s="54" customFormat="1" ht="25" customHeight="1">
      <c r="A46" s="47"/>
      <c r="B46" s="139" t="s">
        <v>204</v>
      </c>
      <c r="C46" s="91">
        <v>4</v>
      </c>
      <c r="D46" s="91">
        <v>8</v>
      </c>
      <c r="E46" s="92">
        <v>1000</v>
      </c>
      <c r="F46" s="92"/>
      <c r="G46" s="93">
        <f t="shared" si="2"/>
        <v>0.22977777777777778</v>
      </c>
      <c r="H46" s="93">
        <f t="shared" si="3"/>
        <v>165.44</v>
      </c>
      <c r="I46" s="88"/>
      <c r="J46" s="94"/>
      <c r="K46" s="95">
        <f t="shared" si="4"/>
        <v>0</v>
      </c>
      <c r="M46" s="20"/>
      <c r="P46" s="66"/>
      <c r="R46" s="66"/>
    </row>
    <row r="47" spans="1:26" s="54" customFormat="1" ht="25" customHeight="1">
      <c r="A47" s="47"/>
      <c r="B47" s="137" t="s">
        <v>205</v>
      </c>
      <c r="C47" s="85">
        <v>8</v>
      </c>
      <c r="D47" s="85">
        <v>16</v>
      </c>
      <c r="E47" s="86">
        <v>100</v>
      </c>
      <c r="F47" s="86"/>
      <c r="G47" s="87">
        <f t="shared" si="2"/>
        <v>0.21149999999999999</v>
      </c>
      <c r="H47" s="87">
        <f t="shared" si="3"/>
        <v>152.28</v>
      </c>
      <c r="I47" s="88"/>
      <c r="J47" s="32"/>
      <c r="K47" s="89">
        <f t="shared" si="4"/>
        <v>0</v>
      </c>
      <c r="M47" s="20"/>
      <c r="P47" s="66"/>
      <c r="R47" s="66"/>
    </row>
    <row r="48" spans="1:26" s="54" customFormat="1" ht="25" customHeight="1">
      <c r="A48" s="47"/>
      <c r="B48" s="139" t="s">
        <v>206</v>
      </c>
      <c r="C48" s="91">
        <v>8</v>
      </c>
      <c r="D48" s="91">
        <v>16</v>
      </c>
      <c r="E48" s="92">
        <v>500</v>
      </c>
      <c r="F48" s="92"/>
      <c r="G48" s="93">
        <f t="shared" si="2"/>
        <v>0.26372222222222219</v>
      </c>
      <c r="H48" s="93">
        <f t="shared" si="3"/>
        <v>189.88</v>
      </c>
      <c r="I48" s="88"/>
      <c r="J48" s="94"/>
      <c r="K48" s="95">
        <f t="shared" si="4"/>
        <v>0</v>
      </c>
      <c r="M48" s="20"/>
      <c r="P48" s="66"/>
      <c r="R48" s="66"/>
    </row>
    <row r="49" spans="1:18" s="54" customFormat="1" ht="25" customHeight="1">
      <c r="A49" s="47"/>
      <c r="B49" s="137" t="s">
        <v>207</v>
      </c>
      <c r="C49" s="85">
        <v>8</v>
      </c>
      <c r="D49" s="85">
        <v>16</v>
      </c>
      <c r="E49" s="86">
        <v>1000</v>
      </c>
      <c r="F49" s="86"/>
      <c r="G49" s="87">
        <f t="shared" si="2"/>
        <v>0.32900000000000001</v>
      </c>
      <c r="H49" s="87">
        <f t="shared" si="3"/>
        <v>236.88</v>
      </c>
      <c r="I49" s="88"/>
      <c r="J49" s="32"/>
      <c r="K49" s="89">
        <f t="shared" si="4"/>
        <v>0</v>
      </c>
      <c r="M49" s="20"/>
      <c r="P49" s="66"/>
      <c r="R49" s="66"/>
    </row>
    <row r="50" spans="1:18" s="54" customFormat="1" ht="25" customHeight="1">
      <c r="A50" s="47"/>
      <c r="B50" s="139" t="s">
        <v>208</v>
      </c>
      <c r="C50" s="91">
        <v>16</v>
      </c>
      <c r="D50" s="91">
        <v>32</v>
      </c>
      <c r="E50" s="92">
        <v>100</v>
      </c>
      <c r="F50" s="92"/>
      <c r="G50" s="93">
        <f t="shared" si="2"/>
        <v>0.40994444444444439</v>
      </c>
      <c r="H50" s="93">
        <f t="shared" si="3"/>
        <v>295.15999999999997</v>
      </c>
      <c r="I50" s="88"/>
      <c r="J50" s="94"/>
      <c r="K50" s="95">
        <f t="shared" si="4"/>
        <v>0</v>
      </c>
      <c r="M50" s="20"/>
      <c r="P50" s="66"/>
      <c r="R50" s="66"/>
    </row>
    <row r="51" spans="1:18" s="54" customFormat="1" ht="25" customHeight="1">
      <c r="A51" s="47"/>
      <c r="B51" s="137" t="s">
        <v>209</v>
      </c>
      <c r="C51" s="85">
        <v>16</v>
      </c>
      <c r="D51" s="85">
        <v>32</v>
      </c>
      <c r="E51" s="86">
        <v>500</v>
      </c>
      <c r="F51" s="86"/>
      <c r="G51" s="87">
        <f t="shared" si="2"/>
        <v>0.46216666666666667</v>
      </c>
      <c r="H51" s="87">
        <f t="shared" si="3"/>
        <v>332.76</v>
      </c>
      <c r="I51" s="88"/>
      <c r="J51" s="32"/>
      <c r="K51" s="89">
        <f t="shared" si="4"/>
        <v>0</v>
      </c>
      <c r="M51" s="20"/>
      <c r="P51" s="66"/>
      <c r="R51" s="66"/>
    </row>
    <row r="52" spans="1:18" s="54" customFormat="1" ht="25" customHeight="1">
      <c r="A52" s="47"/>
      <c r="B52" s="139" t="s">
        <v>210</v>
      </c>
      <c r="C52" s="91">
        <v>16</v>
      </c>
      <c r="D52" s="91">
        <v>32</v>
      </c>
      <c r="E52" s="92">
        <v>1000</v>
      </c>
      <c r="F52" s="92"/>
      <c r="G52" s="93">
        <f t="shared" si="2"/>
        <v>0.52744444444444438</v>
      </c>
      <c r="H52" s="93">
        <f t="shared" si="3"/>
        <v>379.76</v>
      </c>
      <c r="I52" s="88"/>
      <c r="J52" s="94"/>
      <c r="K52" s="95">
        <f t="shared" si="4"/>
        <v>0</v>
      </c>
      <c r="M52" s="20"/>
      <c r="P52" s="66"/>
      <c r="R52" s="66"/>
    </row>
    <row r="53" spans="1:18" s="54" customFormat="1" ht="25" customHeight="1">
      <c r="A53" s="47"/>
      <c r="B53" s="137" t="s">
        <v>712</v>
      </c>
      <c r="C53" s="85">
        <v>16</v>
      </c>
      <c r="D53" s="85">
        <v>64</v>
      </c>
      <c r="E53" s="86">
        <v>500</v>
      </c>
      <c r="F53" s="86"/>
      <c r="G53" s="87">
        <f t="shared" si="2"/>
        <v>0.69194444444444447</v>
      </c>
      <c r="H53" s="87">
        <f t="shared" si="3"/>
        <v>498.2</v>
      </c>
      <c r="I53" s="88"/>
      <c r="J53" s="32"/>
      <c r="K53" s="89">
        <f t="shared" si="4"/>
        <v>0</v>
      </c>
      <c r="M53" s="20"/>
      <c r="P53" s="66"/>
      <c r="R53" s="66"/>
    </row>
    <row r="54" spans="1:18" s="54" customFormat="1" ht="25" customHeight="1">
      <c r="A54" s="47"/>
      <c r="B54" s="139" t="s">
        <v>211</v>
      </c>
      <c r="C54" s="91">
        <v>32</v>
      </c>
      <c r="D54" s="91">
        <v>64</v>
      </c>
      <c r="E54" s="92">
        <v>1000</v>
      </c>
      <c r="F54" s="92"/>
      <c r="G54" s="93">
        <f t="shared" si="2"/>
        <v>0.92433333333333334</v>
      </c>
      <c r="H54" s="93">
        <f t="shared" si="3"/>
        <v>665.52</v>
      </c>
      <c r="I54" s="88"/>
      <c r="J54" s="94"/>
      <c r="K54" s="95">
        <f t="shared" si="4"/>
        <v>0</v>
      </c>
      <c r="M54" s="20"/>
      <c r="P54" s="66"/>
      <c r="R54" s="66"/>
    </row>
    <row r="55" spans="1:18" s="101" customFormat="1" ht="25" customHeight="1">
      <c r="A55" s="96"/>
      <c r="B55" s="97" t="s">
        <v>18</v>
      </c>
      <c r="C55" s="98">
        <f t="array" ref="C55">SUM(C41:C54*I41:I54)</f>
        <v>0</v>
      </c>
      <c r="D55" s="98" t="str">
        <f t="array" ref="D55">SUM(D41:D54*I41:I54)&amp;" GB"</f>
        <v>0 GB</v>
      </c>
      <c r="E55" s="99" t="str">
        <f t="array" ref="E55">SUM(E41:E54*I41:I54)&amp;" GB"</f>
        <v>0 GB</v>
      </c>
      <c r="F55" s="99"/>
      <c r="G55" s="98"/>
      <c r="H55" s="98"/>
      <c r="I55" s="98">
        <f>SUM(I41:I54)</f>
        <v>0</v>
      </c>
      <c r="J55" s="98"/>
      <c r="K55" s="100">
        <f>SUM(K41:K54)</f>
        <v>0</v>
      </c>
      <c r="M55" s="20"/>
      <c r="P55" s="102"/>
      <c r="R55" s="102"/>
    </row>
    <row r="56" spans="1:18" s="54" customFormat="1" ht="25" customHeight="1">
      <c r="A56" s="47"/>
      <c r="B56" s="103"/>
      <c r="C56" s="104"/>
      <c r="D56" s="104"/>
      <c r="E56" s="105"/>
      <c r="F56" s="106"/>
      <c r="G56" s="107"/>
      <c r="H56" s="108"/>
      <c r="I56" s="109"/>
      <c r="J56" s="110"/>
      <c r="K56" s="111"/>
      <c r="M56" s="20"/>
      <c r="P56" s="66"/>
      <c r="R56" s="66"/>
    </row>
    <row r="57" spans="1:18" s="54" customFormat="1" ht="25" customHeight="1">
      <c r="A57" s="47"/>
      <c r="B57" s="103"/>
      <c r="C57" s="104"/>
      <c r="D57" s="104"/>
      <c r="E57" s="105"/>
      <c r="F57" s="106"/>
      <c r="G57" s="107"/>
      <c r="H57" s="108"/>
      <c r="I57" s="109"/>
      <c r="J57" s="110"/>
      <c r="K57" s="111"/>
      <c r="M57" s="20"/>
      <c r="P57" s="66"/>
      <c r="R57" s="66"/>
    </row>
    <row r="58" spans="1:18" ht="25" customHeight="1">
      <c r="B58" s="112"/>
      <c r="C58" s="113"/>
      <c r="D58" s="113"/>
      <c r="E58" s="113"/>
      <c r="F58" s="113"/>
      <c r="G58" s="114"/>
      <c r="H58" s="115"/>
      <c r="I58" s="115"/>
      <c r="J58" s="113"/>
      <c r="K58" s="116"/>
      <c r="M58" s="20"/>
      <c r="P58" s="66"/>
      <c r="Q58" s="66"/>
      <c r="R58" s="83"/>
    </row>
    <row r="59" spans="1:18" s="82" customFormat="1" ht="25" customHeight="1">
      <c r="A59" s="77"/>
      <c r="B59" s="68" t="s">
        <v>622</v>
      </c>
      <c r="C59" s="117"/>
      <c r="D59" s="117"/>
      <c r="K59" s="118"/>
      <c r="M59" s="20"/>
    </row>
    <row r="60" spans="1:18" ht="25" customHeight="1">
      <c r="B60" s="76" t="s">
        <v>620</v>
      </c>
      <c r="C60" s="76"/>
      <c r="D60" s="76"/>
      <c r="E60" s="76"/>
      <c r="F60" s="76"/>
      <c r="M60" s="20"/>
    </row>
    <row r="61" spans="1:18" s="82" customFormat="1" ht="25" customHeight="1">
      <c r="A61" s="77"/>
      <c r="B61" s="78" t="s">
        <v>23</v>
      </c>
      <c r="C61" s="79" t="s">
        <v>11</v>
      </c>
      <c r="D61" s="79" t="s">
        <v>197</v>
      </c>
      <c r="E61" s="6" t="s">
        <v>198</v>
      </c>
      <c r="F61" s="6"/>
      <c r="G61" s="6" t="s">
        <v>290</v>
      </c>
      <c r="H61" s="6" t="s">
        <v>621</v>
      </c>
      <c r="I61" s="80" t="s">
        <v>35</v>
      </c>
      <c r="J61" s="79"/>
      <c r="K61" s="81" t="s">
        <v>34</v>
      </c>
      <c r="M61" s="20"/>
      <c r="N61" s="12"/>
      <c r="O61" s="12"/>
      <c r="P61" s="66"/>
      <c r="Q61" s="66"/>
      <c r="R61" s="83"/>
    </row>
    <row r="62" spans="1:18" s="54" customFormat="1" ht="25" customHeight="1">
      <c r="A62" s="47"/>
      <c r="B62" s="137" t="s">
        <v>213</v>
      </c>
      <c r="C62" s="85">
        <v>1</v>
      </c>
      <c r="D62" s="85">
        <v>2</v>
      </c>
      <c r="E62" s="120">
        <v>0</v>
      </c>
      <c r="F62" s="120"/>
      <c r="G62" s="87">
        <f>'SEK - Safesprings tjänster 2025'!G62</f>
        <v>0.2638888888888889</v>
      </c>
      <c r="H62" s="87">
        <f t="shared" ref="H62:H71" si="5">C62*IAAS_vcpu_EUR+D62*IAAS_ram_EUR+E62*IAAS_nvme_EUR</f>
        <v>17.86</v>
      </c>
      <c r="I62" s="88"/>
      <c r="J62" s="32"/>
      <c r="K62" s="89">
        <f t="shared" ref="K62:K71" si="6">ROUNDUP(I62*H62,2)</f>
        <v>0</v>
      </c>
      <c r="M62" s="20"/>
      <c r="N62" s="121"/>
      <c r="O62" s="122"/>
    </row>
    <row r="63" spans="1:18" s="54" customFormat="1" ht="25" customHeight="1">
      <c r="A63" s="47"/>
      <c r="B63" s="139" t="s">
        <v>214</v>
      </c>
      <c r="C63" s="91">
        <v>1</v>
      </c>
      <c r="D63" s="91">
        <v>4</v>
      </c>
      <c r="E63" s="123">
        <v>0</v>
      </c>
      <c r="F63" s="123"/>
      <c r="G63" s="93">
        <f>'SEK - Safesprings tjänster 2025'!G63</f>
        <v>0.41666666666666669</v>
      </c>
      <c r="H63" s="93">
        <f t="shared" si="5"/>
        <v>28.2</v>
      </c>
      <c r="I63" s="88"/>
      <c r="J63" s="94"/>
      <c r="K63" s="95">
        <f t="shared" si="6"/>
        <v>0</v>
      </c>
      <c r="L63" s="124"/>
      <c r="M63" s="20"/>
      <c r="N63" s="121"/>
      <c r="O63" s="122"/>
    </row>
    <row r="64" spans="1:18" s="54" customFormat="1" ht="25" customHeight="1">
      <c r="A64" s="47"/>
      <c r="B64" s="137" t="s">
        <v>215</v>
      </c>
      <c r="C64" s="85">
        <v>2</v>
      </c>
      <c r="D64" s="85">
        <v>4</v>
      </c>
      <c r="E64" s="120">
        <v>0</v>
      </c>
      <c r="F64" s="120"/>
      <c r="G64" s="87">
        <f>'SEK - Safesprings tjänster 2025'!G64</f>
        <v>0.52777777777777779</v>
      </c>
      <c r="H64" s="87">
        <f t="shared" si="5"/>
        <v>35.72</v>
      </c>
      <c r="I64" s="88"/>
      <c r="J64" s="32"/>
      <c r="K64" s="89">
        <f t="shared" si="6"/>
        <v>0</v>
      </c>
      <c r="L64" s="124"/>
      <c r="M64" s="20"/>
      <c r="N64" s="121"/>
      <c r="O64" s="122"/>
    </row>
    <row r="65" spans="1:19" s="54" customFormat="1" ht="25" customHeight="1">
      <c r="A65" s="47"/>
      <c r="B65" s="139" t="s">
        <v>216</v>
      </c>
      <c r="C65" s="91">
        <v>2</v>
      </c>
      <c r="D65" s="91">
        <v>8</v>
      </c>
      <c r="E65" s="123">
        <v>0</v>
      </c>
      <c r="F65" s="123"/>
      <c r="G65" s="93">
        <f>'SEK - Safesprings tjänster 2025'!G65</f>
        <v>0.83333333333333337</v>
      </c>
      <c r="H65" s="93">
        <f t="shared" si="5"/>
        <v>56.4</v>
      </c>
      <c r="I65" s="88"/>
      <c r="J65" s="94"/>
      <c r="K65" s="95">
        <f t="shared" si="6"/>
        <v>0</v>
      </c>
      <c r="L65" s="124"/>
      <c r="M65" s="20"/>
      <c r="N65" s="121"/>
      <c r="O65" s="125"/>
    </row>
    <row r="66" spans="1:19" s="54" customFormat="1" ht="25" customHeight="1">
      <c r="A66" s="47"/>
      <c r="B66" s="137" t="s">
        <v>217</v>
      </c>
      <c r="C66" s="85">
        <v>4</v>
      </c>
      <c r="D66" s="85">
        <v>8</v>
      </c>
      <c r="E66" s="120">
        <v>0</v>
      </c>
      <c r="F66" s="120"/>
      <c r="G66" s="87">
        <f>'SEK - Safesprings tjänster 2025'!G66</f>
        <v>1.0555555555555556</v>
      </c>
      <c r="H66" s="87">
        <f t="shared" si="5"/>
        <v>71.44</v>
      </c>
      <c r="I66" s="88"/>
      <c r="J66" s="32"/>
      <c r="K66" s="89">
        <f t="shared" si="6"/>
        <v>0</v>
      </c>
      <c r="L66" s="124"/>
      <c r="M66" s="20"/>
      <c r="N66" s="121"/>
    </row>
    <row r="67" spans="1:19" s="54" customFormat="1" ht="25" customHeight="1">
      <c r="A67" s="47"/>
      <c r="B67" s="139" t="s">
        <v>218</v>
      </c>
      <c r="C67" s="91">
        <v>4</v>
      </c>
      <c r="D67" s="91">
        <v>16</v>
      </c>
      <c r="E67" s="123">
        <v>0</v>
      </c>
      <c r="F67" s="123"/>
      <c r="G67" s="93">
        <f>'SEK - Safesprings tjänster 2025'!G67</f>
        <v>1.6666666666666667</v>
      </c>
      <c r="H67" s="93">
        <f t="shared" si="5"/>
        <v>112.8</v>
      </c>
      <c r="I67" s="88"/>
      <c r="J67" s="94"/>
      <c r="K67" s="95">
        <f t="shared" si="6"/>
        <v>0</v>
      </c>
      <c r="L67" s="124"/>
      <c r="M67" s="20"/>
    </row>
    <row r="68" spans="1:19" s="54" customFormat="1" ht="25" customHeight="1">
      <c r="A68" s="47"/>
      <c r="B68" s="137" t="s">
        <v>219</v>
      </c>
      <c r="C68" s="85">
        <v>8</v>
      </c>
      <c r="D68" s="85">
        <v>16</v>
      </c>
      <c r="E68" s="120">
        <v>0</v>
      </c>
      <c r="F68" s="120"/>
      <c r="G68" s="87">
        <f>'SEK - Safesprings tjänster 2025'!G68</f>
        <v>2.1111111111111112</v>
      </c>
      <c r="H68" s="87">
        <f t="shared" si="5"/>
        <v>142.88</v>
      </c>
      <c r="I68" s="88"/>
      <c r="J68" s="32"/>
      <c r="K68" s="89">
        <f t="shared" si="6"/>
        <v>0</v>
      </c>
      <c r="L68" s="124"/>
      <c r="M68" s="20"/>
    </row>
    <row r="69" spans="1:19" s="54" customFormat="1" ht="25" customHeight="1">
      <c r="A69" s="47"/>
      <c r="B69" s="139" t="s">
        <v>220</v>
      </c>
      <c r="C69" s="91">
        <v>8</v>
      </c>
      <c r="D69" s="91">
        <v>32</v>
      </c>
      <c r="E69" s="123">
        <v>0</v>
      </c>
      <c r="F69" s="123"/>
      <c r="G69" s="93">
        <f>'SEK - Safesprings tjänster 2025'!G69</f>
        <v>3.3333333333333335</v>
      </c>
      <c r="H69" s="93">
        <f t="shared" si="5"/>
        <v>225.6</v>
      </c>
      <c r="I69" s="88"/>
      <c r="J69" s="94"/>
      <c r="K69" s="95">
        <f t="shared" si="6"/>
        <v>0</v>
      </c>
      <c r="L69" s="124"/>
      <c r="M69" s="20"/>
    </row>
    <row r="70" spans="1:19" s="54" customFormat="1" ht="25" customHeight="1">
      <c r="A70" s="47"/>
      <c r="B70" s="137" t="s">
        <v>221</v>
      </c>
      <c r="C70" s="85">
        <v>16</v>
      </c>
      <c r="D70" s="85">
        <v>32</v>
      </c>
      <c r="E70" s="120">
        <v>0</v>
      </c>
      <c r="F70" s="120"/>
      <c r="G70" s="87">
        <f>'SEK - Safesprings tjänster 2025'!G70</f>
        <v>4.2222222222222223</v>
      </c>
      <c r="H70" s="87">
        <f t="shared" si="5"/>
        <v>285.76</v>
      </c>
      <c r="I70" s="88"/>
      <c r="J70" s="32"/>
      <c r="K70" s="89">
        <f t="shared" si="6"/>
        <v>0</v>
      </c>
      <c r="L70" s="124"/>
      <c r="M70" s="20"/>
      <c r="P70" s="66"/>
      <c r="Q70" s="66"/>
      <c r="R70" s="66"/>
    </row>
    <row r="71" spans="1:19" s="54" customFormat="1" ht="25" customHeight="1">
      <c r="A71" s="47"/>
      <c r="B71" s="139" t="s">
        <v>222</v>
      </c>
      <c r="C71" s="91">
        <v>16</v>
      </c>
      <c r="D71" s="91">
        <v>64</v>
      </c>
      <c r="E71" s="123">
        <v>0</v>
      </c>
      <c r="F71" s="123"/>
      <c r="G71" s="93">
        <f>'SEK - Safesprings tjänster 2025'!G71</f>
        <v>6.666666666666667</v>
      </c>
      <c r="H71" s="93">
        <f t="shared" si="5"/>
        <v>451.2</v>
      </c>
      <c r="I71" s="88"/>
      <c r="J71" s="94"/>
      <c r="K71" s="95">
        <f t="shared" si="6"/>
        <v>0</v>
      </c>
      <c r="L71" s="124"/>
      <c r="M71" s="20"/>
      <c r="P71" s="66"/>
      <c r="Q71" s="66"/>
      <c r="R71" s="66"/>
    </row>
    <row r="72" spans="1:19" s="101" customFormat="1" ht="25" customHeight="1">
      <c r="A72" s="96"/>
      <c r="B72" s="97" t="s">
        <v>18</v>
      </c>
      <c r="C72" s="98">
        <f t="array" ref="C72">SUM(C62:C71*I62:I71)</f>
        <v>0</v>
      </c>
      <c r="D72" s="98">
        <f t="array" ref="D72">SUM(D62:D71*I62:I71)</f>
        <v>0</v>
      </c>
      <c r="E72" s="126" t="s">
        <v>20</v>
      </c>
      <c r="F72" s="126"/>
      <c r="G72" s="98"/>
      <c r="H72" s="98"/>
      <c r="I72" s="98">
        <f>SUM(I62:I71)</f>
        <v>0</v>
      </c>
      <c r="J72" s="98"/>
      <c r="K72" s="127">
        <f>SUM(K62:K71)</f>
        <v>0</v>
      </c>
      <c r="M72" s="20"/>
      <c r="P72" s="102"/>
      <c r="R72" s="102"/>
    </row>
    <row r="73" spans="1:19" s="54" customFormat="1" ht="25" customHeight="1">
      <c r="A73" s="47"/>
      <c r="B73" s="104"/>
      <c r="C73" s="104"/>
      <c r="D73" s="104"/>
      <c r="E73" s="105"/>
      <c r="F73" s="106"/>
      <c r="G73" s="107"/>
      <c r="H73" s="108"/>
      <c r="I73" s="109"/>
      <c r="J73" s="110"/>
      <c r="K73" s="128"/>
      <c r="M73" s="20"/>
      <c r="P73" s="66"/>
      <c r="R73" s="66"/>
    </row>
    <row r="74" spans="1:19" s="54" customFormat="1" ht="25" customHeight="1">
      <c r="A74" s="47"/>
      <c r="B74" s="104"/>
      <c r="C74" s="104"/>
      <c r="D74" s="104"/>
      <c r="E74" s="105"/>
      <c r="F74" s="106"/>
      <c r="G74" s="107"/>
      <c r="H74" s="108"/>
      <c r="I74" s="109"/>
      <c r="J74" s="110"/>
      <c r="K74" s="128"/>
      <c r="M74" s="20"/>
      <c r="P74" s="66"/>
      <c r="R74" s="66"/>
    </row>
    <row r="75" spans="1:19" ht="25" customHeight="1">
      <c r="B75" s="112"/>
      <c r="C75" s="113"/>
      <c r="D75" s="113"/>
      <c r="E75" s="113"/>
      <c r="F75" s="113"/>
      <c r="G75" s="114"/>
      <c r="H75" s="115"/>
      <c r="I75" s="115"/>
      <c r="J75" s="113"/>
      <c r="K75" s="129"/>
      <c r="M75" s="20"/>
      <c r="P75" s="66"/>
      <c r="Q75" s="66"/>
      <c r="R75" s="83"/>
    </row>
    <row r="76" spans="1:19" s="82" customFormat="1" ht="25" customHeight="1">
      <c r="A76" s="77"/>
      <c r="B76" s="68" t="s">
        <v>623</v>
      </c>
      <c r="C76" s="117"/>
      <c r="D76" s="117"/>
      <c r="K76" s="130"/>
      <c r="M76" s="20"/>
    </row>
    <row r="77" spans="1:19" ht="25" customHeight="1">
      <c r="B77" s="76" t="s">
        <v>620</v>
      </c>
      <c r="K77" s="131"/>
      <c r="M77" s="20"/>
    </row>
    <row r="78" spans="1:19" s="134" customFormat="1" ht="25" customHeight="1">
      <c r="A78" s="119"/>
      <c r="B78" s="78" t="s">
        <v>23</v>
      </c>
      <c r="C78" s="79" t="s">
        <v>11</v>
      </c>
      <c r="D78" s="79" t="s">
        <v>197</v>
      </c>
      <c r="E78" s="6" t="s">
        <v>198</v>
      </c>
      <c r="F78" s="1" t="s">
        <v>709</v>
      </c>
      <c r="G78" s="6" t="s">
        <v>290</v>
      </c>
      <c r="H78" s="6" t="s">
        <v>621</v>
      </c>
      <c r="I78" s="80" t="s">
        <v>33</v>
      </c>
      <c r="J78" s="79"/>
      <c r="K78" s="81" t="s">
        <v>34</v>
      </c>
      <c r="M78" s="20"/>
      <c r="O78" s="135"/>
      <c r="P78" s="136"/>
      <c r="Q78" s="136"/>
      <c r="R78" s="136"/>
      <c r="S78" s="135"/>
    </row>
    <row r="79" spans="1:19" s="54" customFormat="1" ht="25" customHeight="1">
      <c r="A79" s="47"/>
      <c r="B79" s="137" t="s">
        <v>715</v>
      </c>
      <c r="C79" s="85">
        <v>4</v>
      </c>
      <c r="D79" s="85">
        <v>16</v>
      </c>
      <c r="E79" s="120">
        <v>125</v>
      </c>
      <c r="F79" s="120" t="s">
        <v>710</v>
      </c>
      <c r="G79" s="945">
        <f>H79/720</f>
        <v>2.1040000000000001</v>
      </c>
      <c r="H79" s="945">
        <f>C79*IAAS_vcpu_SEK+D79*IAAS_ram_SEK+E79*IAAS_nvme_SEK+1*IAAS_GPU_A2_EUR</f>
        <v>1514.88</v>
      </c>
      <c r="I79" s="88"/>
      <c r="J79" s="32"/>
      <c r="K79" s="138">
        <f>ROUNDUP(I79*H79,2)</f>
        <v>0</v>
      </c>
      <c r="M79" s="20"/>
      <c r="N79" s="121"/>
      <c r="O79" s="122"/>
    </row>
    <row r="80" spans="1:19" s="54" customFormat="1" ht="25" customHeight="1">
      <c r="A80" s="47"/>
      <c r="B80" s="139" t="s">
        <v>25</v>
      </c>
      <c r="C80" s="91">
        <v>8</v>
      </c>
      <c r="D80" s="91">
        <v>32</v>
      </c>
      <c r="E80" s="123">
        <v>250</v>
      </c>
      <c r="F80" s="123" t="s">
        <v>710</v>
      </c>
      <c r="G80" s="946">
        <f>H80/720</f>
        <v>3.9442777777777778</v>
      </c>
      <c r="H80" s="946">
        <f>C80*IAAS_vcpu_SEK+D80*IAAS_ram_SEK+E80*IAAS_nvme_SEK+1*IAAS_GPU_A2_EUR</f>
        <v>2839.88</v>
      </c>
      <c r="I80" s="88"/>
      <c r="J80" s="94"/>
      <c r="K80" s="140">
        <f>ROUNDUP(I80*H80,2)</f>
        <v>0</v>
      </c>
      <c r="L80" s="124"/>
      <c r="M80" s="20"/>
      <c r="N80" s="121"/>
      <c r="O80" s="122"/>
    </row>
    <row r="81" spans="1:20" s="54" customFormat="1" ht="25" customHeight="1">
      <c r="A81" s="47"/>
      <c r="B81" s="137" t="s">
        <v>26</v>
      </c>
      <c r="C81" s="85">
        <v>4</v>
      </c>
      <c r="D81" s="85">
        <v>8</v>
      </c>
      <c r="E81" s="120">
        <v>0</v>
      </c>
      <c r="F81" s="120" t="s">
        <v>710</v>
      </c>
      <c r="G81" s="945">
        <f>H81/720</f>
        <v>1.3192777777777778</v>
      </c>
      <c r="H81" s="945">
        <f>C81*IAAS_vcpu_SEK+D81*IAAS_ram_SEK+E81*IAAS_nvme_SEK+1*IAAS_GPU_A2_EUR</f>
        <v>949.88</v>
      </c>
      <c r="I81" s="88"/>
      <c r="J81" s="32"/>
      <c r="K81" s="138">
        <f>ROUNDUP(I81*H81,2)</f>
        <v>0</v>
      </c>
      <c r="L81" s="124"/>
      <c r="M81" s="20"/>
      <c r="N81" s="121"/>
      <c r="O81" s="122"/>
    </row>
    <row r="82" spans="1:20" s="54" customFormat="1" ht="25" customHeight="1">
      <c r="A82" s="47"/>
      <c r="B82" s="418" t="s">
        <v>224</v>
      </c>
      <c r="C82" s="91">
        <v>8</v>
      </c>
      <c r="D82" s="91">
        <v>16</v>
      </c>
      <c r="E82" s="123">
        <v>0</v>
      </c>
      <c r="F82" s="123" t="s">
        <v>710</v>
      </c>
      <c r="G82" s="946">
        <f t="shared" ref="G82" si="7">H82/720</f>
        <v>2.3748333333333336</v>
      </c>
      <c r="H82" s="946">
        <f>C82*IAAS_vcpu_SEK+D82*IAAS_ram_SEK+E82*IAAS_nvme_SEK+1*IAAS_GPU_A2_EUR</f>
        <v>1709.88</v>
      </c>
      <c r="I82" s="88"/>
      <c r="J82" s="94"/>
      <c r="K82" s="140">
        <f>ROUNDUP(I82*H82,2)</f>
        <v>0</v>
      </c>
      <c r="L82" s="124"/>
      <c r="M82" s="20"/>
      <c r="N82" s="121"/>
      <c r="O82" s="125"/>
    </row>
    <row r="83" spans="1:20" s="54" customFormat="1" ht="25" customHeight="1">
      <c r="A83" s="47"/>
      <c r="B83" s="137" t="s">
        <v>707</v>
      </c>
      <c r="C83" s="85">
        <v>32</v>
      </c>
      <c r="D83" s="85">
        <v>192</v>
      </c>
      <c r="E83" s="120">
        <v>0</v>
      </c>
      <c r="F83" s="120" t="s">
        <v>711</v>
      </c>
      <c r="G83" s="945">
        <f>H83/720</f>
        <v>18.485944444444442</v>
      </c>
      <c r="H83" s="945">
        <f>C83*IAAS_vcpu_SEK+D83*IAAS_ram_SEK+E83*IAAS_nvme_SEK+1*IAAS_GPU_A2_EUR</f>
        <v>13309.88</v>
      </c>
      <c r="I83" s="88"/>
      <c r="J83" s="32"/>
      <c r="K83" s="138"/>
      <c r="L83" s="124"/>
      <c r="M83" s="20"/>
      <c r="N83" s="121"/>
      <c r="O83" s="125"/>
    </row>
    <row r="84" spans="1:20" s="101" customFormat="1" ht="25" customHeight="1">
      <c r="A84" s="47"/>
      <c r="B84" s="97" t="s">
        <v>27</v>
      </c>
      <c r="C84" s="98" t="str">
        <f t="array" ref="C84">SUM(C79:C82*I79:I82)&amp;" st"</f>
        <v>0 st</v>
      </c>
      <c r="D84" s="98" t="str">
        <f t="array" ref="D84">SUM(D79:D82*I79:I82)&amp;" st"</f>
        <v>0 st</v>
      </c>
      <c r="E84" s="98" t="str">
        <f t="array" ref="E84">SUM(E79:E82*I79:I82)&amp;" st"</f>
        <v>0 st</v>
      </c>
      <c r="F84" s="98"/>
      <c r="G84" s="98"/>
      <c r="H84" s="98"/>
      <c r="I84" s="98" t="str">
        <f>SUM(I79:I82)&amp;" st"</f>
        <v>0 st</v>
      </c>
      <c r="J84" s="98"/>
      <c r="K84" s="142">
        <f>SUM(K79:K82)</f>
        <v>0</v>
      </c>
      <c r="M84" s="20"/>
      <c r="N84" s="54"/>
      <c r="P84" s="102"/>
      <c r="R84" s="102"/>
    </row>
    <row r="85" spans="1:20" s="54" customFormat="1" ht="25" customHeight="1">
      <c r="A85" s="47"/>
      <c r="B85" s="177"/>
      <c r="C85" s="160"/>
      <c r="D85" s="160"/>
      <c r="E85" s="160"/>
      <c r="F85" s="160"/>
      <c r="G85" s="160"/>
      <c r="H85" s="161"/>
      <c r="I85" s="161"/>
      <c r="J85" s="161"/>
      <c r="K85" s="162"/>
      <c r="L85" s="178"/>
      <c r="M85" s="20"/>
      <c r="Q85" s="66"/>
      <c r="S85" s="66"/>
    </row>
    <row r="86" spans="1:20" ht="25" customHeight="1">
      <c r="B86" s="68" t="s">
        <v>624</v>
      </c>
      <c r="C86" s="163"/>
      <c r="D86" s="163"/>
      <c r="E86" s="163"/>
      <c r="F86" s="163"/>
      <c r="G86" s="163"/>
      <c r="H86" s="161"/>
      <c r="I86" s="161"/>
      <c r="J86" s="161"/>
      <c r="K86" s="162"/>
      <c r="L86" s="178"/>
      <c r="M86" s="20"/>
      <c r="N86" s="54"/>
      <c r="O86" s="54"/>
      <c r="P86" s="54"/>
      <c r="Q86" s="54"/>
      <c r="R86" s="66"/>
      <c r="S86" s="54"/>
      <c r="T86" s="83"/>
    </row>
    <row r="87" spans="1:20" ht="25" customHeight="1">
      <c r="B87" s="76" t="s">
        <v>625</v>
      </c>
      <c r="M87" s="20"/>
    </row>
    <row r="88" spans="1:20" s="182" customFormat="1" ht="25" customHeight="1">
      <c r="A88" s="185"/>
      <c r="B88" s="78" t="s">
        <v>23</v>
      </c>
      <c r="C88" s="179" t="s">
        <v>295</v>
      </c>
      <c r="D88" s="179"/>
      <c r="E88" s="179"/>
      <c r="F88" s="179"/>
      <c r="G88" s="1" t="s">
        <v>290</v>
      </c>
      <c r="H88" s="6" t="s">
        <v>621</v>
      </c>
      <c r="I88" s="180" t="s">
        <v>626</v>
      </c>
      <c r="J88" s="179"/>
      <c r="K88" s="181" t="s">
        <v>229</v>
      </c>
      <c r="L88" s="136"/>
      <c r="M88" s="20"/>
      <c r="N88" s="136"/>
      <c r="R88" s="183"/>
      <c r="S88" s="183"/>
      <c r="T88" s="184"/>
    </row>
    <row r="89" spans="1:20" s="54" customFormat="1" ht="25" customHeight="1">
      <c r="A89" s="47"/>
      <c r="B89" s="137" t="s">
        <v>40</v>
      </c>
      <c r="C89" s="186" t="s">
        <v>41</v>
      </c>
      <c r="D89" s="187"/>
      <c r="E89" s="187"/>
      <c r="F89" s="187"/>
      <c r="G89" s="188">
        <f>H89/720</f>
        <v>1.5666666666666666E-4</v>
      </c>
      <c r="H89" s="189">
        <f>VOLUME_large_EUR</f>
        <v>0.1128</v>
      </c>
      <c r="I89" s="190"/>
      <c r="J89" s="191"/>
      <c r="K89" s="192">
        <f>ROUNDUP(I89*H89,2)</f>
        <v>0</v>
      </c>
      <c r="L89" s="161"/>
      <c r="M89" s="20"/>
    </row>
    <row r="90" spans="1:20" s="54" customFormat="1" ht="25" customHeight="1">
      <c r="A90" s="47"/>
      <c r="B90" s="139" t="s">
        <v>42</v>
      </c>
      <c r="C90" s="54" t="s">
        <v>43</v>
      </c>
      <c r="D90" s="174"/>
      <c r="E90" s="174"/>
      <c r="F90" s="174"/>
      <c r="G90" s="193">
        <f>H90/720</f>
        <v>4.7000000000000004E-4</v>
      </c>
      <c r="H90" s="194">
        <f>VOLUME_fast_EUR</f>
        <v>0.33840000000000003</v>
      </c>
      <c r="I90" s="196"/>
      <c r="J90" s="197"/>
      <c r="K90" s="198">
        <f>ROUNDUP(I90*H90,2)</f>
        <v>0</v>
      </c>
      <c r="L90" s="161"/>
      <c r="M90" s="20"/>
      <c r="T90" s="66"/>
    </row>
    <row r="91" spans="1:20" s="54" customFormat="1" ht="25" customHeight="1">
      <c r="A91" s="47"/>
      <c r="B91" s="137" t="s">
        <v>44</v>
      </c>
      <c r="C91" s="186" t="s">
        <v>45</v>
      </c>
      <c r="D91" s="187"/>
      <c r="E91" s="187"/>
      <c r="F91" s="187"/>
      <c r="G91" s="188">
        <f>H91/720</f>
        <v>1.5666666666666666E-4</v>
      </c>
      <c r="H91" s="189">
        <f>VOLUME_large_EUR</f>
        <v>0.1128</v>
      </c>
      <c r="I91" s="190"/>
      <c r="J91" s="191"/>
      <c r="K91" s="192">
        <f>ROUNDUP(I91*H91,2)</f>
        <v>0</v>
      </c>
      <c r="L91" s="161"/>
      <c r="M91" s="20"/>
    </row>
    <row r="92" spans="1:20" s="101" customFormat="1" ht="25" customHeight="1">
      <c r="A92" s="96"/>
      <c r="B92" s="97" t="s">
        <v>18</v>
      </c>
      <c r="C92" s="98"/>
      <c r="D92" s="98"/>
      <c r="E92" s="98"/>
      <c r="F92" s="98"/>
      <c r="G92" s="98"/>
      <c r="H92" s="98"/>
      <c r="I92" s="98" t="str">
        <f>SUM(I89:I91)&amp;" GB"</f>
        <v>0 GB</v>
      </c>
      <c r="J92" s="98"/>
      <c r="K92" s="127">
        <f>SUM(K89:K91)</f>
        <v>0</v>
      </c>
      <c r="M92" s="20"/>
      <c r="P92" s="102"/>
      <c r="R92" s="102"/>
    </row>
    <row r="93" spans="1:20" ht="25" customHeight="1">
      <c r="B93" s="175"/>
      <c r="C93" s="176"/>
      <c r="D93" s="176"/>
      <c r="E93" s="176"/>
      <c r="F93" s="176"/>
      <c r="G93" s="176"/>
      <c r="H93" s="174"/>
      <c r="I93" s="199"/>
      <c r="J93" s="199"/>
      <c r="K93" s="200"/>
      <c r="L93" s="201"/>
      <c r="M93" s="20"/>
    </row>
    <row r="94" spans="1:20" s="38" customFormat="1" ht="25" customHeight="1">
      <c r="A94" s="47"/>
      <c r="B94" s="175"/>
      <c r="C94" s="176"/>
      <c r="D94" s="176"/>
      <c r="E94" s="176"/>
      <c r="F94" s="176"/>
      <c r="G94" s="176"/>
      <c r="H94" s="199"/>
      <c r="I94" s="199"/>
      <c r="J94" s="199"/>
      <c r="K94" s="200"/>
      <c r="L94" s="202"/>
      <c r="M94" s="20"/>
    </row>
    <row r="95" spans="1:20" s="38" customFormat="1" ht="25" customHeight="1">
      <c r="A95" s="47"/>
      <c r="B95" s="982" t="s">
        <v>46</v>
      </c>
      <c r="C95" s="982"/>
      <c r="D95" s="982"/>
      <c r="E95" s="982"/>
      <c r="F95" s="982"/>
      <c r="G95" s="982"/>
      <c r="H95" s="50"/>
      <c r="J95" s="53"/>
      <c r="K95" s="51"/>
      <c r="M95" s="20"/>
    </row>
    <row r="96" spans="1:20" s="38" customFormat="1" ht="25" customHeight="1">
      <c r="A96" s="47"/>
      <c r="B96" s="982"/>
      <c r="C96" s="982"/>
      <c r="D96" s="982"/>
      <c r="E96" s="982"/>
      <c r="F96" s="982"/>
      <c r="G96" s="982"/>
      <c r="H96" s="50"/>
      <c r="J96" s="53"/>
      <c r="K96" s="51"/>
      <c r="M96" s="20"/>
    </row>
    <row r="97" spans="1:20" s="38" customFormat="1" ht="25" customHeight="1">
      <c r="A97" s="47"/>
      <c r="B97" s="982"/>
      <c r="C97" s="982"/>
      <c r="D97" s="982"/>
      <c r="E97" s="982"/>
      <c r="F97" s="982"/>
      <c r="G97" s="982"/>
      <c r="H97" s="50"/>
      <c r="J97" s="53"/>
      <c r="K97" s="51"/>
      <c r="M97" s="20"/>
    </row>
    <row r="98" spans="1:20" s="38" customFormat="1" ht="25" customHeight="1">
      <c r="A98" s="47"/>
      <c r="B98" s="55" t="s">
        <v>627</v>
      </c>
      <c r="C98" s="55"/>
      <c r="D98" s="55"/>
      <c r="E98" s="55"/>
      <c r="F98" s="55"/>
      <c r="H98" s="50"/>
      <c r="J98" s="53"/>
      <c r="K98" s="51"/>
      <c r="M98" s="20"/>
    </row>
    <row r="99" spans="1:20" s="207" customFormat="1" ht="25" customHeight="1">
      <c r="A99" s="208"/>
      <c r="B99" s="8" t="s">
        <v>618</v>
      </c>
      <c r="C99" s="8"/>
      <c r="D99" s="8"/>
      <c r="E99" s="8"/>
      <c r="F99" s="8"/>
      <c r="G99" s="203"/>
      <c r="H99" s="204"/>
      <c r="I99" s="203"/>
      <c r="J99" s="205"/>
      <c r="K99" s="206"/>
      <c r="L99" s="203"/>
      <c r="M99" s="20"/>
    </row>
    <row r="100" spans="1:20" s="38" customFormat="1" ht="25" customHeight="1">
      <c r="A100" s="47"/>
      <c r="B100" s="62" t="s">
        <v>619</v>
      </c>
      <c r="C100" s="63"/>
      <c r="D100" s="63"/>
      <c r="E100" s="64"/>
      <c r="F100" s="64"/>
      <c r="G100" s="57"/>
      <c r="H100" s="58"/>
      <c r="I100" s="57"/>
      <c r="J100" s="59"/>
      <c r="K100" s="60"/>
      <c r="L100" s="65"/>
      <c r="M100" s="20"/>
      <c r="O100" s="54"/>
      <c r="P100" s="54"/>
    </row>
    <row r="101" spans="1:20" s="54" customFormat="1" ht="25" customHeight="1">
      <c r="A101" s="47"/>
      <c r="B101" s="177"/>
      <c r="C101" s="160"/>
      <c r="D101" s="160"/>
      <c r="E101" s="160"/>
      <c r="F101" s="160"/>
      <c r="G101" s="160"/>
      <c r="H101" s="161"/>
      <c r="I101" s="161"/>
      <c r="J101" s="161"/>
      <c r="K101" s="162"/>
      <c r="L101" s="178"/>
      <c r="M101" s="20"/>
      <c r="R101" s="66"/>
      <c r="T101" s="66"/>
    </row>
    <row r="102" spans="1:20" s="38" customFormat="1" ht="25" customHeight="1">
      <c r="A102" s="47"/>
      <c r="B102" s="78" t="s">
        <v>23</v>
      </c>
      <c r="C102" s="209"/>
      <c r="D102" s="6"/>
      <c r="E102" s="6"/>
      <c r="F102" s="179"/>
      <c r="G102" s="6" t="s">
        <v>628</v>
      </c>
      <c r="H102" s="179"/>
      <c r="I102" s="180" t="s">
        <v>629</v>
      </c>
      <c r="J102" s="6"/>
      <c r="K102" s="181" t="s">
        <v>229</v>
      </c>
      <c r="L102" s="61"/>
      <c r="M102" s="20"/>
      <c r="N102" s="54"/>
    </row>
    <row r="103" spans="1:20" s="216" customFormat="1" ht="25" customHeight="1">
      <c r="A103" s="217"/>
      <c r="B103" s="137" t="s">
        <v>50</v>
      </c>
      <c r="C103" s="187"/>
      <c r="D103" s="210"/>
      <c r="E103" s="210"/>
      <c r="F103" s="211"/>
      <c r="G103" s="212">
        <f>S3_archive.50_EUR</f>
        <v>32.9</v>
      </c>
      <c r="H103" s="211"/>
      <c r="I103" s="213"/>
      <c r="J103" s="214"/>
      <c r="K103" s="192">
        <f>I103*G103</f>
        <v>0</v>
      </c>
      <c r="L103" s="215"/>
      <c r="M103" s="20"/>
      <c r="N103" s="174"/>
    </row>
    <row r="104" spans="1:20" s="54" customFormat="1" ht="25" customHeight="1">
      <c r="A104" s="47"/>
      <c r="B104" s="139" t="s">
        <v>51</v>
      </c>
      <c r="D104" s="174"/>
      <c r="E104" s="174"/>
      <c r="F104" s="195"/>
      <c r="G104" s="218">
        <f>S3_storage50_EUR</f>
        <v>47</v>
      </c>
      <c r="H104" s="219"/>
      <c r="I104" s="220"/>
      <c r="J104" s="197"/>
      <c r="K104" s="198">
        <f>I104*G104</f>
        <v>0</v>
      </c>
      <c r="L104" s="161"/>
      <c r="M104" s="20"/>
      <c r="T104" s="66"/>
    </row>
    <row r="105" spans="1:20" s="101" customFormat="1" ht="25" customHeight="1">
      <c r="A105" s="96"/>
      <c r="B105" s="97" t="s">
        <v>18</v>
      </c>
      <c r="C105" s="98"/>
      <c r="D105" s="98"/>
      <c r="E105" s="98"/>
      <c r="F105" s="98"/>
      <c r="G105" s="98"/>
      <c r="H105" s="98"/>
      <c r="I105" s="98"/>
      <c r="J105" s="98"/>
      <c r="K105" s="127">
        <f>SUM(K103:K104)</f>
        <v>0</v>
      </c>
      <c r="M105" s="20"/>
      <c r="P105" s="102"/>
      <c r="R105" s="102"/>
    </row>
    <row r="106" spans="1:20" ht="25" customHeight="1">
      <c r="B106" s="112"/>
      <c r="C106" s="113"/>
      <c r="D106" s="113"/>
      <c r="E106" s="113"/>
      <c r="F106" s="113"/>
      <c r="G106" s="114"/>
      <c r="H106" s="115"/>
      <c r="I106" s="115"/>
      <c r="M106" s="20"/>
      <c r="N106" s="66"/>
      <c r="O106" s="66"/>
      <c r="P106" s="83"/>
    </row>
    <row r="107" spans="1:20" s="150" customFormat="1" ht="25" customHeight="1">
      <c r="A107" s="151"/>
      <c r="B107" s="8"/>
      <c r="C107" s="143"/>
      <c r="D107" s="64"/>
      <c r="E107" s="64"/>
      <c r="F107" s="64"/>
      <c r="G107" s="57"/>
      <c r="H107" s="58"/>
      <c r="I107" s="108"/>
      <c r="J107" s="65"/>
      <c r="K107" s="60"/>
      <c r="L107" s="61"/>
      <c r="M107" s="20"/>
      <c r="N107" s="182"/>
      <c r="O107" s="182"/>
      <c r="P107" s="182"/>
      <c r="Q107" s="182"/>
      <c r="R107" s="182"/>
      <c r="S107" s="182"/>
    </row>
    <row r="108" spans="1:20" ht="25" customHeight="1">
      <c r="B108" s="238"/>
      <c r="C108" s="239"/>
      <c r="D108" s="239"/>
      <c r="E108" s="239"/>
      <c r="F108" s="240"/>
      <c r="G108" s="241"/>
      <c r="H108" s="199"/>
      <c r="I108" s="199"/>
      <c r="J108" s="199"/>
      <c r="K108" s="200"/>
      <c r="L108" s="201"/>
      <c r="M108" s="20"/>
      <c r="N108" s="54"/>
      <c r="Q108" s="38"/>
    </row>
    <row r="109" spans="1:20" s="38" customFormat="1" ht="25" customHeight="1">
      <c r="A109" s="47"/>
      <c r="B109" s="982" t="s">
        <v>63</v>
      </c>
      <c r="C109" s="982"/>
      <c r="D109" s="982"/>
      <c r="E109" s="982"/>
      <c r="F109" s="982"/>
      <c r="G109" s="982"/>
      <c r="H109" s="50"/>
      <c r="J109" s="53"/>
      <c r="K109" s="51"/>
      <c r="L109" s="53"/>
      <c r="M109" s="20"/>
    </row>
    <row r="110" spans="1:20" s="38" customFormat="1" ht="25" customHeight="1">
      <c r="A110" s="47"/>
      <c r="B110" s="982"/>
      <c r="C110" s="982"/>
      <c r="D110" s="982"/>
      <c r="E110" s="982"/>
      <c r="F110" s="982"/>
      <c r="G110" s="982"/>
      <c r="H110" s="50"/>
      <c r="J110" s="53"/>
      <c r="K110" s="51"/>
      <c r="L110" s="53"/>
      <c r="M110" s="20"/>
    </row>
    <row r="111" spans="1:20" s="38" customFormat="1" ht="25" customHeight="1">
      <c r="A111" s="47"/>
      <c r="B111" s="982"/>
      <c r="C111" s="982"/>
      <c r="D111" s="982"/>
      <c r="E111" s="982"/>
      <c r="F111" s="982"/>
      <c r="G111" s="982"/>
      <c r="H111" s="50"/>
      <c r="J111" s="53"/>
      <c r="K111" s="51"/>
      <c r="L111" s="53"/>
      <c r="M111" s="20"/>
    </row>
    <row r="112" spans="1:20" s="38" customFormat="1" ht="25" customHeight="1">
      <c r="A112" s="47"/>
      <c r="B112" s="55" t="s">
        <v>630</v>
      </c>
      <c r="C112" s="55"/>
      <c r="D112" s="55"/>
      <c r="E112" s="55"/>
      <c r="F112" s="55"/>
      <c r="H112" s="50"/>
      <c r="J112" s="53"/>
      <c r="K112" s="51"/>
      <c r="L112" s="53"/>
      <c r="M112" s="20"/>
    </row>
    <row r="113" spans="1:32" s="38" customFormat="1" ht="25" customHeight="1">
      <c r="A113" s="47"/>
      <c r="B113" s="8" t="s">
        <v>618</v>
      </c>
      <c r="C113" s="8"/>
      <c r="D113" s="8"/>
      <c r="E113" s="8"/>
      <c r="F113" s="8"/>
      <c r="G113" s="57"/>
      <c r="H113" s="58"/>
      <c r="J113" s="59"/>
      <c r="K113" s="60"/>
      <c r="L113" s="61"/>
      <c r="M113" s="20"/>
      <c r="S113" s="54"/>
      <c r="T113" s="54"/>
      <c r="U113" s="54"/>
      <c r="V113" s="54"/>
      <c r="W113" s="54"/>
      <c r="X113" s="54"/>
      <c r="Y113" s="54"/>
      <c r="Z113" s="54"/>
    </row>
    <row r="114" spans="1:32" s="38" customFormat="1" ht="25" customHeight="1">
      <c r="A114" s="47"/>
      <c r="B114" s="62" t="s">
        <v>619</v>
      </c>
      <c r="C114" s="63"/>
      <c r="D114" s="63"/>
      <c r="E114" s="64"/>
      <c r="F114" s="64"/>
      <c r="G114" s="57"/>
      <c r="H114" s="58"/>
      <c r="I114" s="57"/>
      <c r="J114" s="59"/>
      <c r="K114" s="60"/>
      <c r="L114" s="65"/>
      <c r="M114" s="20"/>
      <c r="O114" s="54"/>
      <c r="P114" s="54"/>
    </row>
    <row r="115" spans="1:32" s="150" customFormat="1" ht="25" customHeight="1">
      <c r="A115" s="151"/>
      <c r="B115" s="243"/>
      <c r="C115" s="161"/>
      <c r="D115" s="161"/>
      <c r="E115" s="161"/>
      <c r="F115" s="161"/>
      <c r="G115" s="161"/>
      <c r="H115" s="161"/>
      <c r="I115" s="161"/>
      <c r="J115" s="161"/>
      <c r="K115" s="162"/>
      <c r="L115" s="161"/>
      <c r="M115" s="20"/>
      <c r="P115" s="182"/>
      <c r="Q115" s="182"/>
      <c r="R115" s="182"/>
      <c r="S115" s="182"/>
      <c r="T115" s="182"/>
      <c r="U115" s="182"/>
    </row>
    <row r="116" spans="1:32" ht="25" customHeight="1">
      <c r="B116" s="78" t="s">
        <v>23</v>
      </c>
      <c r="C116" s="244"/>
      <c r="D116" s="244"/>
      <c r="E116" s="6" t="s">
        <v>302</v>
      </c>
      <c r="F116" s="244"/>
      <c r="G116" s="6" t="s">
        <v>631</v>
      </c>
      <c r="H116" s="179"/>
      <c r="I116" s="180" t="s">
        <v>626</v>
      </c>
      <c r="J116" s="245" t="s">
        <v>632</v>
      </c>
      <c r="K116" s="181" t="s">
        <v>68</v>
      </c>
      <c r="L116" s="178"/>
      <c r="M116" s="20"/>
    </row>
    <row r="117" spans="1:32" ht="25" customHeight="1">
      <c r="B117" s="137" t="s">
        <v>69</v>
      </c>
      <c r="C117" s="187"/>
      <c r="D117" s="187"/>
      <c r="E117" s="246" t="s">
        <v>20</v>
      </c>
      <c r="F117" s="191"/>
      <c r="G117" s="247">
        <f>BAAS_on.demand_EUR</f>
        <v>0.2303</v>
      </c>
      <c r="H117" s="191"/>
      <c r="I117" s="213"/>
      <c r="J117" s="248" t="s">
        <v>20</v>
      </c>
      <c r="K117" s="192">
        <f>ROUNDUP(I117*G117,2)</f>
        <v>0</v>
      </c>
      <c r="L117" s="178"/>
      <c r="M117" s="20"/>
    </row>
    <row r="118" spans="1:32" ht="25" customHeight="1">
      <c r="B118" s="139" t="s">
        <v>70</v>
      </c>
      <c r="C118" s="174"/>
      <c r="D118" s="174"/>
      <c r="E118" s="249">
        <f>BAAS_small.fee_EUR</f>
        <v>517</v>
      </c>
      <c r="F118" s="197"/>
      <c r="G118" s="250">
        <f>BAAS_small_EUR</f>
        <v>0.16450000000000001</v>
      </c>
      <c r="H118" s="197"/>
      <c r="I118" s="251"/>
      <c r="J118" s="252">
        <v>0.75</v>
      </c>
      <c r="K118" s="198">
        <f>IF(I118&gt;0,$E$118+($G$118*(I118*(1-$J$118))),0)</f>
        <v>0</v>
      </c>
      <c r="L118" s="178"/>
      <c r="M118" s="20"/>
    </row>
    <row r="119" spans="1:32" s="256" customFormat="1" ht="25" customHeight="1">
      <c r="A119" s="257"/>
      <c r="B119" s="171" t="s">
        <v>71</v>
      </c>
      <c r="C119" s="225"/>
      <c r="D119" s="225"/>
      <c r="E119" s="253">
        <f>BAAS_large.fee_EUR</f>
        <v>893</v>
      </c>
      <c r="F119" s="229"/>
      <c r="G119" s="247">
        <f>BAAS_large_EUR</f>
        <v>8.6480000000000001E-2</v>
      </c>
      <c r="H119" s="229"/>
      <c r="I119" s="254"/>
      <c r="J119" s="255">
        <v>0.75</v>
      </c>
      <c r="K119" s="231">
        <f>IF(I119&gt;0,$E$119+($G$119*(I119*(1-$J$119))),0)</f>
        <v>0</v>
      </c>
      <c r="L119" s="178"/>
      <c r="M119" s="20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2" s="101" customFormat="1" ht="25" customHeight="1">
      <c r="A120" s="96"/>
      <c r="B120" s="97" t="s">
        <v>18</v>
      </c>
      <c r="C120" s="98"/>
      <c r="D120" s="98"/>
      <c r="E120" s="98"/>
      <c r="F120" s="98"/>
      <c r="G120" s="98"/>
      <c r="H120" s="98"/>
      <c r="I120" s="98" t="str">
        <f>SUM(I117:I119)&amp;" GB"</f>
        <v>0 GB</v>
      </c>
      <c r="J120" s="98"/>
      <c r="K120" s="127">
        <f>SUM(K117:K119)</f>
        <v>0</v>
      </c>
      <c r="M120" s="20"/>
      <c r="P120" s="102"/>
      <c r="R120" s="102"/>
    </row>
    <row r="121" spans="1:32" s="256" customFormat="1" ht="25" customHeight="1">
      <c r="A121" s="257"/>
      <c r="B121" s="103"/>
      <c r="C121" s="143"/>
      <c r="D121" s="143"/>
      <c r="E121" s="143"/>
      <c r="F121" s="258"/>
      <c r="G121" s="108"/>
      <c r="H121" s="108"/>
      <c r="I121" s="108"/>
      <c r="J121" s="108"/>
      <c r="K121" s="259"/>
      <c r="L121" s="106"/>
      <c r="M121" s="20"/>
      <c r="O121" s="260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</row>
    <row r="122" spans="1:32" ht="25" customHeight="1">
      <c r="B122" s="238"/>
      <c r="C122" s="239"/>
      <c r="D122" s="239"/>
      <c r="E122" s="239"/>
      <c r="F122" s="240"/>
      <c r="G122" s="241"/>
      <c r="H122" s="199"/>
      <c r="I122" s="199"/>
      <c r="J122" s="199"/>
      <c r="K122" s="200"/>
      <c r="L122" s="215"/>
      <c r="M122" s="20"/>
      <c r="N122" s="54"/>
    </row>
    <row r="123" spans="1:32" ht="25" customHeight="1">
      <c r="B123" s="238"/>
      <c r="C123" s="239"/>
      <c r="D123" s="239"/>
      <c r="E123" s="239"/>
      <c r="F123" s="240"/>
      <c r="G123" s="241"/>
      <c r="H123" s="199"/>
      <c r="I123" s="199"/>
      <c r="J123" s="199"/>
      <c r="K123" s="200"/>
      <c r="L123" s="201"/>
      <c r="M123" s="20"/>
      <c r="N123" s="54"/>
      <c r="Q123" s="38"/>
    </row>
    <row r="124" spans="1:32" s="38" customFormat="1" ht="25" customHeight="1">
      <c r="A124" s="47"/>
      <c r="B124" s="982" t="s">
        <v>72</v>
      </c>
      <c r="C124" s="982"/>
      <c r="D124" s="982"/>
      <c r="E124" s="982"/>
      <c r="F124" s="982"/>
      <c r="G124" s="982"/>
      <c r="H124" s="50"/>
      <c r="J124" s="53"/>
      <c r="K124" s="51"/>
      <c r="L124" s="53"/>
      <c r="M124" s="20"/>
    </row>
    <row r="125" spans="1:32" s="38" customFormat="1" ht="25" customHeight="1">
      <c r="A125" s="47"/>
      <c r="B125" s="982"/>
      <c r="C125" s="982"/>
      <c r="D125" s="982"/>
      <c r="E125" s="982"/>
      <c r="F125" s="982"/>
      <c r="G125" s="982"/>
      <c r="H125" s="50"/>
      <c r="J125" s="53"/>
      <c r="K125" s="51"/>
      <c r="L125" s="53"/>
      <c r="M125" s="20"/>
    </row>
    <row r="126" spans="1:32" s="38" customFormat="1" ht="25" customHeight="1">
      <c r="A126" s="47"/>
      <c r="B126" s="982"/>
      <c r="C126" s="982"/>
      <c r="D126" s="982"/>
      <c r="E126" s="982"/>
      <c r="F126" s="982"/>
      <c r="G126" s="982"/>
      <c r="H126" s="50"/>
      <c r="J126" s="53"/>
      <c r="K126" s="51"/>
      <c r="L126" s="53"/>
      <c r="M126" s="20"/>
    </row>
    <row r="127" spans="1:32" s="38" customFormat="1" ht="25" customHeight="1">
      <c r="A127" s="47"/>
      <c r="B127" s="55" t="s">
        <v>73</v>
      </c>
      <c r="C127" s="261"/>
      <c r="D127" s="261"/>
      <c r="E127" s="261"/>
      <c r="F127" s="261"/>
      <c r="H127" s="50"/>
      <c r="J127" s="53"/>
      <c r="K127" s="51"/>
      <c r="L127" s="53"/>
      <c r="M127" s="20"/>
    </row>
    <row r="128" spans="1:32" s="38" customFormat="1" ht="25" customHeight="1">
      <c r="A128" s="47"/>
      <c r="B128" s="8" t="s">
        <v>74</v>
      </c>
      <c r="C128" s="8"/>
      <c r="D128" s="8"/>
      <c r="E128" s="8"/>
      <c r="F128" s="8"/>
      <c r="G128" s="57"/>
      <c r="H128" s="58"/>
      <c r="J128" s="59"/>
      <c r="K128" s="60"/>
      <c r="L128" s="61"/>
      <c r="M128" s="20"/>
      <c r="S128" s="54"/>
      <c r="T128" s="54"/>
      <c r="U128" s="54"/>
      <c r="V128" s="54"/>
      <c r="W128" s="54"/>
      <c r="X128" s="54"/>
      <c r="Y128" s="54"/>
      <c r="Z128" s="54"/>
    </row>
    <row r="129" spans="1:32" s="38" customFormat="1" ht="25" customHeight="1">
      <c r="A129" s="47"/>
      <c r="B129" s="62" t="s">
        <v>7</v>
      </c>
      <c r="C129" s="63"/>
      <c r="D129" s="63"/>
      <c r="E129" s="63"/>
      <c r="F129" s="64"/>
      <c r="G129" s="57"/>
      <c r="H129" s="58"/>
      <c r="I129" s="57"/>
      <c r="J129" s="59"/>
      <c r="K129" s="60"/>
      <c r="L129" s="65"/>
      <c r="M129" s="20"/>
      <c r="O129" s="54"/>
      <c r="P129" s="54"/>
    </row>
    <row r="130" spans="1:32" s="150" customFormat="1" ht="25" customHeight="1">
      <c r="A130" s="151"/>
      <c r="B130" s="243"/>
      <c r="C130" s="161"/>
      <c r="D130" s="161"/>
      <c r="E130" s="161"/>
      <c r="F130" s="161"/>
      <c r="G130" s="161"/>
      <c r="H130" s="161"/>
      <c r="I130" s="161"/>
      <c r="J130" s="161"/>
      <c r="K130" s="162"/>
      <c r="L130" s="161"/>
      <c r="M130" s="20"/>
      <c r="P130" s="182"/>
      <c r="Q130" s="182"/>
      <c r="R130" s="182"/>
      <c r="S130" s="182"/>
      <c r="T130" s="182"/>
      <c r="U130" s="182"/>
    </row>
    <row r="131" spans="1:32" ht="25" customHeight="1">
      <c r="B131" s="78" t="s">
        <v>10</v>
      </c>
      <c r="C131" s="996" t="s">
        <v>75</v>
      </c>
      <c r="D131" s="996"/>
      <c r="E131" s="996" t="s">
        <v>76</v>
      </c>
      <c r="F131" s="996"/>
      <c r="G131" s="1092" t="s">
        <v>65</v>
      </c>
      <c r="H131" s="1092"/>
      <c r="I131" s="179"/>
      <c r="J131" s="179"/>
      <c r="K131" s="181" t="s">
        <v>77</v>
      </c>
      <c r="L131" s="178"/>
      <c r="M131" s="20"/>
    </row>
    <row r="132" spans="1:32" ht="25" customHeight="1">
      <c r="B132" s="263" t="s">
        <v>78</v>
      </c>
      <c r="C132" s="997" t="s">
        <v>79</v>
      </c>
      <c r="D132" s="997"/>
      <c r="E132" s="998" t="s">
        <v>80</v>
      </c>
      <c r="F132" s="998"/>
      <c r="G132" s="264" t="str">
        <f>PAAS_man.kubernetes_EUR</f>
        <v>Request a quote</v>
      </c>
      <c r="H132" s="265"/>
      <c r="I132" s="266"/>
      <c r="J132" s="267">
        <v>1</v>
      </c>
      <c r="K132" s="268" t="str">
        <f>IF(J132=1,G132," ")</f>
        <v>Request a quote</v>
      </c>
      <c r="L132" s="178"/>
      <c r="M132" s="20"/>
    </row>
    <row r="133" spans="1:32" ht="25" customHeight="1">
      <c r="B133" s="139" t="s">
        <v>81</v>
      </c>
      <c r="C133" s="1000" t="s">
        <v>82</v>
      </c>
      <c r="D133" s="1000"/>
      <c r="E133" s="1001" t="s">
        <v>83</v>
      </c>
      <c r="F133" s="1001"/>
      <c r="G133" s="269" t="str">
        <f>PAAS_man.kubernetes8_EUR</f>
        <v>Request a quote</v>
      </c>
      <c r="H133" s="270"/>
      <c r="I133" s="271"/>
      <c r="J133" s="197"/>
      <c r="K133" s="272" t="str">
        <f>IF(J132=3,G133," ")</f>
        <v xml:space="preserve"> </v>
      </c>
      <c r="L133" s="178"/>
      <c r="M133" s="20"/>
    </row>
    <row r="134" spans="1:32" s="101" customFormat="1" ht="25" customHeight="1">
      <c r="A134" s="96"/>
      <c r="B134" s="97" t="s">
        <v>18</v>
      </c>
      <c r="C134" s="98"/>
      <c r="D134" s="98"/>
      <c r="E134" s="98"/>
      <c r="F134" s="98"/>
      <c r="G134" s="98"/>
      <c r="H134" s="98"/>
      <c r="I134" s="98"/>
      <c r="J134" s="98"/>
      <c r="K134" s="127">
        <f>SUM(K132:K133)</f>
        <v>0</v>
      </c>
      <c r="M134" s="20"/>
      <c r="P134" s="102"/>
      <c r="R134" s="102"/>
    </row>
    <row r="135" spans="1:32" s="256" customFormat="1" ht="25" customHeight="1">
      <c r="A135" s="257"/>
      <c r="B135" s="103"/>
      <c r="C135" s="108"/>
      <c r="D135" s="107"/>
      <c r="E135" s="107"/>
      <c r="F135" s="107"/>
      <c r="G135" s="108"/>
      <c r="H135" s="108"/>
      <c r="I135" s="108"/>
      <c r="J135" s="108"/>
      <c r="K135" s="111"/>
      <c r="L135" s="178"/>
      <c r="M135" s="20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2" s="256" customFormat="1" ht="25" customHeight="1">
      <c r="A136" s="257"/>
      <c r="B136" s="103"/>
      <c r="C136" s="143"/>
      <c r="D136" s="143"/>
      <c r="E136" s="143"/>
      <c r="F136" s="107"/>
      <c r="G136" s="108"/>
      <c r="H136" s="108"/>
      <c r="I136" s="108"/>
      <c r="J136" s="108"/>
      <c r="K136" s="259"/>
      <c r="L136" s="106"/>
      <c r="M136" s="20"/>
      <c r="O136" s="260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</row>
    <row r="137" spans="1:32" s="150" customFormat="1" ht="25" customHeight="1">
      <c r="A137" s="151"/>
      <c r="B137" s="8"/>
      <c r="C137" s="143"/>
      <c r="D137" s="64"/>
      <c r="E137" s="64"/>
      <c r="F137" s="64"/>
      <c r="G137" s="57"/>
      <c r="H137" s="58"/>
      <c r="I137" s="57"/>
      <c r="J137" s="65"/>
      <c r="K137" s="60"/>
      <c r="L137" s="61"/>
      <c r="M137" s="20"/>
      <c r="N137" s="182"/>
      <c r="O137" s="182"/>
      <c r="P137" s="182"/>
      <c r="Q137" s="182"/>
      <c r="R137" s="182"/>
      <c r="S137" s="182"/>
    </row>
    <row r="138" spans="1:32" s="38" customFormat="1" ht="25" customHeight="1">
      <c r="A138" s="47"/>
      <c r="B138" s="982" t="s">
        <v>633</v>
      </c>
      <c r="C138" s="982"/>
      <c r="D138" s="982"/>
      <c r="E138" s="982"/>
      <c r="F138" s="982"/>
      <c r="G138" s="982"/>
      <c r="H138" s="50"/>
      <c r="J138" s="53"/>
      <c r="K138" s="51"/>
      <c r="M138" s="20"/>
    </row>
    <row r="139" spans="1:32" s="38" customFormat="1" ht="25" customHeight="1">
      <c r="A139" s="47"/>
      <c r="B139" s="982"/>
      <c r="C139" s="982"/>
      <c r="D139" s="982"/>
      <c r="E139" s="982"/>
      <c r="F139" s="982"/>
      <c r="G139" s="982"/>
      <c r="H139" s="50"/>
      <c r="J139" s="53"/>
      <c r="K139" s="51"/>
      <c r="M139" s="20"/>
    </row>
    <row r="140" spans="1:32" s="38" customFormat="1" ht="25" customHeight="1">
      <c r="A140" s="47"/>
      <c r="B140" s="982"/>
      <c r="C140" s="982"/>
      <c r="D140" s="982"/>
      <c r="E140" s="982"/>
      <c r="F140" s="982"/>
      <c r="G140" s="982"/>
      <c r="H140" s="50"/>
      <c r="J140" s="53"/>
      <c r="K140" s="51"/>
      <c r="M140" s="20"/>
    </row>
    <row r="141" spans="1:32" s="38" customFormat="1" ht="25" customHeight="1">
      <c r="A141" s="47"/>
      <c r="B141" s="8" t="s">
        <v>618</v>
      </c>
      <c r="C141" s="8"/>
      <c r="D141" s="8"/>
      <c r="E141" s="8"/>
      <c r="F141" s="8"/>
      <c r="G141" s="57"/>
      <c r="H141" s="58"/>
      <c r="J141" s="59"/>
      <c r="K141" s="60"/>
      <c r="L141" s="61"/>
      <c r="M141" s="20"/>
      <c r="S141" s="54"/>
      <c r="T141" s="54"/>
      <c r="U141" s="54"/>
      <c r="V141" s="54"/>
      <c r="W141" s="54"/>
      <c r="X141" s="54"/>
      <c r="Y141" s="54"/>
      <c r="Z141" s="54"/>
    </row>
    <row r="142" spans="1:32" s="38" customFormat="1" ht="25" customHeight="1">
      <c r="A142" s="47"/>
      <c r="B142" s="8"/>
      <c r="C142" s="64"/>
      <c r="D142" s="64"/>
      <c r="E142" s="64"/>
      <c r="F142" s="64"/>
      <c r="G142" s="57"/>
      <c r="H142" s="58"/>
      <c r="I142" s="57"/>
      <c r="J142" s="59"/>
      <c r="K142" s="60"/>
      <c r="L142" s="57"/>
      <c r="M142" s="20"/>
    </row>
    <row r="143" spans="1:32" s="161" customFormat="1" ht="25" customHeight="1">
      <c r="A143" s="242"/>
      <c r="B143" s="68" t="s">
        <v>85</v>
      </c>
      <c r="C143" s="64"/>
      <c r="D143" s="64"/>
      <c r="E143" s="64"/>
      <c r="F143" s="64"/>
      <c r="G143" s="57"/>
      <c r="H143" s="57"/>
      <c r="I143" s="57"/>
      <c r="J143" s="59"/>
      <c r="K143" s="60"/>
      <c r="L143" s="57"/>
      <c r="M143" s="20"/>
      <c r="N143" s="54"/>
      <c r="O143" s="54"/>
      <c r="P143" s="54"/>
      <c r="Q143" s="54"/>
      <c r="R143" s="54"/>
      <c r="S143" s="54"/>
    </row>
    <row r="144" spans="1:32" ht="25" customHeight="1">
      <c r="B144" s="76" t="s">
        <v>634</v>
      </c>
      <c r="M144" s="20"/>
    </row>
    <row r="145" spans="2:18" ht="25" customHeight="1">
      <c r="B145" s="273" t="s">
        <v>23</v>
      </c>
      <c r="C145" s="262" t="s">
        <v>87</v>
      </c>
      <c r="D145" s="262"/>
      <c r="E145" s="179" t="s">
        <v>295</v>
      </c>
      <c r="F145" s="179"/>
      <c r="G145" s="179"/>
      <c r="H145" s="179"/>
      <c r="I145" s="179"/>
      <c r="J145" s="262" t="s">
        <v>635</v>
      </c>
      <c r="K145" s="181" t="s">
        <v>636</v>
      </c>
      <c r="L145" s="135"/>
      <c r="M145" s="20"/>
      <c r="N145" s="201"/>
      <c r="O145" s="161"/>
    </row>
    <row r="146" spans="2:18" ht="25" customHeight="1">
      <c r="B146" s="137" t="s">
        <v>90</v>
      </c>
      <c r="C146" s="274" t="s">
        <v>91</v>
      </c>
      <c r="D146" s="274"/>
      <c r="E146" s="186" t="s">
        <v>92</v>
      </c>
      <c r="F146" s="191"/>
      <c r="G146" s="191"/>
      <c r="H146" s="191"/>
      <c r="I146" s="191"/>
      <c r="J146" s="275" t="s">
        <v>637</v>
      </c>
      <c r="K146" s="276">
        <f>NET_publicv4_EUR</f>
        <v>2.35</v>
      </c>
      <c r="M146" s="20"/>
      <c r="N146" s="201"/>
      <c r="O146" s="161"/>
    </row>
    <row r="147" spans="2:18" ht="25" customHeight="1">
      <c r="B147" s="139" t="s">
        <v>94</v>
      </c>
      <c r="C147" s="277" t="s">
        <v>95</v>
      </c>
      <c r="D147" s="277"/>
      <c r="E147" s="54" t="s">
        <v>92</v>
      </c>
      <c r="F147" s="278"/>
      <c r="G147" s="278"/>
      <c r="H147" s="278"/>
      <c r="I147" s="278"/>
      <c r="J147" s="279" t="s">
        <v>20</v>
      </c>
      <c r="K147" s="280">
        <f>NET_publicv6_EUR</f>
        <v>0</v>
      </c>
      <c r="M147" s="20"/>
      <c r="N147" s="201"/>
      <c r="O147" s="161"/>
    </row>
    <row r="148" spans="2:18" ht="25" customHeight="1">
      <c r="B148" s="137" t="s">
        <v>96</v>
      </c>
      <c r="C148" s="274" t="s">
        <v>638</v>
      </c>
      <c r="D148" s="274"/>
      <c r="E148" s="281"/>
      <c r="F148" s="282"/>
      <c r="G148" s="282"/>
      <c r="H148" s="282"/>
      <c r="I148" s="282"/>
      <c r="J148" s="275" t="s">
        <v>98</v>
      </c>
      <c r="K148" s="276">
        <f>NET_ingress_EUR</f>
        <v>0</v>
      </c>
      <c r="M148" s="20"/>
      <c r="N148" s="201"/>
      <c r="O148" s="161"/>
    </row>
    <row r="149" spans="2:18" ht="25" customHeight="1">
      <c r="B149" s="139" t="s">
        <v>99</v>
      </c>
      <c r="C149" s="277" t="s">
        <v>638</v>
      </c>
      <c r="D149" s="277"/>
      <c r="E149" s="54"/>
      <c r="F149" s="278"/>
      <c r="G149" s="278"/>
      <c r="H149" s="278"/>
      <c r="I149" s="278"/>
      <c r="J149" s="283" t="s">
        <v>98</v>
      </c>
      <c r="K149" s="280">
        <f>NET_egress_EUR</f>
        <v>0</v>
      </c>
      <c r="M149" s="20"/>
      <c r="N149" s="201"/>
      <c r="O149" s="161"/>
    </row>
    <row r="150" spans="2:18" ht="25" customHeight="1">
      <c r="B150" s="137" t="s">
        <v>100</v>
      </c>
      <c r="C150" s="274" t="s">
        <v>101</v>
      </c>
      <c r="D150" s="274"/>
      <c r="E150" s="191" t="s">
        <v>639</v>
      </c>
      <c r="F150" s="282"/>
      <c r="G150" s="282"/>
      <c r="H150" s="282"/>
      <c r="I150" s="282"/>
      <c r="J150" s="275" t="s">
        <v>640</v>
      </c>
      <c r="K150" s="868" t="s">
        <v>641</v>
      </c>
      <c r="M150" s="20"/>
    </row>
    <row r="151" spans="2:18" ht="25" customHeight="1">
      <c r="B151" s="139" t="s">
        <v>104</v>
      </c>
      <c r="C151" s="277" t="s">
        <v>105</v>
      </c>
      <c r="D151" s="277"/>
      <c r="E151" s="54"/>
      <c r="F151" s="278"/>
      <c r="G151" s="278"/>
      <c r="H151" s="278"/>
      <c r="I151" s="278"/>
      <c r="J151" s="279" t="s">
        <v>20</v>
      </c>
      <c r="K151" s="280">
        <f>NET_rdns_EUR</f>
        <v>0</v>
      </c>
      <c r="M151" s="20"/>
      <c r="N151" s="201"/>
      <c r="O151" s="161"/>
    </row>
    <row r="152" spans="2:18" ht="25" customHeight="1">
      <c r="B152" s="137" t="s">
        <v>106</v>
      </c>
      <c r="C152" s="274" t="s">
        <v>107</v>
      </c>
      <c r="D152" s="274"/>
      <c r="E152" s="191"/>
      <c r="F152" s="282"/>
      <c r="G152" s="282"/>
      <c r="H152" s="282"/>
      <c r="I152" s="282"/>
      <c r="J152" s="285" t="s">
        <v>20</v>
      </c>
      <c r="K152" s="276">
        <v>0</v>
      </c>
      <c r="M152" s="20"/>
      <c r="N152" s="201"/>
      <c r="O152" s="161"/>
    </row>
    <row r="153" spans="2:18" ht="25" customHeight="1">
      <c r="B153" s="286"/>
      <c r="C153" s="287"/>
      <c r="D153" s="288"/>
      <c r="E153" s="288"/>
      <c r="F153" s="288"/>
      <c r="G153" s="288"/>
      <c r="H153" s="288"/>
      <c r="I153" s="288"/>
      <c r="J153" s="287"/>
      <c r="K153" s="289"/>
      <c r="M153" s="20"/>
      <c r="N153" s="201"/>
      <c r="O153" s="161"/>
    </row>
    <row r="154" spans="2:18" ht="25" customHeight="1">
      <c r="C154" s="290"/>
      <c r="J154" s="290"/>
      <c r="M154" s="20"/>
      <c r="N154" s="201"/>
      <c r="O154" s="161"/>
    </row>
    <row r="155" spans="2:18" ht="25" customHeight="1">
      <c r="C155" s="290"/>
      <c r="J155" s="290"/>
      <c r="M155" s="20"/>
      <c r="N155" s="201"/>
      <c r="O155" s="161"/>
    </row>
    <row r="156" spans="2:18" ht="25" customHeight="1">
      <c r="B156" s="68" t="s">
        <v>642</v>
      </c>
      <c r="C156" s="135"/>
      <c r="D156" s="135"/>
      <c r="E156" s="135"/>
      <c r="F156" s="135"/>
      <c r="G156" s="135"/>
      <c r="H156" s="135"/>
      <c r="I156" s="135"/>
      <c r="J156" s="291"/>
      <c r="M156" s="20"/>
      <c r="N156" s="201"/>
      <c r="O156" s="161"/>
    </row>
    <row r="157" spans="2:18" ht="25" customHeight="1">
      <c r="B157" s="76" t="s">
        <v>643</v>
      </c>
      <c r="M157" s="20"/>
    </row>
    <row r="158" spans="2:18" ht="25" customHeight="1">
      <c r="B158" s="273" t="s">
        <v>23</v>
      </c>
      <c r="C158" s="262"/>
      <c r="D158" s="262"/>
      <c r="E158" s="179" t="s">
        <v>295</v>
      </c>
      <c r="F158" s="179"/>
      <c r="G158" s="179"/>
      <c r="H158" s="179"/>
      <c r="I158" s="179"/>
      <c r="J158" s="262" t="s">
        <v>635</v>
      </c>
      <c r="K158" s="181" t="s">
        <v>636</v>
      </c>
      <c r="M158" s="20"/>
      <c r="N158" s="201"/>
      <c r="O158" s="161"/>
    </row>
    <row r="159" spans="2:18" ht="25" customHeight="1">
      <c r="B159" s="137" t="s">
        <v>110</v>
      </c>
      <c r="C159" s="274"/>
      <c r="D159" s="191"/>
      <c r="E159" s="191" t="s">
        <v>111</v>
      </c>
      <c r="F159" s="191"/>
      <c r="G159" s="191"/>
      <c r="H159" s="191"/>
      <c r="I159" s="191"/>
      <c r="J159" s="275" t="s">
        <v>11</v>
      </c>
      <c r="K159" s="276">
        <f>SW_win.ser.201X_EUR</f>
        <v>16.45</v>
      </c>
      <c r="L159" s="199"/>
      <c r="M159" s="20"/>
      <c r="N159" s="201"/>
      <c r="O159" s="161"/>
      <c r="Q159" s="54"/>
      <c r="R159" s="54"/>
    </row>
    <row r="160" spans="2:18" ht="25" customHeight="1">
      <c r="B160" s="139" t="s">
        <v>112</v>
      </c>
      <c r="C160" s="277"/>
      <c r="D160" s="197"/>
      <c r="E160" s="197" t="s">
        <v>113</v>
      </c>
      <c r="F160" s="278"/>
      <c r="G160" s="278"/>
      <c r="H160" s="278"/>
      <c r="I160" s="278"/>
      <c r="J160" s="283" t="s">
        <v>11</v>
      </c>
      <c r="K160" s="280">
        <f>SW_ms.sql.ser_EUR</f>
        <v>115.526</v>
      </c>
      <c r="L160" s="199"/>
      <c r="M160" s="20"/>
      <c r="N160" s="201"/>
      <c r="O160" s="161"/>
      <c r="Q160" s="54"/>
      <c r="R160" s="54"/>
    </row>
    <row r="161" spans="1:18" ht="25" customHeight="1">
      <c r="B161" s="137" t="s">
        <v>114</v>
      </c>
      <c r="C161" s="274"/>
      <c r="D161" s="191"/>
      <c r="E161" s="191" t="s">
        <v>115</v>
      </c>
      <c r="F161" s="191"/>
      <c r="G161" s="191"/>
      <c r="H161" s="191"/>
      <c r="I161" s="191"/>
      <c r="J161" s="275" t="s">
        <v>11</v>
      </c>
      <c r="K161" s="276">
        <f>SW_ms.sql.ser.ent_EUR</f>
        <v>364.25</v>
      </c>
      <c r="L161" s="199"/>
      <c r="M161" s="20"/>
      <c r="N161" s="201"/>
      <c r="O161" s="161"/>
      <c r="Q161" s="54"/>
      <c r="R161" s="54"/>
    </row>
    <row r="162" spans="1:18" s="38" customFormat="1" ht="25" customHeight="1">
      <c r="A162" s="47"/>
      <c r="B162" s="139" t="s">
        <v>116</v>
      </c>
      <c r="C162" s="277"/>
      <c r="D162" s="197"/>
      <c r="E162" s="197" t="s">
        <v>117</v>
      </c>
      <c r="F162" s="278"/>
      <c r="G162" s="278"/>
      <c r="H162" s="278"/>
      <c r="I162" s="278"/>
      <c r="J162" s="283"/>
      <c r="K162" s="280" t="s">
        <v>641</v>
      </c>
      <c r="M162" s="20"/>
      <c r="N162" s="201"/>
      <c r="O162" s="161"/>
    </row>
    <row r="163" spans="1:18" ht="25" customHeight="1">
      <c r="B163" s="137" t="s">
        <v>118</v>
      </c>
      <c r="C163" s="274"/>
      <c r="D163" s="191"/>
      <c r="E163" s="191" t="s">
        <v>119</v>
      </c>
      <c r="F163" s="191"/>
      <c r="G163" s="191"/>
      <c r="H163" s="191"/>
      <c r="I163" s="191"/>
      <c r="J163" s="275"/>
      <c r="K163" s="276" t="s">
        <v>641</v>
      </c>
      <c r="L163" s="199"/>
      <c r="M163" s="20"/>
      <c r="N163" s="201"/>
      <c r="O163" s="161"/>
      <c r="Q163" s="54"/>
      <c r="R163" s="54"/>
    </row>
    <row r="164" spans="1:18" ht="25" customHeight="1">
      <c r="B164" s="292"/>
      <c r="C164" s="293"/>
      <c r="D164" s="294"/>
      <c r="E164" s="295"/>
      <c r="F164" s="296"/>
      <c r="G164" s="296"/>
      <c r="H164" s="296"/>
      <c r="I164" s="296"/>
      <c r="J164" s="297"/>
      <c r="K164" s="298"/>
      <c r="M164" s="20"/>
      <c r="N164" s="201"/>
      <c r="O164" s="161"/>
    </row>
    <row r="165" spans="1:18" ht="25" customHeight="1">
      <c r="B165" s="596"/>
      <c r="C165" s="277"/>
      <c r="D165" s="54"/>
      <c r="E165" s="299"/>
      <c r="F165" s="278"/>
      <c r="G165" s="278"/>
      <c r="H165" s="278"/>
      <c r="I165" s="278"/>
      <c r="J165" s="300"/>
      <c r="K165" s="198"/>
      <c r="M165" s="20"/>
      <c r="N165" s="201"/>
      <c r="O165" s="161"/>
    </row>
    <row r="166" spans="1:18" ht="25" customHeight="1">
      <c r="M166" s="20"/>
      <c r="N166" s="201"/>
      <c r="O166" s="161"/>
    </row>
    <row r="167" spans="1:18" ht="25" customHeight="1">
      <c r="B167" s="68" t="s">
        <v>324</v>
      </c>
      <c r="C167" s="135"/>
      <c r="D167" s="135"/>
      <c r="F167" s="135"/>
      <c r="G167" s="135"/>
      <c r="H167" s="135"/>
      <c r="I167" s="135"/>
      <c r="J167" s="135"/>
      <c r="M167" s="20"/>
      <c r="N167" s="201"/>
      <c r="O167" s="161"/>
    </row>
    <row r="168" spans="1:18" ht="25" customHeight="1">
      <c r="B168" s="76" t="s">
        <v>644</v>
      </c>
      <c r="M168" s="20"/>
    </row>
    <row r="169" spans="1:18" ht="25" customHeight="1">
      <c r="B169" s="273" t="s">
        <v>23</v>
      </c>
      <c r="C169" s="262"/>
      <c r="D169" s="262"/>
      <c r="E169" s="179" t="s">
        <v>295</v>
      </c>
      <c r="F169" s="179"/>
      <c r="G169" s="179"/>
      <c r="H169" s="179"/>
      <c r="I169" s="179"/>
      <c r="J169" s="6"/>
      <c r="K169" s="181" t="s">
        <v>636</v>
      </c>
      <c r="M169" s="20"/>
      <c r="N169" s="201"/>
      <c r="O169" s="161"/>
    </row>
    <row r="170" spans="1:18" ht="25" customHeight="1">
      <c r="B170" s="137" t="s">
        <v>122</v>
      </c>
      <c r="C170" s="274"/>
      <c r="D170" s="191"/>
      <c r="E170" s="191" t="s">
        <v>123</v>
      </c>
      <c r="F170" s="191"/>
      <c r="G170" s="191"/>
      <c r="H170" s="191"/>
      <c r="I170" s="191"/>
      <c r="J170" s="301"/>
      <c r="K170" s="869" t="s">
        <v>641</v>
      </c>
      <c r="M170" s="20"/>
      <c r="N170" s="201"/>
      <c r="O170" s="161"/>
    </row>
    <row r="171" spans="1:18" ht="25" customHeight="1">
      <c r="B171" s="139" t="s">
        <v>124</v>
      </c>
      <c r="C171" s="277"/>
      <c r="D171" s="197"/>
      <c r="E171" s="197" t="s">
        <v>125</v>
      </c>
      <c r="F171" s="278"/>
      <c r="G171" s="278"/>
      <c r="H171" s="278"/>
      <c r="I171" s="278"/>
      <c r="J171" s="300"/>
      <c r="K171" s="198" t="s">
        <v>641</v>
      </c>
      <c r="M171" s="20"/>
      <c r="N171" s="201"/>
      <c r="O171" s="161"/>
    </row>
    <row r="172" spans="1:18" ht="25" customHeight="1">
      <c r="B172" s="137" t="s">
        <v>126</v>
      </c>
      <c r="C172" s="274"/>
      <c r="D172" s="191"/>
      <c r="E172" s="191" t="s">
        <v>127</v>
      </c>
      <c r="F172" s="191"/>
      <c r="G172" s="191"/>
      <c r="H172" s="191"/>
      <c r="I172" s="191"/>
      <c r="J172" s="301"/>
      <c r="K172" s="869" t="s">
        <v>641</v>
      </c>
      <c r="M172" s="20"/>
      <c r="N172" s="201"/>
      <c r="O172" s="161"/>
    </row>
    <row r="173" spans="1:18" ht="25" customHeight="1">
      <c r="B173" s="139" t="s">
        <v>128</v>
      </c>
      <c r="C173" s="277"/>
      <c r="D173" s="197"/>
      <c r="E173" s="197" t="s">
        <v>129</v>
      </c>
      <c r="F173" s="278"/>
      <c r="G173" s="278"/>
      <c r="H173" s="278"/>
      <c r="I173" s="278"/>
      <c r="J173" s="300"/>
      <c r="K173" s="198" t="s">
        <v>641</v>
      </c>
      <c r="M173" s="20"/>
      <c r="N173" s="201"/>
      <c r="O173" s="161"/>
    </row>
    <row r="174" spans="1:18" ht="25" customHeight="1">
      <c r="B174" s="137" t="s">
        <v>130</v>
      </c>
      <c r="C174" s="274"/>
      <c r="D174" s="191"/>
      <c r="E174" s="191" t="s">
        <v>131</v>
      </c>
      <c r="F174" s="191"/>
      <c r="G174" s="191"/>
      <c r="H174" s="191"/>
      <c r="I174" s="191"/>
      <c r="J174" s="301"/>
      <c r="K174" s="869" t="s">
        <v>641</v>
      </c>
      <c r="M174" s="20"/>
      <c r="N174" s="201"/>
      <c r="O174" s="161"/>
    </row>
    <row r="175" spans="1:18" ht="25" customHeight="1">
      <c r="B175" s="139" t="s">
        <v>132</v>
      </c>
      <c r="C175" s="277"/>
      <c r="D175" s="197"/>
      <c r="E175" s="197" t="s">
        <v>133</v>
      </c>
      <c r="F175" s="278"/>
      <c r="G175" s="278"/>
      <c r="H175" s="278"/>
      <c r="I175" s="278"/>
      <c r="J175" s="300"/>
      <c r="K175" s="198" t="s">
        <v>641</v>
      </c>
      <c r="M175" s="20"/>
      <c r="N175" s="201"/>
      <c r="O175" s="161"/>
    </row>
    <row r="176" spans="1:18" ht="25" customHeight="1">
      <c r="B176" s="302" t="s">
        <v>134</v>
      </c>
      <c r="C176" s="274"/>
      <c r="D176" s="191"/>
      <c r="E176" s="191" t="s">
        <v>135</v>
      </c>
      <c r="F176" s="191"/>
      <c r="G176" s="191"/>
      <c r="H176" s="191"/>
      <c r="I176" s="191"/>
      <c r="J176" s="301"/>
      <c r="K176" s="869" t="s">
        <v>641</v>
      </c>
      <c r="M176" s="20"/>
      <c r="N176" s="201"/>
      <c r="O176" s="161"/>
    </row>
    <row r="177" spans="1:20" ht="25" customHeight="1">
      <c r="B177" s="292"/>
      <c r="C177" s="293"/>
      <c r="D177" s="303"/>
      <c r="E177" s="295"/>
      <c r="F177" s="296"/>
      <c r="G177" s="296"/>
      <c r="H177" s="296"/>
      <c r="I177" s="296"/>
      <c r="J177" s="297"/>
      <c r="K177" s="298"/>
      <c r="M177" s="20"/>
      <c r="N177" s="201"/>
      <c r="O177" s="161"/>
    </row>
    <row r="178" spans="1:20" ht="25" customHeight="1">
      <c r="B178" s="596"/>
      <c r="C178" s="277"/>
      <c r="D178" s="197"/>
      <c r="E178" s="299"/>
      <c r="F178" s="278"/>
      <c r="G178" s="300"/>
      <c r="H178" s="283"/>
      <c r="I178" s="304"/>
      <c r="M178" s="20"/>
    </row>
    <row r="179" spans="1:20" ht="25" customHeight="1">
      <c r="B179" s="305"/>
      <c r="C179" s="239"/>
      <c r="D179" s="239"/>
      <c r="E179" s="239"/>
      <c r="F179" s="240"/>
      <c r="G179" s="241"/>
      <c r="H179" s="239"/>
      <c r="I179" s="199"/>
      <c r="J179" s="199"/>
      <c r="K179" s="200"/>
      <c r="L179" s="201"/>
      <c r="M179" s="20"/>
      <c r="N179" s="54"/>
      <c r="O179" s="54"/>
    </row>
    <row r="180" spans="1:20" s="38" customFormat="1" ht="25" customHeight="1">
      <c r="A180" s="47"/>
      <c r="B180" s="982" t="s">
        <v>326</v>
      </c>
      <c r="C180" s="982"/>
      <c r="D180" s="982"/>
      <c r="E180" s="982"/>
      <c r="F180" s="982"/>
      <c r="G180" s="982"/>
      <c r="H180" s="306"/>
      <c r="J180" s="53"/>
      <c r="K180" s="51"/>
      <c r="M180" s="20"/>
    </row>
    <row r="181" spans="1:20" s="38" customFormat="1" ht="25" customHeight="1">
      <c r="A181" s="47"/>
      <c r="B181" s="982"/>
      <c r="C181" s="982"/>
      <c r="D181" s="982"/>
      <c r="E181" s="982"/>
      <c r="F181" s="982"/>
      <c r="G181" s="982"/>
      <c r="H181" s="306"/>
      <c r="J181" s="53"/>
      <c r="K181" s="51"/>
      <c r="M181" s="20"/>
    </row>
    <row r="182" spans="1:20" s="38" customFormat="1" ht="25" customHeight="1">
      <c r="A182" s="47"/>
      <c r="B182" s="982"/>
      <c r="C182" s="982"/>
      <c r="D182" s="982"/>
      <c r="E182" s="982"/>
      <c r="F182" s="982"/>
      <c r="G182" s="982"/>
      <c r="H182" s="306"/>
      <c r="J182" s="53"/>
      <c r="K182" s="51"/>
      <c r="M182" s="20"/>
    </row>
    <row r="183" spans="1:20" s="38" customFormat="1" ht="25" customHeight="1">
      <c r="A183" s="47"/>
      <c r="B183" s="987" t="s">
        <v>645</v>
      </c>
      <c r="C183" s="987"/>
      <c r="D183" s="987"/>
      <c r="E183" s="987"/>
      <c r="F183" s="987"/>
      <c r="H183" s="306"/>
      <c r="J183" s="53"/>
      <c r="K183" s="51"/>
      <c r="M183" s="20"/>
    </row>
    <row r="184" spans="1:20" s="38" customFormat="1" ht="25" customHeight="1">
      <c r="A184" s="47"/>
      <c r="B184" s="8" t="s">
        <v>618</v>
      </c>
      <c r="C184" s="207"/>
      <c r="D184" s="207"/>
      <c r="E184" s="207"/>
      <c r="F184" s="207"/>
      <c r="G184" s="57"/>
      <c r="H184" s="58"/>
      <c r="I184" s="57"/>
      <c r="J184" s="59"/>
      <c r="K184" s="60"/>
      <c r="L184" s="57"/>
      <c r="M184" s="20"/>
    </row>
    <row r="185" spans="1:20" s="38" customFormat="1" ht="25" customHeight="1">
      <c r="A185" s="47"/>
      <c r="B185" s="8"/>
      <c r="C185" s="64"/>
      <c r="D185" s="64"/>
      <c r="E185" s="64"/>
      <c r="F185" s="64"/>
      <c r="G185" s="57"/>
      <c r="H185" s="58"/>
      <c r="I185" s="57"/>
      <c r="J185" s="59"/>
      <c r="K185" s="60"/>
      <c r="L185" s="57"/>
      <c r="M185" s="20"/>
    </row>
    <row r="186" spans="1:20" ht="25" customHeight="1">
      <c r="B186" s="68" t="s">
        <v>139</v>
      </c>
      <c r="C186" s="135"/>
      <c r="D186" s="135"/>
      <c r="F186" s="135"/>
      <c r="G186" s="135"/>
      <c r="H186" s="135"/>
      <c r="I186" s="135"/>
      <c r="J186" s="135"/>
      <c r="K186" s="307"/>
      <c r="L186" s="135"/>
      <c r="M186" s="20"/>
      <c r="O186" s="201"/>
      <c r="P186" s="201"/>
      <c r="Q186" s="161"/>
      <c r="S186" s="54"/>
      <c r="T186" s="54"/>
    </row>
    <row r="187" spans="1:20" ht="25" customHeight="1">
      <c r="B187" s="76" t="s">
        <v>646</v>
      </c>
      <c r="M187" s="20"/>
    </row>
    <row r="188" spans="1:20" ht="25" customHeight="1">
      <c r="B188" s="273" t="s">
        <v>23</v>
      </c>
      <c r="C188" s="262"/>
      <c r="D188" s="179" t="s">
        <v>295</v>
      </c>
      <c r="E188" s="179"/>
      <c r="F188" s="179"/>
      <c r="G188" s="179"/>
      <c r="H188" s="179"/>
      <c r="I188" s="262" t="s">
        <v>635</v>
      </c>
      <c r="J188" s="262"/>
      <c r="K188" s="181" t="s">
        <v>636</v>
      </c>
      <c r="L188" s="199"/>
      <c r="M188" s="20"/>
      <c r="N188" s="201"/>
      <c r="O188" s="161"/>
      <c r="Q188" s="54"/>
      <c r="R188" s="54"/>
    </row>
    <row r="189" spans="1:20" ht="25" customHeight="1">
      <c r="B189" s="137" t="s">
        <v>141</v>
      </c>
      <c r="C189" s="274"/>
      <c r="D189" s="191" t="s">
        <v>329</v>
      </c>
      <c r="E189" s="301"/>
      <c r="F189" s="191"/>
      <c r="G189" s="301"/>
      <c r="H189" s="301"/>
      <c r="I189" s="285" t="s">
        <v>20</v>
      </c>
      <c r="J189" s="285"/>
      <c r="K189" s="192">
        <v>0</v>
      </c>
      <c r="L189" s="199"/>
      <c r="M189" s="20"/>
      <c r="N189" s="201"/>
      <c r="O189" s="161"/>
      <c r="Q189" s="54"/>
      <c r="R189" s="54"/>
    </row>
    <row r="190" spans="1:20" ht="25" customHeight="1">
      <c r="B190" s="596" t="s">
        <v>477</v>
      </c>
      <c r="C190" s="277"/>
      <c r="D190" s="197" t="s">
        <v>647</v>
      </c>
      <c r="E190" s="299"/>
      <c r="F190" s="278"/>
      <c r="G190" s="300"/>
      <c r="H190" s="300"/>
      <c r="I190" s="283" t="s">
        <v>545</v>
      </c>
      <c r="J190" s="283"/>
      <c r="K190" s="198" t="s">
        <v>641</v>
      </c>
      <c r="L190" s="199"/>
      <c r="M190" s="20"/>
      <c r="N190" s="201"/>
      <c r="O190" s="161"/>
      <c r="Q190" s="54"/>
      <c r="R190" s="54"/>
    </row>
    <row r="191" spans="1:20" ht="25" customHeight="1">
      <c r="B191" s="292"/>
      <c r="C191" s="293"/>
      <c r="D191" s="293"/>
      <c r="E191" s="295"/>
      <c r="F191" s="296"/>
      <c r="G191" s="297"/>
      <c r="H191" s="297"/>
      <c r="I191" s="308"/>
      <c r="J191" s="308"/>
      <c r="K191" s="298"/>
      <c r="L191" s="199"/>
      <c r="M191" s="20"/>
      <c r="N191" s="201"/>
      <c r="O191" s="161"/>
      <c r="Q191" s="54"/>
      <c r="R191" s="54"/>
    </row>
    <row r="192" spans="1:20" ht="25" customHeight="1">
      <c r="B192" s="596"/>
      <c r="C192" s="277"/>
      <c r="D192" s="197"/>
      <c r="E192" s="299"/>
      <c r="F192" s="278"/>
      <c r="G192" s="300"/>
      <c r="H192" s="300"/>
      <c r="I192" s="283"/>
      <c r="J192" s="283"/>
      <c r="K192" s="198"/>
      <c r="L192" s="199"/>
      <c r="M192" s="20"/>
      <c r="N192" s="201"/>
      <c r="O192" s="161"/>
      <c r="Q192" s="54"/>
      <c r="R192" s="54"/>
    </row>
    <row r="193" spans="1:18" s="82" customFormat="1" ht="25" customHeight="1">
      <c r="A193" s="77"/>
      <c r="B193" s="68" t="s">
        <v>548</v>
      </c>
      <c r="C193" s="309"/>
      <c r="D193" s="309"/>
      <c r="F193" s="309"/>
      <c r="G193" s="309"/>
      <c r="H193" s="309"/>
      <c r="I193" s="310"/>
      <c r="J193" s="310"/>
      <c r="K193" s="311"/>
      <c r="L193" s="312"/>
      <c r="M193" s="20"/>
      <c r="N193" s="313"/>
      <c r="O193" s="314"/>
      <c r="Q193" s="314"/>
      <c r="R193" s="314"/>
    </row>
    <row r="194" spans="1:18" ht="25" customHeight="1">
      <c r="B194" s="76" t="s">
        <v>648</v>
      </c>
      <c r="M194" s="20"/>
    </row>
    <row r="195" spans="1:18" ht="25" customHeight="1">
      <c r="B195" s="273" t="s">
        <v>23</v>
      </c>
      <c r="C195" s="262"/>
      <c r="D195" s="179" t="s">
        <v>295</v>
      </c>
      <c r="E195" s="179"/>
      <c r="F195" s="179"/>
      <c r="G195" s="179"/>
      <c r="H195" s="179"/>
      <c r="I195" s="262" t="s">
        <v>635</v>
      </c>
      <c r="J195" s="262"/>
      <c r="K195" s="181" t="s">
        <v>636</v>
      </c>
      <c r="L195" s="199"/>
      <c r="M195" s="20"/>
      <c r="N195" s="201"/>
      <c r="O195" s="161"/>
      <c r="Q195" s="54"/>
      <c r="R195" s="54"/>
    </row>
    <row r="196" spans="1:18" ht="25" customHeight="1">
      <c r="B196" s="137" t="s">
        <v>149</v>
      </c>
      <c r="C196" s="274"/>
      <c r="D196" s="191" t="s">
        <v>150</v>
      </c>
      <c r="E196" s="301"/>
      <c r="F196" s="191"/>
      <c r="G196" s="301"/>
      <c r="H196" s="301"/>
      <c r="I196" s="275" t="s">
        <v>545</v>
      </c>
      <c r="J196" s="275"/>
      <c r="K196" s="192">
        <f>PS_consult.jun_EUR</f>
        <v>105.938</v>
      </c>
      <c r="L196" s="199"/>
      <c r="M196" s="20"/>
      <c r="N196" s="201"/>
      <c r="O196" s="161"/>
      <c r="Q196" s="54"/>
      <c r="R196" s="54"/>
    </row>
    <row r="197" spans="1:18" ht="25" customHeight="1">
      <c r="B197" s="139" t="s">
        <v>151</v>
      </c>
      <c r="C197" s="277"/>
      <c r="D197" s="197" t="s">
        <v>152</v>
      </c>
      <c r="E197" s="299"/>
      <c r="F197" s="278"/>
      <c r="G197" s="300"/>
      <c r="H197" s="300"/>
      <c r="I197" s="283" t="s">
        <v>545</v>
      </c>
      <c r="J197" s="283"/>
      <c r="K197" s="198">
        <f>PS_consult.sen_EUR</f>
        <v>129.15600000000001</v>
      </c>
      <c r="L197" s="199"/>
      <c r="M197" s="20"/>
      <c r="N197" s="201"/>
      <c r="O197" s="161"/>
      <c r="Q197" s="54"/>
      <c r="R197" s="54"/>
    </row>
    <row r="198" spans="1:18" ht="25" customHeight="1">
      <c r="B198" s="137" t="s">
        <v>153</v>
      </c>
      <c r="C198" s="274"/>
      <c r="D198" s="191" t="s">
        <v>154</v>
      </c>
      <c r="E198" s="301"/>
      <c r="F198" s="191"/>
      <c r="G198" s="301"/>
      <c r="H198" s="301"/>
      <c r="I198" s="275" t="s">
        <v>545</v>
      </c>
      <c r="J198" s="275"/>
      <c r="K198" s="192">
        <f>PS_cloudarch.jun_EUR</f>
        <v>120.038</v>
      </c>
      <c r="L198" s="199"/>
      <c r="M198" s="20"/>
      <c r="N198" s="201"/>
      <c r="O198" s="161"/>
      <c r="Q198" s="54"/>
      <c r="R198" s="54"/>
    </row>
    <row r="199" spans="1:18" ht="25" customHeight="1">
      <c r="B199" s="139" t="s">
        <v>155</v>
      </c>
      <c r="C199" s="277"/>
      <c r="D199" s="197" t="s">
        <v>156</v>
      </c>
      <c r="E199" s="197"/>
      <c r="F199" s="197"/>
      <c r="G199" s="300"/>
      <c r="H199" s="300"/>
      <c r="I199" s="283" t="s">
        <v>545</v>
      </c>
      <c r="J199" s="283"/>
      <c r="K199" s="198">
        <f>PS_cloudarch.sen_EUR</f>
        <v>129.15600000000001</v>
      </c>
      <c r="L199" s="199"/>
      <c r="M199" s="20"/>
      <c r="N199" s="201"/>
      <c r="O199" s="161"/>
      <c r="Q199" s="54"/>
      <c r="R199" s="54"/>
    </row>
    <row r="200" spans="1:18" ht="25" customHeight="1">
      <c r="B200" s="137" t="s">
        <v>157</v>
      </c>
      <c r="C200" s="274"/>
      <c r="D200" s="191" t="s">
        <v>158</v>
      </c>
      <c r="E200" s="301"/>
      <c r="F200" s="191"/>
      <c r="G200" s="301"/>
      <c r="H200" s="301"/>
      <c r="I200" s="275" t="s">
        <v>545</v>
      </c>
      <c r="J200" s="275"/>
      <c r="K200" s="192">
        <f>PS_pm.jun_EUR</f>
        <v>107.066</v>
      </c>
      <c r="L200" s="199"/>
      <c r="M200" s="20"/>
      <c r="N200" s="201"/>
      <c r="O200" s="161"/>
      <c r="Q200" s="54"/>
      <c r="R200" s="54"/>
    </row>
    <row r="201" spans="1:18" ht="25" customHeight="1">
      <c r="B201" s="139" t="s">
        <v>159</v>
      </c>
      <c r="C201" s="277"/>
      <c r="D201" s="197" t="s">
        <v>160</v>
      </c>
      <c r="E201" s="299"/>
      <c r="F201" s="278"/>
      <c r="G201" s="300"/>
      <c r="H201" s="300"/>
      <c r="I201" s="283" t="s">
        <v>545</v>
      </c>
      <c r="J201" s="283"/>
      <c r="K201" s="198">
        <f>PS_pm.sen_EUR</f>
        <v>129.15600000000001</v>
      </c>
      <c r="L201" s="199"/>
      <c r="M201" s="20"/>
      <c r="N201" s="201"/>
      <c r="O201" s="161"/>
      <c r="Q201" s="54"/>
      <c r="R201" s="54"/>
    </row>
    <row r="202" spans="1:18" ht="25" customHeight="1">
      <c r="B202" s="292"/>
      <c r="C202" s="293"/>
      <c r="D202" s="303"/>
      <c r="E202" s="295"/>
      <c r="F202" s="296"/>
      <c r="G202" s="297"/>
      <c r="H202" s="297"/>
      <c r="I202" s="308"/>
      <c r="J202" s="308"/>
      <c r="K202" s="298"/>
      <c r="L202" s="199"/>
      <c r="M202" s="20"/>
      <c r="N202" s="201"/>
      <c r="O202" s="161"/>
      <c r="Q202" s="54"/>
      <c r="R202" s="54"/>
    </row>
    <row r="203" spans="1:18" ht="25" customHeight="1">
      <c r="B203" s="596"/>
      <c r="C203" s="277"/>
      <c r="D203" s="197"/>
      <c r="E203" s="299"/>
      <c r="F203" s="278"/>
      <c r="G203" s="300"/>
      <c r="H203" s="300"/>
      <c r="I203" s="283"/>
      <c r="J203" s="283"/>
      <c r="K203" s="198"/>
      <c r="M203" s="20"/>
      <c r="N203" s="201"/>
      <c r="O203" s="161"/>
    </row>
    <row r="204" spans="1:18" ht="25" customHeight="1">
      <c r="B204" s="68" t="s">
        <v>649</v>
      </c>
      <c r="C204" s="135"/>
      <c r="D204" s="135"/>
      <c r="F204" s="135"/>
      <c r="G204" s="135"/>
      <c r="H204" s="135"/>
      <c r="I204" s="291"/>
      <c r="J204" s="291"/>
      <c r="L204" s="199"/>
      <c r="M204" s="20"/>
      <c r="N204" s="201"/>
      <c r="O204" s="161"/>
      <c r="Q204" s="54"/>
      <c r="R204" s="54"/>
    </row>
    <row r="205" spans="1:18" ht="25" customHeight="1">
      <c r="B205" s="76" t="s">
        <v>650</v>
      </c>
      <c r="M205" s="20"/>
    </row>
    <row r="206" spans="1:18" ht="25" customHeight="1">
      <c r="B206" s="273" t="s">
        <v>23</v>
      </c>
      <c r="C206" s="262"/>
      <c r="D206" s="179" t="s">
        <v>295</v>
      </c>
      <c r="E206" s="1"/>
      <c r="F206" s="179"/>
      <c r="G206" s="6" t="s">
        <v>651</v>
      </c>
      <c r="H206" s="262"/>
      <c r="I206" s="262" t="s">
        <v>635</v>
      </c>
      <c r="J206" s="262"/>
      <c r="K206" s="181" t="s">
        <v>77</v>
      </c>
      <c r="L206" s="199"/>
      <c r="M206" s="20"/>
      <c r="N206" s="201"/>
      <c r="O206" s="161"/>
      <c r="Q206" s="54"/>
      <c r="R206" s="54"/>
    </row>
    <row r="207" spans="1:18" ht="25" customHeight="1">
      <c r="B207" s="137" t="s">
        <v>165</v>
      </c>
      <c r="C207" s="274"/>
      <c r="D207" s="191" t="s">
        <v>652</v>
      </c>
      <c r="E207" s="301"/>
      <c r="F207" s="191"/>
      <c r="G207" s="301" t="s">
        <v>271</v>
      </c>
      <c r="H207" s="275"/>
      <c r="I207" s="275" t="s">
        <v>653</v>
      </c>
      <c r="J207" s="275"/>
      <c r="K207" s="192" t="s">
        <v>641</v>
      </c>
      <c r="L207" s="199"/>
      <c r="M207" s="20"/>
      <c r="N207" s="201"/>
      <c r="O207" s="161"/>
      <c r="Q207" s="54"/>
      <c r="R207" s="54"/>
    </row>
    <row r="208" spans="1:18" ht="25" customHeight="1">
      <c r="B208" s="139" t="s">
        <v>170</v>
      </c>
      <c r="C208" s="277"/>
      <c r="D208" s="197" t="s">
        <v>654</v>
      </c>
      <c r="E208" s="299"/>
      <c r="F208" s="278"/>
      <c r="G208" s="300" t="s">
        <v>271</v>
      </c>
      <c r="H208" s="283"/>
      <c r="I208" s="283" t="s">
        <v>653</v>
      </c>
      <c r="J208" s="283"/>
      <c r="K208" s="198" t="s">
        <v>641</v>
      </c>
      <c r="L208" s="199"/>
      <c r="M208" s="20"/>
      <c r="N208" s="201"/>
      <c r="O208" s="161"/>
      <c r="Q208" s="54"/>
      <c r="R208" s="54"/>
    </row>
    <row r="209" spans="1:18" ht="25" customHeight="1">
      <c r="B209" s="137" t="s">
        <v>172</v>
      </c>
      <c r="C209" s="274"/>
      <c r="D209" s="191" t="s">
        <v>655</v>
      </c>
      <c r="E209" s="301"/>
      <c r="F209" s="191"/>
      <c r="G209" s="301" t="s">
        <v>656</v>
      </c>
      <c r="H209" s="275"/>
      <c r="I209" s="275" t="s">
        <v>653</v>
      </c>
      <c r="J209" s="275"/>
      <c r="K209" s="192" t="s">
        <v>641</v>
      </c>
      <c r="L209" s="199"/>
      <c r="M209" s="20"/>
      <c r="N209" s="201"/>
      <c r="O209" s="161"/>
      <c r="Q209" s="54"/>
      <c r="R209" s="54"/>
    </row>
    <row r="210" spans="1:18" ht="25" customHeight="1">
      <c r="B210" s="139" t="s">
        <v>175</v>
      </c>
      <c r="C210" s="277"/>
      <c r="D210" s="197" t="s">
        <v>341</v>
      </c>
      <c r="E210" s="299"/>
      <c r="F210" s="278"/>
      <c r="G210" s="300" t="s">
        <v>656</v>
      </c>
      <c r="H210" s="283"/>
      <c r="I210" s="283" t="s">
        <v>653</v>
      </c>
      <c r="J210" s="283"/>
      <c r="K210" s="198" t="s">
        <v>641</v>
      </c>
      <c r="L210" s="199"/>
      <c r="M210" s="20"/>
      <c r="N210" s="201"/>
      <c r="O210" s="161"/>
      <c r="Q210" s="54"/>
      <c r="R210" s="54"/>
    </row>
    <row r="211" spans="1:18" ht="25" customHeight="1">
      <c r="B211" s="292"/>
      <c r="C211" s="293"/>
      <c r="D211" s="303"/>
      <c r="E211" s="295"/>
      <c r="F211" s="296"/>
      <c r="G211" s="297"/>
      <c r="H211" s="297"/>
      <c r="I211" s="297"/>
      <c r="J211" s="297"/>
      <c r="K211" s="298"/>
      <c r="L211" s="199"/>
      <c r="M211" s="20"/>
      <c r="N211" s="201"/>
      <c r="O211" s="161"/>
      <c r="Q211" s="54"/>
      <c r="R211" s="54"/>
    </row>
    <row r="212" spans="1:18" ht="25" customHeight="1">
      <c r="B212" s="305"/>
      <c r="C212" s="239"/>
      <c r="D212" s="239"/>
      <c r="E212" s="239"/>
      <c r="F212" s="240"/>
      <c r="G212" s="241"/>
      <c r="H212" s="199"/>
      <c r="I212" s="199"/>
      <c r="J212" s="199"/>
      <c r="K212" s="200"/>
      <c r="L212" s="201"/>
      <c r="M212" s="20"/>
      <c r="N212" s="54"/>
      <c r="O212" s="54"/>
    </row>
    <row r="213" spans="1:18" ht="25" customHeight="1">
      <c r="A213" s="317"/>
      <c r="B213" s="318"/>
      <c r="C213" s="319"/>
      <c r="D213" s="319"/>
      <c r="E213" s="319"/>
      <c r="F213" s="320"/>
      <c r="G213" s="321"/>
      <c r="H213" s="322"/>
      <c r="I213" s="322"/>
      <c r="J213" s="323"/>
      <c r="K213" s="324"/>
      <c r="L213" s="325"/>
      <c r="M213" s="20"/>
      <c r="N213" s="54"/>
      <c r="O213" s="54"/>
    </row>
    <row r="214" spans="1:18" s="38" customFormat="1" ht="25" customHeight="1">
      <c r="A214" s="30"/>
      <c r="B214" s="326"/>
      <c r="C214" s="327"/>
      <c r="D214" s="327"/>
      <c r="E214" s="327"/>
      <c r="F214" s="328"/>
      <c r="G214" s="329"/>
      <c r="H214" s="330"/>
      <c r="I214" s="330"/>
      <c r="J214" s="331"/>
      <c r="K214" s="332"/>
      <c r="L214" s="33"/>
      <c r="M214" s="20"/>
    </row>
    <row r="215" spans="1:18" s="38" customFormat="1" ht="25" customHeight="1">
      <c r="A215" s="30"/>
      <c r="B215" s="326"/>
      <c r="C215" s="327"/>
      <c r="D215" s="327"/>
      <c r="E215" s="327"/>
      <c r="F215" s="328"/>
      <c r="G215" s="329"/>
      <c r="H215" s="330"/>
      <c r="I215" s="330"/>
      <c r="J215" s="331"/>
      <c r="K215" s="332"/>
      <c r="L215" s="33"/>
      <c r="M215" s="20"/>
    </row>
    <row r="216" spans="1:18" s="38" customFormat="1" ht="25" customHeight="1">
      <c r="A216" s="30"/>
      <c r="B216" s="326"/>
      <c r="C216" s="327"/>
      <c r="D216" s="327"/>
      <c r="E216" s="327"/>
      <c r="F216" s="328"/>
      <c r="G216" s="329"/>
      <c r="H216" s="330"/>
      <c r="I216" s="330"/>
      <c r="J216" s="331"/>
      <c r="K216" s="332"/>
      <c r="L216" s="33"/>
      <c r="M216" s="20"/>
    </row>
    <row r="217" spans="1:18" s="38" customFormat="1" ht="25" customHeight="1">
      <c r="A217" s="30"/>
      <c r="B217" s="988" t="s">
        <v>657</v>
      </c>
      <c r="C217" s="988"/>
      <c r="D217" s="988"/>
      <c r="E217" s="988"/>
      <c r="F217" s="988"/>
      <c r="G217" s="988"/>
      <c r="H217" s="35"/>
      <c r="I217" s="155"/>
      <c r="J217" s="33"/>
      <c r="K217" s="36"/>
      <c r="L217" s="33"/>
      <c r="M217" s="20"/>
    </row>
    <row r="218" spans="1:18" s="38" customFormat="1" ht="25" customHeight="1">
      <c r="A218" s="30"/>
      <c r="B218" s="988"/>
      <c r="C218" s="988"/>
      <c r="D218" s="988"/>
      <c r="E218" s="988"/>
      <c r="F218" s="988"/>
      <c r="G218" s="988"/>
      <c r="H218" s="35"/>
      <c r="I218" s="155"/>
      <c r="J218" s="33"/>
      <c r="K218" s="36"/>
      <c r="L218" s="33"/>
      <c r="M218" s="20"/>
    </row>
    <row r="219" spans="1:18" s="38" customFormat="1" ht="25" customHeight="1">
      <c r="A219" s="30"/>
      <c r="B219" s="988"/>
      <c r="C219" s="988"/>
      <c r="D219" s="988"/>
      <c r="E219" s="988"/>
      <c r="F219" s="988"/>
      <c r="G219" s="988"/>
      <c r="H219" s="35"/>
      <c r="I219" s="155"/>
      <c r="J219" s="33"/>
      <c r="K219" s="36"/>
      <c r="L219" s="33"/>
      <c r="M219" s="20"/>
    </row>
    <row r="220" spans="1:18" s="38" customFormat="1" ht="25" customHeight="1">
      <c r="A220" s="30"/>
      <c r="B220" s="333" t="s">
        <v>618</v>
      </c>
      <c r="C220" s="340"/>
      <c r="D220" s="340"/>
      <c r="E220" s="340"/>
      <c r="F220" s="340"/>
      <c r="G220" s="33"/>
      <c r="H220" s="35"/>
      <c r="I220" s="155"/>
      <c r="J220" s="33"/>
      <c r="K220" s="36"/>
      <c r="L220" s="334"/>
      <c r="M220" s="20"/>
    </row>
    <row r="221" spans="1:18" s="38" customFormat="1" ht="25" customHeight="1">
      <c r="A221" s="30"/>
      <c r="B221" s="31"/>
      <c r="C221" s="32"/>
      <c r="D221" s="32"/>
      <c r="E221" s="32"/>
      <c r="F221" s="32"/>
      <c r="G221" s="33"/>
      <c r="H221" s="35"/>
      <c r="I221" s="155"/>
      <c r="J221" s="33"/>
      <c r="K221" s="36"/>
      <c r="L221" s="334"/>
      <c r="M221" s="20"/>
    </row>
    <row r="222" spans="1:18" s="38" customFormat="1" ht="25" customHeight="1">
      <c r="A222" s="30"/>
      <c r="B222" s="25" t="s">
        <v>658</v>
      </c>
      <c r="C222" s="32"/>
      <c r="D222" s="32"/>
      <c r="E222" s="32"/>
      <c r="F222" s="32"/>
      <c r="G222" s="33"/>
      <c r="H222" s="35"/>
      <c r="I222" s="155"/>
      <c r="J222" s="33"/>
      <c r="K222" s="36"/>
      <c r="L222" s="334"/>
      <c r="M222" s="20"/>
    </row>
    <row r="223" spans="1:18" s="38" customFormat="1" ht="25" customHeight="1">
      <c r="A223" s="30"/>
      <c r="B223" s="27" t="s">
        <v>615</v>
      </c>
      <c r="C223" s="32"/>
      <c r="D223" s="32"/>
      <c r="E223" s="32"/>
      <c r="F223" s="32"/>
      <c r="G223" s="33"/>
      <c r="H223" s="35"/>
      <c r="I223" s="33"/>
      <c r="J223" s="37"/>
      <c r="K223" s="36"/>
      <c r="L223" s="334"/>
      <c r="M223" s="20"/>
    </row>
    <row r="224" spans="1:18" s="38" customFormat="1" ht="25" customHeight="1">
      <c r="A224" s="30"/>
      <c r="B224" s="28" t="s">
        <v>3</v>
      </c>
      <c r="C224" s="335"/>
      <c r="D224" s="335"/>
      <c r="E224" s="335"/>
      <c r="F224" s="335"/>
      <c r="G224" s="334"/>
      <c r="H224" s="336"/>
      <c r="I224" s="334"/>
      <c r="J224" s="337"/>
      <c r="K224" s="338"/>
      <c r="L224" s="334"/>
      <c r="M224" s="20"/>
    </row>
    <row r="225" spans="1:20" s="150" customFormat="1" ht="25" customHeight="1">
      <c r="A225" s="339"/>
      <c r="B225" s="333"/>
      <c r="C225" s="340"/>
      <c r="D225" s="340"/>
      <c r="E225" s="340"/>
      <c r="F225" s="340"/>
      <c r="G225" s="334"/>
      <c r="H225" s="336"/>
      <c r="I225" s="334"/>
      <c r="J225" s="337"/>
      <c r="K225" s="338"/>
      <c r="L225" s="341"/>
      <c r="M225" s="20"/>
      <c r="N225" s="342"/>
      <c r="O225" s="182"/>
      <c r="P225" s="182"/>
      <c r="Q225" s="182"/>
      <c r="R225" s="182"/>
      <c r="S225" s="182"/>
      <c r="T225" s="182"/>
    </row>
    <row r="226" spans="1:20" ht="25" customHeight="1">
      <c r="A226" s="15"/>
      <c r="B226" s="343" t="s">
        <v>279</v>
      </c>
      <c r="C226" s="344"/>
      <c r="D226" s="345"/>
      <c r="E226" s="344"/>
      <c r="F226" s="346"/>
      <c r="G226" s="346"/>
      <c r="H226" s="346"/>
      <c r="I226" s="344"/>
      <c r="J226" s="346" t="s">
        <v>657</v>
      </c>
      <c r="K226" s="347"/>
      <c r="L226" s="348"/>
      <c r="M226" s="20"/>
      <c r="N226" s="260"/>
    </row>
    <row r="227" spans="1:20" ht="25" customHeight="1">
      <c r="A227" s="15"/>
      <c r="B227" s="349" t="s">
        <v>181</v>
      </c>
      <c r="C227" s="350"/>
      <c r="D227" s="351"/>
      <c r="E227" s="350"/>
      <c r="F227" s="350"/>
      <c r="G227" s="352"/>
      <c r="H227" s="353"/>
      <c r="I227" s="351"/>
      <c r="J227" s="354">
        <f>K55+K72+K84+K92</f>
        <v>0</v>
      </c>
      <c r="K227" s="192"/>
      <c r="L227" s="17"/>
      <c r="M227" s="20"/>
      <c r="N227" s="260"/>
    </row>
    <row r="228" spans="1:20" ht="25" customHeight="1">
      <c r="A228" s="15"/>
      <c r="B228" s="355" t="s">
        <v>182</v>
      </c>
      <c r="C228" s="356" t="str">
        <f>K104&amp;" TB - S3"&amp;"     /     "&amp;K103&amp;" TB - Archive"</f>
        <v>0 TB - S3     /     0 TB - Archive</v>
      </c>
      <c r="D228" s="357"/>
      <c r="E228" s="357"/>
      <c r="F228" s="358"/>
      <c r="G228" s="359"/>
      <c r="H228" s="359"/>
      <c r="I228" s="360"/>
      <c r="J228" s="361">
        <f>K105</f>
        <v>0</v>
      </c>
      <c r="K228" s="192"/>
      <c r="L228" s="17"/>
      <c r="M228" s="20"/>
      <c r="N228" s="260"/>
    </row>
    <row r="229" spans="1:20" ht="25" customHeight="1">
      <c r="A229" s="15"/>
      <c r="B229" s="355" t="s">
        <v>183</v>
      </c>
      <c r="C229" s="362"/>
      <c r="D229" s="363"/>
      <c r="E229" s="364"/>
      <c r="F229" s="358"/>
      <c r="G229" s="359"/>
      <c r="H229" s="359"/>
      <c r="I229" s="360"/>
      <c r="J229" s="361">
        <f>K120</f>
        <v>0</v>
      </c>
      <c r="K229" s="192"/>
      <c r="L229" s="17"/>
      <c r="M229" s="20"/>
      <c r="N229" s="260"/>
    </row>
    <row r="230" spans="1:20" s="371" customFormat="1" ht="25" customHeight="1">
      <c r="A230" s="365"/>
      <c r="B230" s="366" t="s">
        <v>18</v>
      </c>
      <c r="C230" s="367"/>
      <c r="D230" s="367"/>
      <c r="E230" s="367"/>
      <c r="F230" s="367"/>
      <c r="G230" s="367"/>
      <c r="H230" s="367"/>
      <c r="I230" s="367"/>
      <c r="J230" s="368">
        <f>SUM(J227:J229)</f>
        <v>0</v>
      </c>
      <c r="K230" s="369"/>
      <c r="L230" s="370"/>
      <c r="M230" s="20"/>
    </row>
    <row r="231" spans="1:20" ht="25" customHeight="1">
      <c r="A231" s="15"/>
      <c r="B231" s="372"/>
      <c r="C231" s="373"/>
      <c r="D231" s="373"/>
      <c r="E231" s="373"/>
      <c r="F231" s="374"/>
      <c r="G231" s="375"/>
      <c r="H231" s="375"/>
      <c r="I231" s="376"/>
      <c r="J231" s="376"/>
      <c r="K231" s="377"/>
      <c r="L231" s="17"/>
      <c r="M231" s="20"/>
    </row>
    <row r="232" spans="1:20" ht="25" customHeight="1">
      <c r="A232" s="15"/>
      <c r="B232" s="24"/>
      <c r="C232" s="191"/>
      <c r="D232" s="378"/>
      <c r="E232" s="282"/>
      <c r="F232" s="301"/>
      <c r="G232" s="379"/>
      <c r="H232" s="191"/>
      <c r="I232" s="380"/>
      <c r="J232" s="381"/>
      <c r="K232" s="192"/>
      <c r="L232" s="17"/>
      <c r="M232" s="20"/>
    </row>
    <row r="233" spans="1:20" ht="25" customHeight="1">
      <c r="A233" s="382"/>
      <c r="B233" s="383"/>
      <c r="C233" s="229"/>
      <c r="D233" s="384"/>
      <c r="E233" s="385"/>
      <c r="F233" s="386"/>
      <c r="G233" s="387"/>
      <c r="H233" s="229"/>
      <c r="I233" s="388"/>
      <c r="J233" s="389"/>
      <c r="K233" s="231"/>
      <c r="L233" s="390"/>
      <c r="M233" s="20"/>
    </row>
    <row r="234" spans="1:20" s="401" customFormat="1" ht="25" customHeight="1">
      <c r="A234" s="391"/>
      <c r="B234" s="392"/>
      <c r="C234" s="393"/>
      <c r="D234" s="394"/>
      <c r="E234" s="395"/>
      <c r="F234" s="396"/>
      <c r="G234" s="397"/>
      <c r="H234" s="393"/>
      <c r="I234" s="398"/>
      <c r="J234" s="399"/>
      <c r="K234" s="400"/>
    </row>
    <row r="235" spans="1:20" s="401" customFormat="1" ht="25" customHeight="1">
      <c r="A235" s="391"/>
      <c r="B235" s="402" t="s">
        <v>659</v>
      </c>
      <c r="C235" s="393"/>
      <c r="D235" s="393"/>
      <c r="E235" s="393"/>
      <c r="F235" s="403"/>
      <c r="G235" s="404"/>
      <c r="H235" s="405"/>
      <c r="I235" s="405"/>
      <c r="J235" s="405"/>
      <c r="K235" s="400"/>
      <c r="L235" s="399"/>
      <c r="M235" s="399"/>
      <c r="N235" s="399"/>
    </row>
    <row r="236" spans="1:20" s="401" customFormat="1" ht="25" customHeight="1">
      <c r="A236" s="391"/>
      <c r="B236" s="402" t="s">
        <v>660</v>
      </c>
      <c r="C236" s="393"/>
      <c r="D236" s="393"/>
      <c r="E236" s="393"/>
      <c r="F236" s="403"/>
      <c r="G236" s="404"/>
      <c r="H236" s="405"/>
      <c r="I236" s="405"/>
      <c r="J236" s="405"/>
      <c r="K236" s="400"/>
      <c r="L236" s="399"/>
      <c r="M236" s="399"/>
      <c r="N236" s="399"/>
    </row>
    <row r="237" spans="1:20" s="401" customFormat="1" ht="25" customHeight="1">
      <c r="A237" s="391"/>
      <c r="B237" s="402" t="s">
        <v>661</v>
      </c>
      <c r="C237" s="393"/>
      <c r="D237" s="393"/>
      <c r="E237" s="393"/>
      <c r="F237" s="403"/>
      <c r="G237" s="404"/>
      <c r="H237" s="405"/>
      <c r="I237" s="405"/>
      <c r="J237" s="405"/>
      <c r="K237" s="400"/>
      <c r="L237" s="399"/>
      <c r="M237" s="399"/>
      <c r="N237" s="399"/>
    </row>
    <row r="238" spans="1:20" s="401" customFormat="1" ht="25" customHeight="1">
      <c r="A238" s="391"/>
      <c r="B238" s="402" t="s">
        <v>662</v>
      </c>
      <c r="C238" s="393"/>
      <c r="D238" s="393"/>
      <c r="E238" s="393"/>
      <c r="F238" s="403"/>
      <c r="G238" s="404"/>
      <c r="H238" s="405"/>
      <c r="I238" s="405"/>
      <c r="J238" s="405"/>
      <c r="K238" s="400"/>
      <c r="L238" s="399"/>
      <c r="M238" s="399"/>
      <c r="N238" s="399"/>
    </row>
    <row r="239" spans="1:20" s="401" customFormat="1" ht="25" customHeight="1">
      <c r="A239" s="391"/>
      <c r="B239" s="402"/>
      <c r="C239" s="393"/>
      <c r="D239" s="393"/>
      <c r="E239" s="393"/>
      <c r="F239" s="403"/>
      <c r="G239" s="404"/>
      <c r="H239" s="405"/>
      <c r="I239" s="405"/>
      <c r="J239" s="405"/>
      <c r="K239" s="400"/>
      <c r="L239" s="399"/>
      <c r="M239" s="399"/>
      <c r="N239" s="399"/>
    </row>
    <row r="240" spans="1:20" s="401" customFormat="1" ht="25" customHeight="1">
      <c r="A240" s="391"/>
      <c r="B240" s="392"/>
      <c r="C240" s="393"/>
      <c r="D240" s="393"/>
      <c r="E240" s="393"/>
      <c r="F240" s="403"/>
      <c r="G240" s="404"/>
      <c r="H240" s="405"/>
      <c r="I240" s="405"/>
      <c r="J240" s="405"/>
      <c r="K240" s="400"/>
      <c r="L240" s="399"/>
      <c r="M240" s="399"/>
      <c r="N240" s="399"/>
    </row>
    <row r="241" spans="1:23" s="401" customFormat="1" ht="25" customHeight="1">
      <c r="A241" s="391"/>
      <c r="B241" s="392"/>
      <c r="C241" s="393"/>
      <c r="D241" s="393"/>
      <c r="E241" s="393"/>
      <c r="F241" s="403"/>
      <c r="G241" s="404"/>
      <c r="H241" s="405"/>
      <c r="I241" s="405"/>
      <c r="J241" s="405"/>
      <c r="K241" s="400"/>
      <c r="L241" s="399"/>
      <c r="M241" s="399"/>
      <c r="N241" s="399"/>
    </row>
    <row r="242" spans="1:23" s="401" customFormat="1" ht="25" customHeight="1">
      <c r="A242" s="391"/>
      <c r="B242" s="392"/>
      <c r="C242" s="393"/>
      <c r="D242" s="393"/>
      <c r="E242" s="393"/>
      <c r="F242" s="403"/>
      <c r="G242" s="404"/>
      <c r="H242" s="405"/>
      <c r="I242" s="405"/>
      <c r="J242" s="405"/>
      <c r="K242" s="400"/>
      <c r="L242" s="399"/>
      <c r="M242" s="399"/>
      <c r="N242" s="399"/>
    </row>
    <row r="243" spans="1:23" s="401" customFormat="1" ht="25" customHeight="1">
      <c r="A243" s="391"/>
      <c r="B243" s="392"/>
      <c r="C243" s="393"/>
      <c r="D243" s="393"/>
      <c r="E243" s="393"/>
      <c r="F243" s="403"/>
      <c r="G243" s="404"/>
      <c r="H243" s="405"/>
      <c r="I243" s="405"/>
      <c r="J243" s="405"/>
      <c r="K243" s="400"/>
      <c r="L243" s="399"/>
      <c r="M243" s="399"/>
      <c r="N243" s="399"/>
    </row>
    <row r="244" spans="1:23" s="406" customFormat="1" ht="25" customHeight="1">
      <c r="A244" s="391"/>
      <c r="B244" s="392"/>
      <c r="C244" s="393"/>
      <c r="D244" s="393"/>
      <c r="E244" s="393"/>
      <c r="F244" s="403"/>
      <c r="G244" s="404"/>
      <c r="H244" s="405"/>
      <c r="I244" s="405"/>
      <c r="J244" s="405"/>
      <c r="K244" s="400"/>
      <c r="L244" s="399"/>
      <c r="M244" s="399"/>
      <c r="N244" s="399"/>
      <c r="O244" s="401"/>
      <c r="P244" s="401"/>
      <c r="Q244" s="401"/>
      <c r="R244" s="401"/>
      <c r="S244" s="401"/>
      <c r="T244" s="401"/>
      <c r="U244" s="401"/>
      <c r="V244" s="401"/>
      <c r="W244" s="401"/>
    </row>
    <row r="245" spans="1:23" s="401" customFormat="1" ht="25" customHeight="1">
      <c r="A245" s="391"/>
      <c r="B245" s="392"/>
      <c r="C245" s="393"/>
      <c r="D245" s="393"/>
      <c r="E245" s="393"/>
      <c r="F245" s="403"/>
      <c r="G245" s="404"/>
      <c r="H245" s="405"/>
      <c r="I245" s="405"/>
      <c r="J245" s="405"/>
      <c r="K245" s="400"/>
      <c r="L245" s="399"/>
      <c r="M245" s="399"/>
      <c r="N245" s="399"/>
    </row>
    <row r="246" spans="1:23" s="401" customFormat="1" ht="25" customHeight="1">
      <c r="A246" s="391"/>
      <c r="B246" s="392"/>
      <c r="C246" s="393"/>
      <c r="D246" s="393"/>
      <c r="E246" s="393"/>
      <c r="F246" s="403"/>
      <c r="G246" s="404"/>
      <c r="H246" s="405"/>
      <c r="I246" s="405"/>
      <c r="J246" s="405"/>
      <c r="K246" s="400"/>
      <c r="L246" s="399"/>
      <c r="M246" s="399"/>
      <c r="N246" s="399"/>
    </row>
    <row r="247" spans="1:23" s="401" customFormat="1" ht="25" customHeight="1">
      <c r="A247" s="391"/>
      <c r="B247" s="392"/>
      <c r="C247" s="393"/>
      <c r="D247" s="393"/>
      <c r="E247" s="393"/>
      <c r="F247" s="403"/>
      <c r="G247" s="404"/>
      <c r="H247" s="405"/>
      <c r="I247" s="405"/>
      <c r="J247" s="405"/>
      <c r="K247" s="400"/>
      <c r="L247" s="399"/>
      <c r="M247" s="399"/>
      <c r="N247" s="399"/>
    </row>
    <row r="248" spans="1:23" s="401" customFormat="1" ht="25" customHeight="1">
      <c r="A248" s="391"/>
      <c r="B248" s="392"/>
      <c r="C248" s="393"/>
      <c r="D248" s="393"/>
      <c r="E248" s="393"/>
      <c r="F248" s="403"/>
      <c r="G248" s="404"/>
      <c r="H248" s="405"/>
      <c r="I248" s="405"/>
      <c r="J248" s="405"/>
      <c r="K248" s="400"/>
      <c r="L248" s="399"/>
      <c r="M248" s="399"/>
      <c r="N248" s="399"/>
    </row>
    <row r="249" spans="1:23" s="401" customFormat="1" ht="25" customHeight="1">
      <c r="A249" s="391"/>
      <c r="B249" s="392"/>
      <c r="C249" s="393"/>
      <c r="D249" s="393"/>
      <c r="E249" s="393"/>
      <c r="F249" s="403"/>
      <c r="G249" s="404"/>
      <c r="H249" s="405"/>
      <c r="I249" s="405"/>
      <c r="J249" s="405"/>
      <c r="K249" s="400"/>
      <c r="L249" s="399"/>
      <c r="M249" s="399"/>
      <c r="N249" s="399"/>
    </row>
    <row r="250" spans="1:23" s="401" customFormat="1" ht="25" customHeight="1">
      <c r="A250" s="391"/>
      <c r="B250" s="392"/>
      <c r="C250" s="393"/>
      <c r="D250" s="393"/>
      <c r="E250" s="393"/>
      <c r="F250" s="403"/>
      <c r="G250" s="404"/>
      <c r="H250" s="405"/>
      <c r="I250" s="405"/>
      <c r="J250" s="405"/>
      <c r="K250" s="400"/>
      <c r="L250" s="399"/>
      <c r="M250" s="399"/>
      <c r="N250" s="399"/>
    </row>
    <row r="251" spans="1:23" s="401" customFormat="1" ht="25" customHeight="1">
      <c r="A251" s="391"/>
      <c r="B251" s="392"/>
      <c r="C251" s="393"/>
      <c r="D251" s="393"/>
      <c r="E251" s="393"/>
      <c r="F251" s="403"/>
      <c r="G251" s="404"/>
      <c r="H251" s="405"/>
      <c r="I251" s="405"/>
      <c r="J251" s="405"/>
      <c r="K251" s="400"/>
      <c r="L251" s="399"/>
      <c r="M251" s="399"/>
      <c r="N251" s="399"/>
    </row>
    <row r="252" spans="1:23" s="401" customFormat="1" ht="25" customHeight="1">
      <c r="A252" s="391"/>
      <c r="B252" s="392"/>
      <c r="C252" s="393"/>
      <c r="D252" s="393"/>
      <c r="E252" s="393"/>
      <c r="F252" s="403"/>
      <c r="G252" s="404"/>
      <c r="H252" s="405"/>
      <c r="I252" s="405"/>
      <c r="J252" s="405"/>
      <c r="K252" s="400"/>
      <c r="L252" s="399"/>
      <c r="M252" s="399"/>
      <c r="N252" s="399"/>
    </row>
    <row r="253" spans="1:23" s="401" customFormat="1" ht="25" customHeight="1">
      <c r="A253" s="391"/>
      <c r="B253" s="392"/>
      <c r="C253" s="393"/>
      <c r="D253" s="393"/>
      <c r="E253" s="393"/>
      <c r="F253" s="403"/>
      <c r="G253" s="404"/>
      <c r="H253" s="405"/>
      <c r="I253" s="405"/>
      <c r="J253" s="405"/>
      <c r="K253" s="400"/>
      <c r="L253" s="399"/>
      <c r="M253" s="399"/>
      <c r="N253" s="399"/>
    </row>
    <row r="254" spans="1:23" s="401" customFormat="1" ht="25" customHeight="1">
      <c r="A254" s="391"/>
      <c r="B254" s="392"/>
      <c r="C254" s="393"/>
      <c r="D254" s="393"/>
      <c r="E254" s="393"/>
      <c r="F254" s="403"/>
      <c r="G254" s="404"/>
      <c r="H254" s="405"/>
      <c r="I254" s="405"/>
      <c r="J254" s="405"/>
      <c r="K254" s="400"/>
      <c r="L254" s="399"/>
      <c r="M254" s="399"/>
      <c r="N254" s="399"/>
    </row>
    <row r="255" spans="1:23" s="401" customFormat="1" ht="25" customHeight="1">
      <c r="A255" s="391"/>
      <c r="B255" s="392"/>
      <c r="C255" s="393"/>
      <c r="D255" s="393"/>
      <c r="E255" s="393"/>
      <c r="F255" s="403"/>
      <c r="G255" s="404"/>
      <c r="H255" s="405"/>
      <c r="I255" s="405"/>
      <c r="J255" s="405"/>
      <c r="K255" s="400"/>
      <c r="L255" s="399"/>
      <c r="M255" s="399"/>
      <c r="N255" s="399"/>
    </row>
    <row r="256" spans="1:23" s="401" customFormat="1" ht="25" customHeight="1">
      <c r="A256" s="391"/>
      <c r="B256" s="392"/>
      <c r="C256" s="393"/>
      <c r="D256" s="393"/>
      <c r="E256" s="393"/>
      <c r="F256" s="403"/>
      <c r="G256" s="404"/>
      <c r="H256" s="405"/>
      <c r="I256" s="405"/>
      <c r="J256" s="405"/>
      <c r="K256" s="400"/>
      <c r="L256" s="399"/>
      <c r="M256" s="399"/>
      <c r="N256" s="399"/>
    </row>
    <row r="257" spans="1:14" s="401" customFormat="1" ht="25" customHeight="1">
      <c r="A257" s="391"/>
      <c r="B257" s="392"/>
      <c r="C257" s="393"/>
      <c r="D257" s="393"/>
      <c r="E257" s="393"/>
      <c r="F257" s="403"/>
      <c r="G257" s="404"/>
      <c r="H257" s="405"/>
      <c r="I257" s="405"/>
      <c r="J257" s="405"/>
      <c r="K257" s="400"/>
      <c r="L257" s="399"/>
      <c r="M257" s="399"/>
      <c r="N257" s="399"/>
    </row>
    <row r="258" spans="1:14" s="401" customFormat="1" ht="25" customHeight="1">
      <c r="A258" s="391"/>
      <c r="B258" s="392"/>
      <c r="C258" s="393"/>
      <c r="D258" s="393"/>
      <c r="E258" s="393"/>
      <c r="F258" s="403"/>
      <c r="G258" s="404"/>
      <c r="H258" s="405"/>
      <c r="I258" s="405"/>
      <c r="J258" s="405"/>
      <c r="K258" s="400"/>
      <c r="L258" s="399"/>
      <c r="M258" s="399"/>
      <c r="N258" s="399"/>
    </row>
    <row r="259" spans="1:14" s="401" customFormat="1" ht="25" customHeight="1">
      <c r="A259" s="391"/>
      <c r="B259" s="392"/>
      <c r="C259" s="393"/>
      <c r="D259" s="393"/>
      <c r="E259" s="393"/>
      <c r="F259" s="403"/>
      <c r="G259" s="404"/>
      <c r="H259" s="405"/>
      <c r="I259" s="405"/>
      <c r="J259" s="405"/>
      <c r="K259" s="400"/>
      <c r="L259" s="399"/>
      <c r="M259" s="399"/>
      <c r="N259" s="399"/>
    </row>
    <row r="260" spans="1:14" s="401" customFormat="1" ht="25" customHeight="1">
      <c r="A260" s="391"/>
      <c r="B260" s="392"/>
      <c r="C260" s="393"/>
      <c r="D260" s="393"/>
      <c r="E260" s="393"/>
      <c r="F260" s="403"/>
      <c r="G260" s="404"/>
      <c r="H260" s="405"/>
      <c r="I260" s="405"/>
      <c r="J260" s="405"/>
      <c r="K260" s="400"/>
      <c r="L260" s="399"/>
      <c r="M260" s="399"/>
      <c r="N260" s="399"/>
    </row>
    <row r="261" spans="1:14" s="401" customFormat="1" ht="25" customHeight="1">
      <c r="A261" s="391"/>
      <c r="B261" s="392"/>
      <c r="C261" s="393"/>
      <c r="D261" s="393"/>
      <c r="E261" s="393"/>
      <c r="F261" s="403"/>
      <c r="G261" s="404"/>
      <c r="H261" s="405"/>
      <c r="I261" s="405"/>
      <c r="J261" s="405"/>
      <c r="K261" s="400"/>
      <c r="L261" s="399"/>
      <c r="M261" s="399"/>
      <c r="N261" s="399"/>
    </row>
    <row r="262" spans="1:14" s="401" customFormat="1" ht="25" customHeight="1">
      <c r="A262" s="391"/>
      <c r="B262" s="392"/>
      <c r="C262" s="393"/>
      <c r="D262" s="393"/>
      <c r="E262" s="393"/>
      <c r="F262" s="403"/>
      <c r="G262" s="404"/>
      <c r="H262" s="405"/>
      <c r="I262" s="405"/>
      <c r="J262" s="405"/>
      <c r="K262" s="400"/>
      <c r="L262" s="399"/>
      <c r="M262" s="399"/>
      <c r="N262" s="399"/>
    </row>
    <row r="263" spans="1:14" s="401" customFormat="1" ht="25" customHeight="1">
      <c r="A263" s="391"/>
      <c r="B263" s="392"/>
      <c r="C263" s="393"/>
      <c r="D263" s="393"/>
      <c r="E263" s="393"/>
      <c r="F263" s="403"/>
      <c r="G263" s="404"/>
      <c r="H263" s="405"/>
      <c r="I263" s="405"/>
      <c r="J263" s="405"/>
      <c r="K263" s="400"/>
      <c r="L263" s="399"/>
      <c r="M263" s="399"/>
      <c r="N263" s="399"/>
    </row>
    <row r="264" spans="1:14" s="401" customFormat="1" ht="25" customHeight="1">
      <c r="A264" s="391"/>
      <c r="B264" s="392"/>
      <c r="K264" s="400"/>
      <c r="M264" s="407"/>
    </row>
    <row r="265" spans="1:14" s="401" customFormat="1" ht="25" customHeight="1">
      <c r="A265" s="391"/>
      <c r="B265" s="392"/>
      <c r="K265" s="400"/>
      <c r="M265" s="407"/>
    </row>
    <row r="266" spans="1:14" s="401" customFormat="1" ht="25" customHeight="1">
      <c r="A266" s="391"/>
      <c r="B266" s="392"/>
      <c r="K266" s="400"/>
      <c r="M266" s="407"/>
    </row>
    <row r="267" spans="1:14" s="401" customFormat="1" ht="25" customHeight="1">
      <c r="A267" s="391"/>
      <c r="B267" s="392"/>
      <c r="K267" s="400"/>
      <c r="M267" s="407"/>
    </row>
    <row r="268" spans="1:14" s="401" customFormat="1" ht="25" customHeight="1">
      <c r="A268" s="391"/>
      <c r="B268" s="392"/>
      <c r="K268" s="400"/>
      <c r="M268" s="407"/>
    </row>
    <row r="269" spans="1:14" s="401" customFormat="1" ht="25" customHeight="1">
      <c r="A269" s="391"/>
      <c r="B269" s="392"/>
      <c r="K269" s="400"/>
      <c r="M269" s="407"/>
    </row>
    <row r="270" spans="1:14" s="401" customFormat="1" ht="25" customHeight="1">
      <c r="A270" s="391"/>
      <c r="B270" s="392"/>
      <c r="K270" s="400"/>
      <c r="M270" s="407"/>
    </row>
    <row r="271" spans="1:14" s="401" customFormat="1" ht="25" customHeight="1">
      <c r="A271" s="391"/>
      <c r="B271" s="392"/>
      <c r="K271" s="400"/>
      <c r="M271" s="407"/>
    </row>
    <row r="272" spans="1:14" s="401" customFormat="1" ht="25" customHeight="1">
      <c r="A272" s="391"/>
      <c r="B272" s="392"/>
      <c r="K272" s="400"/>
      <c r="M272" s="407"/>
    </row>
    <row r="273" spans="1:13" s="401" customFormat="1" ht="25" customHeight="1">
      <c r="A273" s="391"/>
      <c r="B273" s="392"/>
      <c r="K273" s="400"/>
      <c r="M273" s="407"/>
    </row>
    <row r="274" spans="1:13" s="401" customFormat="1" ht="25" customHeight="1">
      <c r="A274" s="391"/>
      <c r="B274" s="392"/>
      <c r="K274" s="400"/>
      <c r="M274" s="407"/>
    </row>
    <row r="275" spans="1:13" s="401" customFormat="1" ht="25" customHeight="1">
      <c r="A275" s="391"/>
      <c r="B275" s="392"/>
      <c r="K275" s="400"/>
      <c r="M275" s="407"/>
    </row>
    <row r="276" spans="1:13" s="401" customFormat="1" ht="25" customHeight="1">
      <c r="A276" s="391"/>
      <c r="B276" s="392"/>
      <c r="K276" s="400"/>
      <c r="M276" s="407"/>
    </row>
    <row r="277" spans="1:13" s="401" customFormat="1" ht="25" customHeight="1">
      <c r="A277" s="391"/>
      <c r="B277" s="392"/>
      <c r="K277" s="400"/>
      <c r="M277" s="407"/>
    </row>
    <row r="278" spans="1:13" s="401" customFormat="1" ht="25" customHeight="1">
      <c r="A278" s="391"/>
      <c r="B278" s="392"/>
      <c r="K278" s="400"/>
      <c r="M278" s="407"/>
    </row>
    <row r="279" spans="1:13" s="401" customFormat="1" ht="25" customHeight="1">
      <c r="A279" s="391"/>
      <c r="B279" s="392"/>
      <c r="K279" s="400"/>
      <c r="M279" s="407"/>
    </row>
    <row r="280" spans="1:13" s="401" customFormat="1" ht="25" customHeight="1">
      <c r="A280" s="391"/>
      <c r="B280" s="392"/>
      <c r="K280" s="400"/>
      <c r="M280" s="407"/>
    </row>
    <row r="281" spans="1:13" s="401" customFormat="1" ht="25" customHeight="1">
      <c r="A281" s="391"/>
      <c r="B281" s="392"/>
      <c r="K281" s="400"/>
      <c r="M281" s="407"/>
    </row>
    <row r="282" spans="1:13" s="401" customFormat="1" ht="25" customHeight="1">
      <c r="A282" s="391"/>
      <c r="B282" s="392"/>
      <c r="K282" s="400"/>
      <c r="M282" s="407"/>
    </row>
    <row r="283" spans="1:13" s="401" customFormat="1" ht="25" customHeight="1">
      <c r="A283" s="391"/>
      <c r="B283" s="392"/>
      <c r="K283" s="400"/>
      <c r="M283" s="407"/>
    </row>
    <row r="284" spans="1:13" s="401" customFormat="1" ht="25" customHeight="1">
      <c r="A284" s="391"/>
      <c r="B284" s="392"/>
      <c r="K284" s="400"/>
      <c r="M284" s="407"/>
    </row>
    <row r="285" spans="1:13" s="401" customFormat="1" ht="25" customHeight="1">
      <c r="A285" s="391"/>
      <c r="B285" s="392"/>
      <c r="K285" s="400"/>
      <c r="M285" s="407"/>
    </row>
    <row r="286" spans="1:13" s="401" customFormat="1" ht="25" customHeight="1">
      <c r="A286" s="391"/>
      <c r="B286" s="392"/>
      <c r="K286" s="400"/>
      <c r="M286" s="407"/>
    </row>
    <row r="287" spans="1:13" s="401" customFormat="1" ht="25" customHeight="1">
      <c r="A287" s="391"/>
      <c r="B287" s="392"/>
      <c r="K287" s="400"/>
      <c r="M287" s="407"/>
    </row>
    <row r="288" spans="1:13" s="401" customFormat="1" ht="25" customHeight="1">
      <c r="A288" s="391"/>
      <c r="B288" s="392"/>
      <c r="K288" s="400"/>
      <c r="M288" s="407"/>
    </row>
    <row r="289" spans="1:13" s="401" customFormat="1" ht="25" customHeight="1">
      <c r="A289" s="391"/>
      <c r="B289" s="392"/>
      <c r="K289" s="400"/>
      <c r="M289" s="407"/>
    </row>
    <row r="290" spans="1:13" s="401" customFormat="1" ht="25" customHeight="1">
      <c r="A290" s="391"/>
      <c r="B290" s="392"/>
      <c r="K290" s="400"/>
      <c r="M290" s="407"/>
    </row>
    <row r="291" spans="1:13" s="401" customFormat="1" ht="25" customHeight="1">
      <c r="A291" s="391"/>
      <c r="B291" s="392"/>
      <c r="K291" s="400"/>
      <c r="M291" s="407"/>
    </row>
    <row r="292" spans="1:13" s="401" customFormat="1" ht="25" customHeight="1">
      <c r="A292" s="391"/>
      <c r="B292" s="392"/>
      <c r="K292" s="400"/>
      <c r="M292" s="407"/>
    </row>
    <row r="293" spans="1:13" s="401" customFormat="1" ht="25" customHeight="1">
      <c r="A293" s="391"/>
      <c r="B293" s="392"/>
      <c r="K293" s="400"/>
      <c r="M293" s="407"/>
    </row>
    <row r="294" spans="1:13" s="401" customFormat="1" ht="25" customHeight="1">
      <c r="A294" s="391"/>
      <c r="B294" s="392"/>
      <c r="K294" s="400"/>
      <c r="M294" s="407"/>
    </row>
    <row r="295" spans="1:13" s="401" customFormat="1" ht="25" customHeight="1">
      <c r="A295" s="391"/>
      <c r="B295" s="392"/>
      <c r="K295" s="400"/>
      <c r="M295" s="407"/>
    </row>
    <row r="296" spans="1:13" s="401" customFormat="1" ht="25" customHeight="1">
      <c r="A296" s="391"/>
      <c r="B296" s="392"/>
      <c r="K296" s="400"/>
      <c r="M296" s="407"/>
    </row>
    <row r="297" spans="1:13" s="401" customFormat="1" ht="25" customHeight="1">
      <c r="A297" s="391"/>
      <c r="B297" s="392"/>
      <c r="K297" s="400"/>
      <c r="M297" s="407"/>
    </row>
    <row r="298" spans="1:13" s="401" customFormat="1" ht="25" customHeight="1">
      <c r="A298" s="391"/>
      <c r="B298" s="392"/>
      <c r="K298" s="400"/>
      <c r="M298" s="407"/>
    </row>
    <row r="299" spans="1:13" s="401" customFormat="1" ht="25" customHeight="1">
      <c r="A299" s="391"/>
      <c r="B299" s="392"/>
      <c r="K299" s="400"/>
      <c r="M299" s="407"/>
    </row>
    <row r="300" spans="1:13" s="401" customFormat="1" ht="25" customHeight="1">
      <c r="A300" s="391"/>
      <c r="B300" s="392"/>
      <c r="K300" s="400"/>
      <c r="M300" s="407"/>
    </row>
    <row r="301" spans="1:13" s="401" customFormat="1" ht="25" customHeight="1">
      <c r="A301" s="391"/>
      <c r="B301" s="392"/>
      <c r="K301" s="400"/>
      <c r="M301" s="407"/>
    </row>
    <row r="302" spans="1:13" s="401" customFormat="1" ht="25" customHeight="1">
      <c r="A302" s="391"/>
      <c r="B302" s="392"/>
      <c r="K302" s="400"/>
      <c r="M302" s="407"/>
    </row>
    <row r="303" spans="1:13" s="401" customFormat="1" ht="25" customHeight="1">
      <c r="A303" s="391"/>
      <c r="B303" s="392"/>
      <c r="K303" s="400"/>
      <c r="M303" s="407"/>
    </row>
    <row r="304" spans="1:13" s="401" customFormat="1" ht="25" customHeight="1">
      <c r="A304" s="391"/>
      <c r="B304" s="392"/>
      <c r="K304" s="400"/>
      <c r="M304" s="407"/>
    </row>
    <row r="305" spans="1:13" s="401" customFormat="1" ht="25" customHeight="1">
      <c r="A305" s="391"/>
      <c r="B305" s="392"/>
      <c r="K305" s="400"/>
      <c r="M305" s="407"/>
    </row>
    <row r="306" spans="1:13" s="401" customFormat="1" ht="25" customHeight="1">
      <c r="A306" s="391"/>
      <c r="B306" s="392"/>
      <c r="K306" s="400"/>
      <c r="M306" s="407"/>
    </row>
    <row r="307" spans="1:13" s="401" customFormat="1" ht="25" customHeight="1">
      <c r="A307" s="391"/>
      <c r="B307" s="392"/>
      <c r="K307" s="400"/>
      <c r="M307" s="407"/>
    </row>
    <row r="308" spans="1:13" s="401" customFormat="1" ht="25" customHeight="1">
      <c r="A308" s="391"/>
      <c r="B308" s="392"/>
      <c r="K308" s="400"/>
      <c r="M308" s="407"/>
    </row>
    <row r="309" spans="1:13" s="401" customFormat="1" ht="25" customHeight="1">
      <c r="A309" s="391"/>
      <c r="B309" s="392"/>
      <c r="K309" s="400"/>
      <c r="M309" s="407"/>
    </row>
    <row r="310" spans="1:13" s="401" customFormat="1" ht="25" customHeight="1">
      <c r="A310" s="391"/>
      <c r="B310" s="392"/>
      <c r="K310" s="400"/>
      <c r="M310" s="407"/>
    </row>
    <row r="311" spans="1:13" s="401" customFormat="1" ht="25" customHeight="1">
      <c r="A311" s="391"/>
      <c r="B311" s="392"/>
      <c r="K311" s="400"/>
      <c r="M311" s="407"/>
    </row>
    <row r="312" spans="1:13" s="401" customFormat="1" ht="25" customHeight="1">
      <c r="A312" s="391"/>
      <c r="B312" s="392"/>
      <c r="K312" s="400"/>
      <c r="M312" s="407"/>
    </row>
    <row r="313" spans="1:13" s="401" customFormat="1" ht="25" customHeight="1">
      <c r="A313" s="391"/>
      <c r="B313" s="392"/>
      <c r="K313" s="400"/>
      <c r="M313" s="407"/>
    </row>
    <row r="314" spans="1:13" s="401" customFormat="1" ht="25" customHeight="1">
      <c r="A314" s="391"/>
      <c r="B314" s="392"/>
      <c r="K314" s="400"/>
      <c r="M314" s="407"/>
    </row>
    <row r="326" spans="2:4" ht="25" customHeight="1">
      <c r="B326" s="408"/>
      <c r="C326" s="197"/>
      <c r="D326" s="170"/>
    </row>
  </sheetData>
  <sheetProtection algorithmName="SHA-512" hashValue="0Xd9w1XBosLbLBeucC3X9z7W45Q+iz4ZfQWA/eEDcKatDcTyEXbRMzTSgLsvFOvKxNdeZstQ0YavJhH1Xg30gg==" saltValue="JWcf15WUl6I8OjuMLhe1+A==" spinCount="100000" sheet="1" objects="1" scenarios="1" selectLockedCells="1"/>
  <mergeCells count="19">
    <mergeCell ref="B217:G219"/>
    <mergeCell ref="C132:D132"/>
    <mergeCell ref="E132:F132"/>
    <mergeCell ref="C133:D133"/>
    <mergeCell ref="E133:F133"/>
    <mergeCell ref="B138:G140"/>
    <mergeCell ref="C131:D131"/>
    <mergeCell ref="E131:F131"/>
    <mergeCell ref="G131:H131"/>
    <mergeCell ref="B180:G182"/>
    <mergeCell ref="B183:F183"/>
    <mergeCell ref="B4:C4"/>
    <mergeCell ref="B30:G32"/>
    <mergeCell ref="B95:G97"/>
    <mergeCell ref="B109:G111"/>
    <mergeCell ref="B124:G126"/>
    <mergeCell ref="B15:L17"/>
    <mergeCell ref="B18:F18"/>
    <mergeCell ref="B23:E23"/>
  </mergeCells>
  <conditionalFormatting sqref="I41:I54 K41:K54 I62:I71 K62:K71 I89:I91 K89:K91 I103:I104 K103:K104 I117:I119 K117:K119 J118:J119">
    <cfRule type="cellIs" dxfId="12" priority="5" operator="greaterThan">
      <formula>0</formula>
    </cfRule>
  </conditionalFormatting>
  <conditionalFormatting sqref="I79:I83 K79:K83">
    <cfRule type="cellIs" dxfId="11" priority="3" operator="greaterThan">
      <formula>0</formula>
    </cfRule>
  </conditionalFormatting>
  <conditionalFormatting sqref="I25:I26 K25:K26">
    <cfRule type="cellIs" dxfId="10" priority="1" operator="greaterThan">
      <formula>0</formula>
    </cfRule>
  </conditionalFormatting>
  <hyperlinks>
    <hyperlink ref="B10" r:id="rId1" xr:uid="{00000000-0004-0000-0600-000000000000}"/>
    <hyperlink ref="B224" r:id="rId2" xr:uid="{00000000-0004-0000-0600-000003000000}"/>
    <hyperlink ref="B23" location="'SEK - Safesprings tjänster 2023'!I80" display="Central blocklagring kan köpas till instanserna. Se &quot;Central blocklagring&quot; i prislistan." xr:uid="{84750334-599D-7D4F-81A8-FCE32CC5104E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76"/>
  <sheetViews>
    <sheetView topLeftCell="A15" zoomScaleNormal="100" workbookViewId="0">
      <selection activeCell="J20" sqref="J20"/>
    </sheetView>
  </sheetViews>
  <sheetFormatPr baseColWidth="10" defaultColWidth="17.5" defaultRowHeight="30" customHeight="1"/>
  <cols>
    <col min="1" max="1" width="10.1640625" style="870" customWidth="1"/>
    <col min="2" max="3" width="17.5" style="870"/>
    <col min="4" max="4" width="17.5" style="871"/>
    <col min="5" max="6" width="23.1640625" style="870" customWidth="1"/>
    <col min="7" max="7" width="22.5" style="872" customWidth="1"/>
    <col min="8" max="16384" width="17.5" style="870"/>
  </cols>
  <sheetData>
    <row r="1" spans="2:14" s="873" customFormat="1" ht="30" customHeight="1">
      <c r="B1" s="874"/>
      <c r="D1" s="875"/>
      <c r="G1" s="876"/>
      <c r="L1" s="877"/>
      <c r="N1" s="875"/>
    </row>
    <row r="2" spans="2:14" s="878" customFormat="1" ht="30" customHeight="1">
      <c r="B2" s="879" t="s">
        <v>181</v>
      </c>
      <c r="C2" s="880"/>
      <c r="D2" s="881" t="s">
        <v>663</v>
      </c>
      <c r="E2" s="881" t="s">
        <v>664</v>
      </c>
      <c r="F2" s="881" t="s">
        <v>665</v>
      </c>
      <c r="G2" s="882" t="s">
        <v>666</v>
      </c>
      <c r="I2" s="880" t="s">
        <v>667</v>
      </c>
      <c r="J2" s="881"/>
      <c r="K2" s="881"/>
    </row>
    <row r="3" spans="2:14" s="873" customFormat="1" ht="30" customHeight="1">
      <c r="B3" s="883" t="s">
        <v>668</v>
      </c>
      <c r="C3" s="32"/>
      <c r="D3" s="884">
        <v>55</v>
      </c>
      <c r="E3" s="885">
        <f>D3*SEK</f>
        <v>55</v>
      </c>
      <c r="F3" s="886">
        <f>D3*EUR</f>
        <v>5.17</v>
      </c>
      <c r="G3" s="885">
        <f t="shared" ref="G3:G9" si="0">(D3*(1+Safespring.price.increase))*(1+sunet.price.increase)</f>
        <v>55</v>
      </c>
      <c r="I3" s="887" t="s">
        <v>558</v>
      </c>
      <c r="J3" s="888"/>
      <c r="K3" s="889">
        <v>1</v>
      </c>
    </row>
    <row r="4" spans="2:14" s="873" customFormat="1" ht="30" customHeight="1">
      <c r="B4" s="890" t="s">
        <v>669</v>
      </c>
      <c r="C4" s="891"/>
      <c r="D4" s="884">
        <v>3.6</v>
      </c>
      <c r="E4" s="892">
        <f>D4*SEK</f>
        <v>3.6</v>
      </c>
      <c r="F4" s="893">
        <f>D4*EUR</f>
        <v>0.33840000000000003</v>
      </c>
      <c r="G4" s="894">
        <f t="shared" si="0"/>
        <v>3.6</v>
      </c>
      <c r="I4" s="895" t="s">
        <v>665</v>
      </c>
      <c r="K4" s="896">
        <v>9.4E-2</v>
      </c>
      <c r="L4" s="873" t="s">
        <v>670</v>
      </c>
    </row>
    <row r="5" spans="2:14" s="873" customFormat="1" ht="30" customHeight="1">
      <c r="B5" s="883" t="s">
        <v>671</v>
      </c>
      <c r="C5" s="32"/>
      <c r="D5" s="884">
        <v>80</v>
      </c>
      <c r="E5" s="885">
        <f>D5*SEK</f>
        <v>80</v>
      </c>
      <c r="F5" s="886">
        <f>D5*EUR</f>
        <v>7.52</v>
      </c>
      <c r="G5" s="885">
        <f t="shared" si="0"/>
        <v>80</v>
      </c>
      <c r="I5" s="887" t="s">
        <v>672</v>
      </c>
      <c r="J5" s="888"/>
      <c r="K5" s="897">
        <v>1</v>
      </c>
    </row>
    <row r="6" spans="2:14" s="873" customFormat="1" ht="30" customHeight="1">
      <c r="B6" s="890" t="s">
        <v>673</v>
      </c>
      <c r="C6" s="891"/>
      <c r="D6" s="884">
        <v>1</v>
      </c>
      <c r="E6" s="892">
        <f>D6*SEK</f>
        <v>1</v>
      </c>
      <c r="F6" s="893">
        <f>D6*EUR</f>
        <v>9.4E-2</v>
      </c>
      <c r="G6" s="892">
        <f t="shared" si="0"/>
        <v>1</v>
      </c>
      <c r="I6" s="898"/>
      <c r="J6" s="899"/>
      <c r="K6" s="898"/>
    </row>
    <row r="7" spans="2:14" s="873" customFormat="1" ht="30" customHeight="1">
      <c r="B7" s="883" t="s">
        <v>674</v>
      </c>
      <c r="C7" s="32"/>
      <c r="D7" s="884">
        <v>5500</v>
      </c>
      <c r="E7" s="885">
        <f>D7*SEK</f>
        <v>5500</v>
      </c>
      <c r="F7" s="886">
        <f>D7*EUR</f>
        <v>517</v>
      </c>
      <c r="G7" s="885">
        <f t="shared" si="0"/>
        <v>5500</v>
      </c>
      <c r="J7" s="877"/>
    </row>
    <row r="8" spans="2:14" s="873" customFormat="1" ht="30" customHeight="1">
      <c r="B8" s="890" t="s">
        <v>675</v>
      </c>
      <c r="C8" s="891"/>
      <c r="D8" s="884">
        <v>2.66</v>
      </c>
      <c r="E8" s="892">
        <f>D8*IAAS_vcpu_SEK*SEK</f>
        <v>212.8</v>
      </c>
      <c r="F8" s="893">
        <f>D8*IAAS_vcpu_SEK*EUR</f>
        <v>20.0032</v>
      </c>
      <c r="G8" s="892">
        <f t="shared" si="0"/>
        <v>2.66</v>
      </c>
      <c r="I8" s="879" t="s">
        <v>676</v>
      </c>
      <c r="J8" s="900" t="s">
        <v>35</v>
      </c>
      <c r="K8" s="881" t="s">
        <v>77</v>
      </c>
    </row>
    <row r="9" spans="2:14" s="873" customFormat="1" ht="30" customHeight="1">
      <c r="B9" s="883" t="s">
        <v>677</v>
      </c>
      <c r="C9" s="32"/>
      <c r="D9" s="884">
        <v>2020</v>
      </c>
      <c r="E9" s="901">
        <f>D9*SEK</f>
        <v>2020</v>
      </c>
      <c r="F9" s="902">
        <f>D9*EUR</f>
        <v>189.88</v>
      </c>
      <c r="G9" s="885">
        <f t="shared" si="0"/>
        <v>2020</v>
      </c>
      <c r="I9" s="903" t="s">
        <v>678</v>
      </c>
      <c r="J9" s="904"/>
      <c r="K9" s="905">
        <f>J9*IAAS_vcpu_SEK</f>
        <v>0</v>
      </c>
    </row>
    <row r="10" spans="2:14" s="873" customFormat="1" ht="30" customHeight="1">
      <c r="B10" s="890" t="s">
        <v>708</v>
      </c>
      <c r="C10" s="891"/>
      <c r="D10" s="884">
        <v>10904</v>
      </c>
      <c r="E10" s="906">
        <f>D10*SEK</f>
        <v>10904</v>
      </c>
      <c r="F10" s="907">
        <f>D10*EUR</f>
        <v>1024.9760000000001</v>
      </c>
      <c r="G10" s="892">
        <f t="shared" ref="G10:G11" si="1">(D10*(1+Safespring.price.increase))*(1+sunet.price.increase)</f>
        <v>10904</v>
      </c>
      <c r="I10" s="908" t="s">
        <v>679</v>
      </c>
      <c r="J10" s="904"/>
      <c r="K10" s="909">
        <f>J10*IAAS_ram_SEK</f>
        <v>0</v>
      </c>
    </row>
    <row r="11" spans="2:14" s="910" customFormat="1" ht="30" customHeight="1">
      <c r="B11" s="883"/>
      <c r="C11" s="32"/>
      <c r="D11" s="884"/>
      <c r="E11" s="901">
        <f>D11*SEK</f>
        <v>0</v>
      </c>
      <c r="F11" s="902">
        <f>D11*EUR</f>
        <v>0</v>
      </c>
      <c r="G11" s="885">
        <f t="shared" si="1"/>
        <v>0</v>
      </c>
      <c r="I11" s="911" t="s">
        <v>591</v>
      </c>
      <c r="J11" s="912"/>
      <c r="K11" s="913">
        <f>SUM(K9:K10)</f>
        <v>0</v>
      </c>
    </row>
    <row r="12" spans="2:14" s="873" customFormat="1" ht="30" customHeight="1">
      <c r="B12" s="914"/>
      <c r="C12" s="915"/>
      <c r="D12" s="916"/>
      <c r="E12" s="916"/>
      <c r="F12" s="916"/>
      <c r="G12" s="917"/>
      <c r="L12" s="877"/>
      <c r="N12" s="870"/>
    </row>
    <row r="13" spans="2:14" ht="30" customHeight="1">
      <c r="B13" s="879" t="s">
        <v>680</v>
      </c>
      <c r="C13" s="880"/>
      <c r="D13" s="881" t="s">
        <v>663</v>
      </c>
      <c r="E13" s="881" t="s">
        <v>558</v>
      </c>
      <c r="F13" s="881" t="s">
        <v>665</v>
      </c>
      <c r="G13" s="882" t="s">
        <v>681</v>
      </c>
      <c r="I13" s="873"/>
      <c r="J13" s="873"/>
      <c r="K13" s="873"/>
      <c r="L13" s="918"/>
    </row>
    <row r="14" spans="2:14" ht="30" customHeight="1">
      <c r="B14" s="883" t="s">
        <v>404</v>
      </c>
      <c r="C14" s="32"/>
      <c r="D14" s="919">
        <f>INSTANCE_p1.4xlarge.16d_SEK/2</f>
        <v>6840</v>
      </c>
      <c r="E14" s="885">
        <f>D14*SEK</f>
        <v>6840</v>
      </c>
      <c r="F14" s="886">
        <f>D14*EUR</f>
        <v>642.96</v>
      </c>
      <c r="G14" s="920"/>
      <c r="I14" s="873"/>
      <c r="J14" s="873"/>
      <c r="K14" s="873"/>
    </row>
    <row r="15" spans="2:14" s="921" customFormat="1" ht="30" customHeight="1">
      <c r="B15" s="890" t="s">
        <v>406</v>
      </c>
      <c r="C15" s="891"/>
      <c r="D15" s="922">
        <v>13680</v>
      </c>
      <c r="E15" s="892">
        <f>D15*SEK</f>
        <v>13680</v>
      </c>
      <c r="F15" s="893">
        <f>D15*EUR</f>
        <v>1285.92</v>
      </c>
      <c r="G15" s="894"/>
      <c r="I15" s="873"/>
      <c r="J15" s="873"/>
      <c r="K15" s="873"/>
    </row>
    <row r="16" spans="2:14" ht="30" customHeight="1">
      <c r="B16" s="883" t="s">
        <v>407</v>
      </c>
      <c r="C16" s="32"/>
      <c r="D16" s="919">
        <f>INSTANCE_p1.4xlarge.16d_SEK*2</f>
        <v>27360</v>
      </c>
      <c r="E16" s="885">
        <f>D16*SEK</f>
        <v>27360</v>
      </c>
      <c r="F16" s="886">
        <f>D16*EUR</f>
        <v>2571.84</v>
      </c>
      <c r="G16" s="920"/>
      <c r="I16" s="873"/>
      <c r="J16" s="873"/>
      <c r="K16" s="873"/>
    </row>
    <row r="17" spans="2:7" s="921" customFormat="1" ht="30" customHeight="1">
      <c r="B17" s="898"/>
      <c r="C17" s="898"/>
      <c r="D17" s="923"/>
      <c r="E17" s="898"/>
      <c r="F17" s="898"/>
      <c r="G17" s="924"/>
    </row>
    <row r="18" spans="2:7" ht="30" customHeight="1">
      <c r="B18" s="879" t="s">
        <v>181</v>
      </c>
      <c r="C18" s="880"/>
      <c r="D18" s="881" t="s">
        <v>663</v>
      </c>
      <c r="E18" s="881" t="s">
        <v>558</v>
      </c>
      <c r="F18" s="881" t="s">
        <v>665</v>
      </c>
      <c r="G18" s="882" t="s">
        <v>681</v>
      </c>
    </row>
    <row r="19" spans="2:7" s="921" customFormat="1" ht="30" customHeight="1">
      <c r="B19" s="883" t="s">
        <v>410</v>
      </c>
      <c r="C19" s="32"/>
      <c r="D19" s="884">
        <v>1.2</v>
      </c>
      <c r="E19" s="885">
        <f>D19*SEK</f>
        <v>1.2</v>
      </c>
      <c r="F19" s="886">
        <f>D19*EUR</f>
        <v>0.1128</v>
      </c>
      <c r="G19" s="920">
        <f>(D19*(1+Safespring.price.increase))*(1+sunet.price.increase)</f>
        <v>1.2</v>
      </c>
    </row>
    <row r="20" spans="2:7" ht="30" customHeight="1">
      <c r="B20" s="890" t="s">
        <v>411</v>
      </c>
      <c r="C20" s="891"/>
      <c r="D20" s="884">
        <v>3.6</v>
      </c>
      <c r="E20" s="892">
        <f>D20*SEK</f>
        <v>3.6</v>
      </c>
      <c r="F20" s="893">
        <f>D20*EUR</f>
        <v>0.33840000000000003</v>
      </c>
      <c r="G20" s="894">
        <f>(D20*(1+Safespring.price.increase))*(1+sunet.price.increase)</f>
        <v>3.6</v>
      </c>
    </row>
    <row r="21" spans="2:7" s="921" customFormat="1" ht="30" customHeight="1">
      <c r="B21" s="925"/>
      <c r="C21" s="925"/>
      <c r="D21" s="926"/>
      <c r="E21" s="925"/>
      <c r="F21" s="925"/>
      <c r="G21" s="927"/>
    </row>
    <row r="22" spans="2:7" ht="30" customHeight="1">
      <c r="B22" s="879" t="s">
        <v>183</v>
      </c>
      <c r="C22" s="880"/>
      <c r="D22" s="881" t="s">
        <v>663</v>
      </c>
      <c r="E22" s="881" t="s">
        <v>558</v>
      </c>
      <c r="F22" s="881" t="s">
        <v>665</v>
      </c>
      <c r="G22" s="882" t="s">
        <v>681</v>
      </c>
    </row>
    <row r="23" spans="2:7" ht="30" customHeight="1">
      <c r="B23" s="883" t="s">
        <v>682</v>
      </c>
      <c r="C23" s="32"/>
      <c r="D23" s="884">
        <v>2.4500000000000002</v>
      </c>
      <c r="E23" s="885">
        <f>D23*SEK</f>
        <v>2.4500000000000002</v>
      </c>
      <c r="F23" s="886">
        <f>D23*EUR</f>
        <v>0.2303</v>
      </c>
      <c r="G23" s="920"/>
    </row>
    <row r="24" spans="2:7" ht="30" customHeight="1">
      <c r="B24" s="890" t="s">
        <v>683</v>
      </c>
      <c r="C24" s="891"/>
      <c r="D24" s="928">
        <v>5500</v>
      </c>
      <c r="E24" s="892">
        <f>D24*SEK</f>
        <v>5500</v>
      </c>
      <c r="F24" s="893">
        <f>D24*EUR</f>
        <v>517</v>
      </c>
      <c r="G24" s="894"/>
    </row>
    <row r="25" spans="2:7" ht="30" customHeight="1">
      <c r="B25" s="883" t="s">
        <v>684</v>
      </c>
      <c r="C25" s="32"/>
      <c r="D25" s="884">
        <v>9500</v>
      </c>
      <c r="E25" s="885">
        <f>D25*SEK</f>
        <v>9500</v>
      </c>
      <c r="F25" s="886">
        <f>D25*EUR</f>
        <v>893</v>
      </c>
      <c r="G25" s="920"/>
    </row>
    <row r="26" spans="2:7" ht="30" customHeight="1">
      <c r="B26" s="890" t="s">
        <v>685</v>
      </c>
      <c r="C26" s="891"/>
      <c r="D26" s="928">
        <v>1.75</v>
      </c>
      <c r="E26" s="892">
        <f>D26*SEK</f>
        <v>1.75</v>
      </c>
      <c r="F26" s="893">
        <f>D26*EUR</f>
        <v>0.16450000000000001</v>
      </c>
      <c r="G26" s="894"/>
    </row>
    <row r="27" spans="2:7" ht="30" customHeight="1">
      <c r="B27" s="883" t="s">
        <v>686</v>
      </c>
      <c r="C27" s="32"/>
      <c r="D27" s="884">
        <v>0.92</v>
      </c>
      <c r="E27" s="885">
        <f>D27*SEK</f>
        <v>0.92</v>
      </c>
      <c r="F27" s="886">
        <f>D27*EUR</f>
        <v>8.6480000000000001E-2</v>
      </c>
      <c r="G27" s="920"/>
    </row>
    <row r="28" spans="2:7" ht="30" customHeight="1">
      <c r="B28" s="929"/>
      <c r="C28" s="929"/>
      <c r="D28" s="929"/>
      <c r="E28" s="929"/>
      <c r="F28" s="929"/>
      <c r="G28" s="930"/>
    </row>
    <row r="29" spans="2:7" ht="30" customHeight="1">
      <c r="B29" s="879" t="s">
        <v>182</v>
      </c>
      <c r="C29" s="880"/>
      <c r="D29" s="881" t="s">
        <v>663</v>
      </c>
      <c r="E29" s="881" t="s">
        <v>558</v>
      </c>
      <c r="F29" s="881" t="s">
        <v>665</v>
      </c>
      <c r="G29" s="882" t="s">
        <v>681</v>
      </c>
    </row>
    <row r="30" spans="2:7" ht="30" customHeight="1">
      <c r="B30" s="883" t="s">
        <v>687</v>
      </c>
      <c r="C30" s="32"/>
      <c r="D30" s="931">
        <v>500</v>
      </c>
      <c r="E30" s="885">
        <f>D30*SEK</f>
        <v>500</v>
      </c>
      <c r="F30" s="886">
        <f>D30*EUR</f>
        <v>47</v>
      </c>
      <c r="G30" s="920">
        <v>0.35</v>
      </c>
    </row>
    <row r="31" spans="2:7" ht="30" customHeight="1">
      <c r="B31" s="932" t="s">
        <v>688</v>
      </c>
      <c r="C31" s="891"/>
      <c r="D31" s="931">
        <v>500</v>
      </c>
      <c r="E31" s="892">
        <f>D31*SEK</f>
        <v>500</v>
      </c>
      <c r="F31" s="893">
        <f>D31*EUR</f>
        <v>47</v>
      </c>
      <c r="G31" s="894">
        <v>0.19</v>
      </c>
    </row>
    <row r="32" spans="2:7" ht="30" customHeight="1">
      <c r="B32" s="883" t="s">
        <v>689</v>
      </c>
      <c r="C32" s="32"/>
      <c r="D32" s="931">
        <v>500</v>
      </c>
      <c r="E32" s="885">
        <f>D32*SEK</f>
        <v>500</v>
      </c>
      <c r="F32" s="886">
        <f>D32*EUR</f>
        <v>47</v>
      </c>
      <c r="G32" s="920">
        <v>0.1</v>
      </c>
    </row>
    <row r="33" spans="2:7" ht="30" customHeight="1">
      <c r="B33" s="932" t="s">
        <v>690</v>
      </c>
      <c r="C33" s="891"/>
      <c r="D33" s="931">
        <v>500</v>
      </c>
      <c r="E33" s="892">
        <f>D33*SEK</f>
        <v>500</v>
      </c>
      <c r="F33" s="893">
        <f>D33*EUR</f>
        <v>47</v>
      </c>
      <c r="G33" s="894">
        <v>0.06</v>
      </c>
    </row>
    <row r="34" spans="2:7" ht="30" customHeight="1">
      <c r="B34" s="883" t="s">
        <v>691</v>
      </c>
      <c r="C34" s="32"/>
      <c r="D34" s="931" t="s">
        <v>692</v>
      </c>
      <c r="E34" s="933" t="str">
        <f>D34</f>
        <v>Be om offert</v>
      </c>
      <c r="F34" s="934" t="s">
        <v>146</v>
      </c>
      <c r="G34" s="920" t="str">
        <f>S3_storage.quote_SEK</f>
        <v>Be om offert</v>
      </c>
    </row>
    <row r="35" spans="2:7" ht="30" customHeight="1">
      <c r="B35" s="932" t="s">
        <v>693</v>
      </c>
      <c r="C35" s="891"/>
      <c r="D35" s="931">
        <v>350</v>
      </c>
      <c r="E35" s="892">
        <f>D35*SEK</f>
        <v>350</v>
      </c>
      <c r="F35" s="893">
        <f>D35*EUR</f>
        <v>32.9</v>
      </c>
      <c r="G35" s="894">
        <v>0.35</v>
      </c>
    </row>
    <row r="36" spans="2:7" ht="30" customHeight="1">
      <c r="B36" s="883" t="s">
        <v>694</v>
      </c>
      <c r="C36" s="32"/>
      <c r="D36" s="931">
        <v>270</v>
      </c>
      <c r="E36" s="885">
        <f>D36*SEK</f>
        <v>270</v>
      </c>
      <c r="F36" s="886">
        <f>D36*EUR</f>
        <v>25.38</v>
      </c>
      <c r="G36" s="920">
        <v>0.19</v>
      </c>
    </row>
    <row r="37" spans="2:7" ht="30" customHeight="1">
      <c r="B37" s="932" t="s">
        <v>695</v>
      </c>
      <c r="C37" s="891"/>
      <c r="D37" s="931">
        <v>200</v>
      </c>
      <c r="E37" s="892">
        <f>D37*SEK</f>
        <v>200</v>
      </c>
      <c r="F37" s="893">
        <f>D37*EUR</f>
        <v>18.8</v>
      </c>
      <c r="G37" s="894">
        <v>0.1</v>
      </c>
    </row>
    <row r="38" spans="2:7" ht="30" customHeight="1">
      <c r="B38" s="883" t="s">
        <v>696</v>
      </c>
      <c r="C38" s="32"/>
      <c r="D38" s="931">
        <v>185</v>
      </c>
      <c r="E38" s="885">
        <f>D38*SEK</f>
        <v>185</v>
      </c>
      <c r="F38" s="886">
        <f>D38*EUR</f>
        <v>17.39</v>
      </c>
      <c r="G38" s="920">
        <v>0.06</v>
      </c>
    </row>
    <row r="39" spans="2:7" ht="30" customHeight="1">
      <c r="B39" s="932" t="s">
        <v>697</v>
      </c>
      <c r="C39" s="891"/>
      <c r="D39" s="931" t="s">
        <v>692</v>
      </c>
      <c r="E39" s="935" t="str">
        <f>D39</f>
        <v>Be om offert</v>
      </c>
      <c r="F39" s="936" t="s">
        <v>146</v>
      </c>
      <c r="G39" s="894" t="str">
        <f>S3_storage.quote_SEK</f>
        <v>Be om offert</v>
      </c>
    </row>
    <row r="40" spans="2:7" ht="30" customHeight="1">
      <c r="B40" s="929"/>
      <c r="C40" s="929"/>
      <c r="D40" s="929"/>
      <c r="E40" s="929"/>
      <c r="F40" s="929"/>
      <c r="G40" s="930"/>
    </row>
    <row r="41" spans="2:7" ht="30" customHeight="1">
      <c r="B41" s="879" t="s">
        <v>244</v>
      </c>
      <c r="C41" s="880"/>
      <c r="D41" s="881" t="s">
        <v>663</v>
      </c>
      <c r="E41" s="881" t="s">
        <v>558</v>
      </c>
      <c r="F41" s="881" t="s">
        <v>665</v>
      </c>
      <c r="G41" s="882" t="s">
        <v>681</v>
      </c>
    </row>
    <row r="42" spans="2:7" ht="30" customHeight="1">
      <c r="B42" s="883" t="s">
        <v>431</v>
      </c>
      <c r="C42" s="32"/>
      <c r="D42" s="884">
        <v>25</v>
      </c>
      <c r="E42" s="885">
        <f>D42*SEK</f>
        <v>25</v>
      </c>
      <c r="F42" s="886">
        <f t="shared" ref="F42:F47" si="2">D42*EUR</f>
        <v>2.35</v>
      </c>
      <c r="G42" s="920" t="s">
        <v>20</v>
      </c>
    </row>
    <row r="43" spans="2:7" ht="30" customHeight="1">
      <c r="B43" s="890" t="s">
        <v>432</v>
      </c>
      <c r="C43" s="891"/>
      <c r="D43" s="884">
        <v>0</v>
      </c>
      <c r="E43" s="892">
        <f>D43*SEK</f>
        <v>0</v>
      </c>
      <c r="F43" s="893">
        <f t="shared" si="2"/>
        <v>0</v>
      </c>
      <c r="G43" s="894" t="s">
        <v>20</v>
      </c>
    </row>
    <row r="44" spans="2:7" ht="30" customHeight="1">
      <c r="B44" s="883" t="s">
        <v>433</v>
      </c>
      <c r="C44" s="32"/>
      <c r="D44" s="884">
        <v>0</v>
      </c>
      <c r="E44" s="885">
        <f>D44*SEK</f>
        <v>0</v>
      </c>
      <c r="F44" s="886">
        <f t="shared" si="2"/>
        <v>0</v>
      </c>
      <c r="G44" s="920" t="s">
        <v>20</v>
      </c>
    </row>
    <row r="45" spans="2:7" ht="30" customHeight="1">
      <c r="B45" s="890" t="s">
        <v>434</v>
      </c>
      <c r="C45" s="891"/>
      <c r="D45" s="884">
        <v>0</v>
      </c>
      <c r="E45" s="892">
        <f>D45*SEK</f>
        <v>0</v>
      </c>
      <c r="F45" s="893">
        <f t="shared" si="2"/>
        <v>0</v>
      </c>
      <c r="G45" s="894" t="s">
        <v>20</v>
      </c>
    </row>
    <row r="46" spans="2:7" ht="30" customHeight="1">
      <c r="B46" s="883" t="s">
        <v>436</v>
      </c>
      <c r="C46" s="32"/>
      <c r="D46" s="884">
        <v>275</v>
      </c>
      <c r="E46" s="933">
        <f>D46</f>
        <v>275</v>
      </c>
      <c r="F46" s="934">
        <f t="shared" si="2"/>
        <v>25.85</v>
      </c>
      <c r="G46" s="920" t="s">
        <v>20</v>
      </c>
    </row>
    <row r="47" spans="2:7" ht="30" customHeight="1">
      <c r="B47" s="890" t="s">
        <v>438</v>
      </c>
      <c r="C47" s="891"/>
      <c r="D47" s="884">
        <v>0</v>
      </c>
      <c r="E47" s="892">
        <f>D47*SEK</f>
        <v>0</v>
      </c>
      <c r="F47" s="893">
        <f t="shared" si="2"/>
        <v>0</v>
      </c>
      <c r="G47" s="894" t="s">
        <v>20</v>
      </c>
    </row>
    <row r="48" spans="2:7" ht="30" customHeight="1">
      <c r="B48" s="883" t="s">
        <v>698</v>
      </c>
      <c r="C48" s="32"/>
      <c r="D48" s="884" t="s">
        <v>258</v>
      </c>
      <c r="E48" s="933" t="str">
        <f>D48</f>
        <v>Begär offert</v>
      </c>
      <c r="F48" s="937" t="s">
        <v>146</v>
      </c>
      <c r="G48" s="933" t="str">
        <f>S3_storage.quote_SEK</f>
        <v>Be om offert</v>
      </c>
    </row>
    <row r="49" spans="2:7" ht="30" customHeight="1">
      <c r="B49" s="890" t="s">
        <v>439</v>
      </c>
      <c r="C49" s="891"/>
      <c r="D49" s="928">
        <v>0</v>
      </c>
      <c r="E49" s="892">
        <f>D49*SEK</f>
        <v>0</v>
      </c>
      <c r="F49" s="893">
        <f>D49*EUR</f>
        <v>0</v>
      </c>
      <c r="G49" s="894" t="s">
        <v>20</v>
      </c>
    </row>
    <row r="50" spans="2:7" ht="30" customHeight="1">
      <c r="B50" s="925"/>
      <c r="C50" s="925"/>
      <c r="D50" s="926"/>
      <c r="E50" s="925"/>
      <c r="F50" s="925"/>
      <c r="G50" s="927"/>
    </row>
    <row r="51" spans="2:7" ht="30" customHeight="1">
      <c r="B51" s="879" t="s">
        <v>699</v>
      </c>
      <c r="C51" s="880"/>
      <c r="D51" s="881" t="s">
        <v>663</v>
      </c>
      <c r="E51" s="881" t="s">
        <v>558</v>
      </c>
      <c r="F51" s="881" t="s">
        <v>665</v>
      </c>
      <c r="G51" s="882" t="s">
        <v>681</v>
      </c>
    </row>
    <row r="52" spans="2:7" ht="30" customHeight="1">
      <c r="B52" s="883" t="s">
        <v>700</v>
      </c>
      <c r="C52" s="32"/>
      <c r="D52" s="884">
        <v>175</v>
      </c>
      <c r="E52" s="885">
        <f>D52*SEK</f>
        <v>175</v>
      </c>
      <c r="F52" s="886">
        <f>D52*EUR</f>
        <v>16.45</v>
      </c>
      <c r="G52" s="920" t="s">
        <v>20</v>
      </c>
    </row>
    <row r="53" spans="2:7" ht="30" customHeight="1">
      <c r="B53" s="890" t="s">
        <v>444</v>
      </c>
      <c r="C53" s="891"/>
      <c r="D53" s="884">
        <v>1229</v>
      </c>
      <c r="E53" s="892">
        <f>D53*SEK</f>
        <v>1229</v>
      </c>
      <c r="F53" s="893">
        <f>D53*EUR</f>
        <v>115.526</v>
      </c>
      <c r="G53" s="894" t="s">
        <v>20</v>
      </c>
    </row>
    <row r="54" spans="2:7" ht="30" customHeight="1">
      <c r="B54" s="883" t="s">
        <v>701</v>
      </c>
      <c r="C54" s="32"/>
      <c r="D54" s="884">
        <v>3875</v>
      </c>
      <c r="E54" s="885">
        <f>D54*SEK</f>
        <v>3875</v>
      </c>
      <c r="F54" s="886">
        <f>D54*EUR</f>
        <v>364.25</v>
      </c>
      <c r="G54" s="920" t="s">
        <v>20</v>
      </c>
    </row>
    <row r="55" spans="2:7" ht="30" customHeight="1">
      <c r="B55" s="890" t="s">
        <v>446</v>
      </c>
      <c r="C55" s="891"/>
      <c r="D55" s="884"/>
      <c r="E55" s="892" t="s">
        <v>258</v>
      </c>
      <c r="F55" s="893" t="s">
        <v>146</v>
      </c>
      <c r="G55" s="894" t="s">
        <v>20</v>
      </c>
    </row>
    <row r="56" spans="2:7" ht="30" customHeight="1">
      <c r="B56" s="883" t="s">
        <v>448</v>
      </c>
      <c r="C56" s="32"/>
      <c r="D56" s="884"/>
      <c r="E56" s="885" t="s">
        <v>258</v>
      </c>
      <c r="F56" s="886" t="s">
        <v>146</v>
      </c>
      <c r="G56" s="920" t="s">
        <v>20</v>
      </c>
    </row>
    <row r="57" spans="2:7" ht="30" customHeight="1">
      <c r="B57" s="890" t="s">
        <v>702</v>
      </c>
      <c r="C57" s="891"/>
      <c r="D57" s="884"/>
      <c r="E57" s="892" t="s">
        <v>258</v>
      </c>
      <c r="F57" s="893" t="s">
        <v>146</v>
      </c>
      <c r="G57" s="894" t="s">
        <v>20</v>
      </c>
    </row>
    <row r="58" spans="2:7" ht="30" customHeight="1">
      <c r="B58" s="883" t="s">
        <v>452</v>
      </c>
      <c r="C58" s="32"/>
      <c r="D58" s="884"/>
      <c r="E58" s="885" t="s">
        <v>703</v>
      </c>
      <c r="F58" s="886" t="s">
        <v>704</v>
      </c>
      <c r="G58" s="920" t="s">
        <v>20</v>
      </c>
    </row>
    <row r="59" spans="2:7" ht="30" customHeight="1">
      <c r="B59" s="890" t="s">
        <v>454</v>
      </c>
      <c r="C59" s="891"/>
      <c r="D59" s="884">
        <v>400</v>
      </c>
      <c r="E59" s="892">
        <f>D59*SEK</f>
        <v>400</v>
      </c>
      <c r="F59" s="893">
        <f>D59*EUR</f>
        <v>37.6</v>
      </c>
      <c r="G59" s="894" t="s">
        <v>20</v>
      </c>
    </row>
    <row r="60" spans="2:7" ht="30" customHeight="1">
      <c r="B60" s="925"/>
      <c r="C60" s="925"/>
      <c r="D60" s="926"/>
      <c r="E60" s="925"/>
      <c r="F60" s="925"/>
      <c r="G60" s="927"/>
    </row>
    <row r="61" spans="2:7" ht="30" customHeight="1">
      <c r="B61" s="879" t="s">
        <v>539</v>
      </c>
      <c r="C61" s="880"/>
      <c r="D61" s="881" t="s">
        <v>663</v>
      </c>
      <c r="E61" s="881" t="s">
        <v>558</v>
      </c>
      <c r="F61" s="881" t="s">
        <v>665</v>
      </c>
      <c r="G61" s="882" t="s">
        <v>681</v>
      </c>
    </row>
    <row r="62" spans="2:7" ht="30" customHeight="1">
      <c r="B62" s="883" t="s">
        <v>457</v>
      </c>
      <c r="C62" s="32"/>
      <c r="D62" s="884" t="s">
        <v>705</v>
      </c>
      <c r="E62" s="933" t="s">
        <v>258</v>
      </c>
      <c r="F62" s="937" t="s">
        <v>146</v>
      </c>
      <c r="G62" s="920" t="s">
        <v>20</v>
      </c>
    </row>
    <row r="63" spans="2:7" ht="30" customHeight="1">
      <c r="B63" s="890" t="s">
        <v>459</v>
      </c>
      <c r="C63" s="891"/>
      <c r="D63" s="884" t="s">
        <v>705</v>
      </c>
      <c r="E63" s="935" t="s">
        <v>258</v>
      </c>
      <c r="F63" s="936" t="s">
        <v>146</v>
      </c>
      <c r="G63" s="894" t="s">
        <v>20</v>
      </c>
    </row>
    <row r="64" spans="2:7" ht="30" customHeight="1">
      <c r="B64" s="883" t="s">
        <v>461</v>
      </c>
      <c r="C64" s="32"/>
      <c r="D64" s="884"/>
      <c r="E64" s="933" t="s">
        <v>258</v>
      </c>
      <c r="F64" s="937" t="s">
        <v>146</v>
      </c>
      <c r="G64" s="920" t="s">
        <v>20</v>
      </c>
    </row>
    <row r="65" spans="2:7" ht="30" customHeight="1">
      <c r="B65" s="890" t="s">
        <v>463</v>
      </c>
      <c r="C65" s="891"/>
      <c r="D65" s="884"/>
      <c r="E65" s="935" t="s">
        <v>258</v>
      </c>
      <c r="F65" s="938" t="s">
        <v>146</v>
      </c>
      <c r="G65" s="894" t="s">
        <v>20</v>
      </c>
    </row>
    <row r="66" spans="2:7" ht="30" customHeight="1">
      <c r="B66" s="883" t="s">
        <v>465</v>
      </c>
      <c r="C66" s="32"/>
      <c r="D66" s="884"/>
      <c r="E66" s="933" t="s">
        <v>258</v>
      </c>
      <c r="F66" s="937" t="s">
        <v>146</v>
      </c>
      <c r="G66" s="920" t="s">
        <v>20</v>
      </c>
    </row>
    <row r="67" spans="2:7" ht="30" customHeight="1">
      <c r="B67" s="890" t="s">
        <v>468</v>
      </c>
      <c r="C67" s="891"/>
      <c r="D67" s="884"/>
      <c r="E67" s="935" t="s">
        <v>258</v>
      </c>
      <c r="F67" s="938" t="s">
        <v>146</v>
      </c>
      <c r="G67" s="894" t="s">
        <v>20</v>
      </c>
    </row>
    <row r="68" spans="2:7" ht="30" customHeight="1">
      <c r="B68" s="883" t="s">
        <v>706</v>
      </c>
      <c r="C68" s="32"/>
      <c r="D68" s="884">
        <v>0</v>
      </c>
      <c r="E68" s="933" t="s">
        <v>258</v>
      </c>
      <c r="F68" s="937" t="s">
        <v>146</v>
      </c>
      <c r="G68" s="920" t="s">
        <v>20</v>
      </c>
    </row>
    <row r="69" spans="2:7" ht="30" customHeight="1">
      <c r="B69" s="925"/>
      <c r="C69" s="925"/>
      <c r="D69" s="926"/>
      <c r="E69" s="925"/>
      <c r="F69" s="925"/>
      <c r="G69" s="927"/>
    </row>
    <row r="70" spans="2:7" ht="30" customHeight="1">
      <c r="B70" s="879" t="s">
        <v>265</v>
      </c>
      <c r="C70" s="880"/>
      <c r="D70" s="881" t="s">
        <v>663</v>
      </c>
      <c r="E70" s="881" t="s">
        <v>558</v>
      </c>
      <c r="F70" s="881" t="s">
        <v>665</v>
      </c>
      <c r="G70" s="882" t="s">
        <v>681</v>
      </c>
    </row>
    <row r="71" spans="2:7" ht="30" customHeight="1">
      <c r="B71" s="883" t="s">
        <v>481</v>
      </c>
      <c r="C71" s="32"/>
      <c r="D71" s="884">
        <v>1127</v>
      </c>
      <c r="E71" s="939">
        <f t="shared" ref="E71:E76" si="3">D71*SEK</f>
        <v>1127</v>
      </c>
      <c r="F71" s="940">
        <f t="shared" ref="F71:F76" si="4">D71*EUR</f>
        <v>105.938</v>
      </c>
      <c r="G71" s="920" t="s">
        <v>20</v>
      </c>
    </row>
    <row r="72" spans="2:7" ht="30" customHeight="1">
      <c r="B72" s="890" t="s">
        <v>482</v>
      </c>
      <c r="C72" s="891"/>
      <c r="D72" s="884">
        <v>1374</v>
      </c>
      <c r="E72" s="892">
        <f t="shared" si="3"/>
        <v>1374</v>
      </c>
      <c r="F72" s="941">
        <f t="shared" si="4"/>
        <v>129.15600000000001</v>
      </c>
      <c r="G72" s="894" t="s">
        <v>20</v>
      </c>
    </row>
    <row r="73" spans="2:7" ht="30" customHeight="1">
      <c r="B73" s="883" t="s">
        <v>483</v>
      </c>
      <c r="C73" s="32"/>
      <c r="D73" s="884">
        <v>1277</v>
      </c>
      <c r="E73" s="885">
        <f t="shared" si="3"/>
        <v>1277</v>
      </c>
      <c r="F73" s="942">
        <f t="shared" si="4"/>
        <v>120.038</v>
      </c>
      <c r="G73" s="920" t="s">
        <v>20</v>
      </c>
    </row>
    <row r="74" spans="2:7" ht="30" customHeight="1">
      <c r="B74" s="890" t="s">
        <v>484</v>
      </c>
      <c r="C74" s="891"/>
      <c r="D74" s="884">
        <v>1374</v>
      </c>
      <c r="E74" s="892">
        <f t="shared" si="3"/>
        <v>1374</v>
      </c>
      <c r="F74" s="941">
        <f t="shared" si="4"/>
        <v>129.15600000000001</v>
      </c>
      <c r="G74" s="894" t="s">
        <v>20</v>
      </c>
    </row>
    <row r="75" spans="2:7" ht="30" customHeight="1">
      <c r="B75" s="883" t="s">
        <v>485</v>
      </c>
      <c r="C75" s="32"/>
      <c r="D75" s="884">
        <v>1139</v>
      </c>
      <c r="E75" s="885">
        <f t="shared" si="3"/>
        <v>1139</v>
      </c>
      <c r="F75" s="942">
        <f t="shared" si="4"/>
        <v>107.066</v>
      </c>
      <c r="G75" s="920" t="s">
        <v>20</v>
      </c>
    </row>
    <row r="76" spans="2:7" ht="30" customHeight="1">
      <c r="B76" s="890" t="s">
        <v>486</v>
      </c>
      <c r="C76" s="891"/>
      <c r="D76" s="884">
        <v>1374</v>
      </c>
      <c r="E76" s="892">
        <f t="shared" si="3"/>
        <v>1374</v>
      </c>
      <c r="F76" s="941">
        <f t="shared" si="4"/>
        <v>129.15600000000001</v>
      </c>
      <c r="G76" s="894" t="s">
        <v>20</v>
      </c>
    </row>
  </sheetData>
  <conditionalFormatting sqref="D3:D11">
    <cfRule type="cellIs" dxfId="9" priority="4" operator="greaterThan">
      <formula>0</formula>
    </cfRule>
  </conditionalFormatting>
  <conditionalFormatting sqref="D15">
    <cfRule type="cellIs" dxfId="8" priority="7" operator="greaterThan">
      <formula>0</formula>
    </cfRule>
  </conditionalFormatting>
  <conditionalFormatting sqref="D19:D20">
    <cfRule type="cellIs" dxfId="7" priority="9" operator="greaterThan">
      <formula>0</formula>
    </cfRule>
  </conditionalFormatting>
  <conditionalFormatting sqref="D23:D27">
    <cfRule type="cellIs" dxfId="6" priority="6" operator="greaterThan">
      <formula>0</formula>
    </cfRule>
  </conditionalFormatting>
  <conditionalFormatting sqref="D30:D39">
    <cfRule type="cellIs" dxfId="5" priority="3" operator="greaterThan">
      <formula>0</formula>
    </cfRule>
  </conditionalFormatting>
  <conditionalFormatting sqref="D42:D49">
    <cfRule type="cellIs" dxfId="4" priority="10" operator="greaterThan">
      <formula>0</formula>
    </cfRule>
  </conditionalFormatting>
  <conditionalFormatting sqref="D52:D59">
    <cfRule type="cellIs" dxfId="3" priority="8" operator="greaterThan">
      <formula>0</formula>
    </cfRule>
  </conditionalFormatting>
  <conditionalFormatting sqref="D62:D68">
    <cfRule type="cellIs" dxfId="2" priority="2" operator="greaterThan">
      <formula>0</formula>
    </cfRule>
  </conditionalFormatting>
  <conditionalFormatting sqref="D71:D76">
    <cfRule type="cellIs" dxfId="1" priority="5" operator="greaterThan">
      <formula>0</formula>
    </cfRule>
  </conditionalFormatting>
  <conditionalFormatting sqref="J9:J10">
    <cfRule type="cellIs" dxfId="0" priority="11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4" baseType="variant">
      <vt:variant>
        <vt:lpstr>Kalkylblad</vt:lpstr>
      </vt:variant>
      <vt:variant>
        <vt:i4>8</vt:i4>
      </vt:variant>
      <vt:variant>
        <vt:lpstr>Namngivna områden</vt:lpstr>
      </vt:variant>
      <vt:variant>
        <vt:i4>162</vt:i4>
      </vt:variant>
    </vt:vector>
  </HeadingPairs>
  <TitlesOfParts>
    <vt:vector size="170" baseType="lpstr">
      <vt:lpstr>EUR - Safespring services 2025</vt:lpstr>
      <vt:lpstr>SEK - Safesprings tjänster 2025</vt:lpstr>
      <vt:lpstr>NOK - Safespring tjenester 2025</vt:lpstr>
      <vt:lpstr>EUR - Safespring services 2021</vt:lpstr>
      <vt:lpstr>NOK - Safesprings tjeneste 2021</vt:lpstr>
      <vt:lpstr>SUNET SEK - priser 2020</vt:lpstr>
      <vt:lpstr>DKK - Safespring-tjenester 2025</vt:lpstr>
      <vt:lpstr>Data</vt:lpstr>
      <vt:lpstr>BAAS_large_EUR</vt:lpstr>
      <vt:lpstr>BAAS_large_SEK</vt:lpstr>
      <vt:lpstr>BAAS_large.fee_EUR</vt:lpstr>
      <vt:lpstr>BAAS_large.fee_SEK</vt:lpstr>
      <vt:lpstr>BAAS_on.demand_EUR</vt:lpstr>
      <vt:lpstr>BAAS_on.demand_SEK</vt:lpstr>
      <vt:lpstr>BAAS_small_EUR</vt:lpstr>
      <vt:lpstr>BAAS_small_SEK</vt:lpstr>
      <vt:lpstr>BAAS_small.fee_EUR</vt:lpstr>
      <vt:lpstr>BAAS_small.fee_SEK</vt:lpstr>
      <vt:lpstr>EUR</vt:lpstr>
      <vt:lpstr>IAAS_GPU_A2_EUR</vt:lpstr>
      <vt:lpstr>IAAS_GPU_A2_SEK</vt:lpstr>
      <vt:lpstr>IAAS_gpu_EUR</vt:lpstr>
      <vt:lpstr>IAAS_GPU_H100_EUR</vt:lpstr>
      <vt:lpstr>IAAS_GPU_H100_SEK</vt:lpstr>
      <vt:lpstr>IAAS_gpu_SEK</vt:lpstr>
      <vt:lpstr>IAAS_gpu_SUNET</vt:lpstr>
      <vt:lpstr>IAAS_nvme_EUR</vt:lpstr>
      <vt:lpstr>IAAS_nvme_SEK</vt:lpstr>
      <vt:lpstr>IAAS_nvme_SUNET</vt:lpstr>
      <vt:lpstr>IAAS_pcpu_EUR</vt:lpstr>
      <vt:lpstr>IAAS_pcpu_SEK</vt:lpstr>
      <vt:lpstr>IAAS_pcpu_SUNET</vt:lpstr>
      <vt:lpstr>IAAS_ram_EUR</vt:lpstr>
      <vt:lpstr>IAAS_ram_SEK</vt:lpstr>
      <vt:lpstr>IAAS_ram_SUNET</vt:lpstr>
      <vt:lpstr>IAAS_ram_sunet_b_m</vt:lpstr>
      <vt:lpstr>IAAS_ssd_EUR</vt:lpstr>
      <vt:lpstr>IAAS_ssd_SEK</vt:lpstr>
      <vt:lpstr>IAAS_ssd_SUNET</vt:lpstr>
      <vt:lpstr>IAAS_vcpu_EUR</vt:lpstr>
      <vt:lpstr>IAAS_vcpu_SEK</vt:lpstr>
      <vt:lpstr>IAAS_vcpu_SUNET</vt:lpstr>
      <vt:lpstr>IAAS_vcpu_sunet_b_m</vt:lpstr>
      <vt:lpstr>INSTANCE_p1.2xlarge.16d_EUR</vt:lpstr>
      <vt:lpstr>INSTANCE_p1.2xlarge.16d_SEK</vt:lpstr>
      <vt:lpstr>INSTANCE_p1.4xlarge.16d_EUR</vt:lpstr>
      <vt:lpstr>INSTANCE_p1.4xlarge.16d_SEK</vt:lpstr>
      <vt:lpstr>INSTANCE_p1.8xlarge.32d_EUR</vt:lpstr>
      <vt:lpstr>INSTANCE_p1.8xlarge.32d_SEK</vt:lpstr>
      <vt:lpstr>NET_byoip_EUR</vt:lpstr>
      <vt:lpstr>NET_byoip_SEK</vt:lpstr>
      <vt:lpstr>NET_egress_EUR</vt:lpstr>
      <vt:lpstr>NET_egress_SEK</vt:lpstr>
      <vt:lpstr>NET_ingress_EUR</vt:lpstr>
      <vt:lpstr>NET_ingress_SEK</vt:lpstr>
      <vt:lpstr>NET_mgn.slb_EUR</vt:lpstr>
      <vt:lpstr>NET_mgn.slb_SEK</vt:lpstr>
      <vt:lpstr>NET_publicv4_EUR</vt:lpstr>
      <vt:lpstr>NET_publicv4_SEK</vt:lpstr>
      <vt:lpstr>NET_publicv6_EUR</vt:lpstr>
      <vt:lpstr>NET_publicv6_SEK</vt:lpstr>
      <vt:lpstr>NET_rdns_EUR</vt:lpstr>
      <vt:lpstr>NET_rdns_SEK</vt:lpstr>
      <vt:lpstr>NET_saferoute_EUR</vt:lpstr>
      <vt:lpstr>NET_saferoute_SEK</vt:lpstr>
      <vt:lpstr>NOK</vt:lpstr>
      <vt:lpstr>PAAS_man.elasticsearch_EUR</vt:lpstr>
      <vt:lpstr>PAAS_man.elasticsearch_SEK</vt:lpstr>
      <vt:lpstr>PAAS_man.kubernetes_EUR</vt:lpstr>
      <vt:lpstr>PAAS_man.kubernetes_SEK</vt:lpstr>
      <vt:lpstr>PAAS_man.kubernetes24_EUR</vt:lpstr>
      <vt:lpstr>PAAS_man.kubernetes24_SEK</vt:lpstr>
      <vt:lpstr>PAAS_man.kubernetes8_EUR</vt:lpstr>
      <vt:lpstr>PAAS_man.kubernetes8_SEK</vt:lpstr>
      <vt:lpstr>PAAS_man.mariadb_EUR</vt:lpstr>
      <vt:lpstr>PAAS_man.mariadb_SEK</vt:lpstr>
      <vt:lpstr>PAAS_man.nats_EUR</vt:lpstr>
      <vt:lpstr>PAAS_man.nats_SEK</vt:lpstr>
      <vt:lpstr>PAAS_man.postgres.sql_EUR</vt:lpstr>
      <vt:lpstr>PAAS_man.postgres.sql_SEK</vt:lpstr>
      <vt:lpstr>PAAS_man.redis_EUR</vt:lpstr>
      <vt:lpstr>PAAS_man.redis_SEK</vt:lpstr>
      <vt:lpstr>PAAS_openshift_EUR</vt:lpstr>
      <vt:lpstr>PAAS_openshift_SEK</vt:lpstr>
      <vt:lpstr>PS_cloudarch.jun_EUR</vt:lpstr>
      <vt:lpstr>PS_cloudarch.jun_SEK</vt:lpstr>
      <vt:lpstr>PS_cloudarch.sen_EUR</vt:lpstr>
      <vt:lpstr>PS_cloudarch.sen_SEK</vt:lpstr>
      <vt:lpstr>PS_consult.jun_EUR</vt:lpstr>
      <vt:lpstr>PS_consult.jun_SEK</vt:lpstr>
      <vt:lpstr>PS_consult.sen_EUR</vt:lpstr>
      <vt:lpstr>PS_consult.sen_SEK</vt:lpstr>
      <vt:lpstr>PS_pm.jun_EUR</vt:lpstr>
      <vt:lpstr>PS_pm.jun_SEK</vt:lpstr>
      <vt:lpstr>PS_pm.sen_EUR</vt:lpstr>
      <vt:lpstr>PS_pm.sen_SEK</vt:lpstr>
      <vt:lpstr>S3_archive.100_EUR</vt:lpstr>
      <vt:lpstr>S3_archive.100_SEK</vt:lpstr>
      <vt:lpstr>S3_archive.100_SUNET</vt:lpstr>
      <vt:lpstr>S3_archive.1000_EUR</vt:lpstr>
      <vt:lpstr>S3_archive.1000_SEK</vt:lpstr>
      <vt:lpstr>S3_archive.1000_SUNET</vt:lpstr>
      <vt:lpstr>S3_archive.50_EUR</vt:lpstr>
      <vt:lpstr>S3_archive.50_SEK</vt:lpstr>
      <vt:lpstr>S3_archive.50_SUNET</vt:lpstr>
      <vt:lpstr>S3_archive.500_EUR</vt:lpstr>
      <vt:lpstr>S3_archive.500_SEK</vt:lpstr>
      <vt:lpstr>S3_archive.500_SUNET</vt:lpstr>
      <vt:lpstr>S3_archive.quote_EUR</vt:lpstr>
      <vt:lpstr>S3_archive.quote_SEK</vt:lpstr>
      <vt:lpstr>S3_archive.quote_SUNET</vt:lpstr>
      <vt:lpstr>S3_archive100</vt:lpstr>
      <vt:lpstr>S3_storage.100_EUR</vt:lpstr>
      <vt:lpstr>S3_storage.100_SEK</vt:lpstr>
      <vt:lpstr>S3_storage.100_SUNET</vt:lpstr>
      <vt:lpstr>S3_storage.1000_EUR</vt:lpstr>
      <vt:lpstr>S3_storage.1000_SEK</vt:lpstr>
      <vt:lpstr>S3_storage.1000_SUNET</vt:lpstr>
      <vt:lpstr>S3_storage.50_EUR</vt:lpstr>
      <vt:lpstr>S3_storage.50_SEK</vt:lpstr>
      <vt:lpstr>S3_storage.50_SUNET</vt:lpstr>
      <vt:lpstr>S3_storage.500_EUR</vt:lpstr>
      <vt:lpstr>S3_storage.500_SEK</vt:lpstr>
      <vt:lpstr>S3_storage.500_SUNET</vt:lpstr>
      <vt:lpstr>S3_storage.quote_EUR</vt:lpstr>
      <vt:lpstr>S3_storage.quote_SEK</vt:lpstr>
      <vt:lpstr>S3_storage.quote_SUNET</vt:lpstr>
      <vt:lpstr>S3_storage100_EUR</vt:lpstr>
      <vt:lpstr>S3_storage100_SEK</vt:lpstr>
      <vt:lpstr>S3_storage1000_EUR</vt:lpstr>
      <vt:lpstr>S3_storage1000_SEK</vt:lpstr>
      <vt:lpstr>S3_storage50</vt:lpstr>
      <vt:lpstr>S3_storage50_EUR</vt:lpstr>
      <vt:lpstr>S3_storage50_SEK</vt:lpstr>
      <vt:lpstr>S3_storage500_EUR</vt:lpstr>
      <vt:lpstr>S3_storage500_SEK</vt:lpstr>
      <vt:lpstr>S3.archive.50</vt:lpstr>
      <vt:lpstr>Safespring.price.increase</vt:lpstr>
      <vt:lpstr>SEK</vt:lpstr>
      <vt:lpstr>sunet.price.increase</vt:lpstr>
      <vt:lpstr>SW_backup.ninja_EUR</vt:lpstr>
      <vt:lpstr>SW_backup.ninja_SEK</vt:lpstr>
      <vt:lpstr>SW_cluster.control_EUR</vt:lpstr>
      <vt:lpstr>SW_cluster.control_SEK</vt:lpstr>
      <vt:lpstr>SW_ms.sql.ser_EUR</vt:lpstr>
      <vt:lpstr>SW_ms.sql.ser_SEK</vt:lpstr>
      <vt:lpstr>SW_ms.sql.ser.ent_EUR</vt:lpstr>
      <vt:lpstr>SW_ms.sql.ser.ent_SEK</vt:lpstr>
      <vt:lpstr>SW_nextcloud_EUR</vt:lpstr>
      <vt:lpstr>SW_nextcloud_SEK</vt:lpstr>
      <vt:lpstr>SW_stackn_EUR</vt:lpstr>
      <vt:lpstr>SW_stackn_SEK</vt:lpstr>
      <vt:lpstr>SW_suse_EUR</vt:lpstr>
      <vt:lpstr>SW_suse_SEK</vt:lpstr>
      <vt:lpstr>SW_suse_SEUR</vt:lpstr>
      <vt:lpstr>SW_win.ser.201X_EUR</vt:lpstr>
      <vt:lpstr>SW_win.ser.201X_SEK</vt:lpstr>
      <vt:lpstr>'DKK - Safespring-tjenester 2025'!Utskriftsområde</vt:lpstr>
      <vt:lpstr>'EUR - Safespring services 2021'!Utskriftsområde</vt:lpstr>
      <vt:lpstr>'EUR - Safespring services 2025'!Utskriftsområde</vt:lpstr>
      <vt:lpstr>'NOK - Safespring tjenester 2025'!Utskriftsområde</vt:lpstr>
      <vt:lpstr>'NOK - Safesprings tjeneste 2021'!Utskriftsområde</vt:lpstr>
      <vt:lpstr>'SEK - Safesprings tjänster 2025'!Utskriftsområde</vt:lpstr>
      <vt:lpstr>'SUNET SEK - priser 2020'!Utskriftsområde</vt:lpstr>
      <vt:lpstr>VOLUME_fast_EUR</vt:lpstr>
      <vt:lpstr>VOLUME_fast_SEK</vt:lpstr>
      <vt:lpstr>VOLUME_fast_SUNET</vt:lpstr>
      <vt:lpstr>VOLUME_large_EUR</vt:lpstr>
      <vt:lpstr>VOLUME_large_SEK</vt:lpstr>
      <vt:lpstr>VOLUME_large_SUNET</vt:lpstr>
    </vt:vector>
  </TitlesOfParts>
  <Manager>Fredric Wallsten</Manager>
  <Company>Safespring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Safesprings priser 2020</dc:title>
  <dc:subject>Priskalkyl</dc:subject>
  <dc:creator>Petter Hylin</dc:creator>
  <dc:description/>
  <cp:lastModifiedBy>Marcus Boberg</cp:lastModifiedBy>
  <cp:revision>2</cp:revision>
  <dcterms:created xsi:type="dcterms:W3CDTF">2015-05-31T16:02:08Z</dcterms:created>
  <dcterms:modified xsi:type="dcterms:W3CDTF">2026-05-25T09:07:51Z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0x0101001C43B81DAFEB6E48968C393326E48C35</vt:lpwstr>
  </property>
</Properties>
</file>