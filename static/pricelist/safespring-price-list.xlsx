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/>
  <mc:AlternateContent xmlns:mc="http://schemas.openxmlformats.org/markup-compatibility/2006">
    <mc:Choice Requires="x15">
      <x15ac:absPath xmlns:x15ac="http://schemas.microsoft.com/office/spreadsheetml/2010/11/ac" url="/Users/marcus/GitHub/web/static/pricelist/"/>
    </mc:Choice>
  </mc:AlternateContent>
  <xr:revisionPtr revIDLastSave="0" documentId="8_{9D7A5752-E8C2-A549-B7EC-F05FA3CAB009}" xr6:coauthVersionLast="47" xr6:coauthVersionMax="47" xr10:uidLastSave="{00000000-0000-0000-0000-000000000000}"/>
  <workbookProtection workbookAlgorithmName="SHA-512" workbookHashValue="VcBA15HjIe0FvlT887crE3ynbX8AMgaKD9+s8l370gHxCB/EVx/SDv8OHAdnBHm9X4wN9XAbhDBpHSr84plVJA==" workbookSaltValue="qiCx9joo21CYC6cf3czGvw==" workbookSpinCount="100000" lockStructure="1"/>
  <bookViews>
    <workbookView xWindow="0" yWindow="0" windowWidth="51200" windowHeight="28800" tabRatio="500" activeTab="1" xr2:uid="{00000000-000D-0000-FFFF-FFFF00000000}"/>
  </bookViews>
  <sheets>
    <sheet name="EUR - Safespring services 2025" sheetId="1" r:id="rId1"/>
    <sheet name="SEK - Safesprings tjänster 2025" sheetId="2" r:id="rId2"/>
    <sheet name="NOK - Safespring tjenester 2025" sheetId="3" r:id="rId3"/>
    <sheet name="EUR - Safespring services 2021" sheetId="4" state="hidden" r:id="rId4"/>
    <sheet name="NOK - Safesprings tjeneste 2021" sheetId="5" state="hidden" r:id="rId5"/>
    <sheet name="SUNET SEK - priser 2020" sheetId="6" state="hidden" r:id="rId6"/>
    <sheet name="DKK - Safespring-tjenester 2025" sheetId="7" r:id="rId7"/>
    <sheet name="Data" sheetId="8" state="hidden" r:id="rId8"/>
  </sheets>
  <definedNames>
    <definedName name="Antal_instanser" localSheetId="6">'DKK - Safespring-tjenester 2025'!#REF!</definedName>
    <definedName name="Antal_instanser" localSheetId="0">'EUR - Safespring services 2025'!#REF!</definedName>
    <definedName name="Antal_instanser" localSheetId="2">'NOK - Safespring tjenester 2025'!#REF!</definedName>
    <definedName name="Antal_instanser">'SEK - Safesprings tjänster 2025'!#REF!</definedName>
    <definedName name="BAAS_large_EUR">Data!$F$27</definedName>
    <definedName name="BAAS_large_SEK">Data!$E$27</definedName>
    <definedName name="BAAS_large.fee_EUR">Data!$F$25</definedName>
    <definedName name="BAAS_large.fee_SEK">Data!$E$25</definedName>
    <definedName name="BAAS_on.demand_EUR">Data!$F$23</definedName>
    <definedName name="BAAS_on.demand_SEK">Data!$E$23</definedName>
    <definedName name="BAAS_small_EUR">Data!$F$26</definedName>
    <definedName name="BAAS_small_SEK">Data!$E$26</definedName>
    <definedName name="BAAS_small.fee_EUR">Data!$F$24</definedName>
    <definedName name="BAAS_small.fee_SEK">Data!$E$24</definedName>
    <definedName name="Disk__GB" localSheetId="6">'DKK - Safespring-tjenester 2025'!#REF!</definedName>
    <definedName name="Disk__GB" localSheetId="0">'EUR - Safespring services 2025'!#REF!</definedName>
    <definedName name="Disk__GB" localSheetId="2">'NOK - Safespring tjenester 2025'!#REF!</definedName>
    <definedName name="Disk__GB">'SEK - Safesprings tjänster 2025'!#REF!</definedName>
    <definedName name="EUR">Data!$K$4</definedName>
    <definedName name="IAAS_GPU_A2_EUR">Data!$F$9</definedName>
    <definedName name="IAAS_GPU_A2_SEK">Data!$E$9</definedName>
    <definedName name="IAAS_gpu_EUR">Data!$F$7</definedName>
    <definedName name="IAAS_GPU_H100_EUR">Data!$F$10</definedName>
    <definedName name="IAAS_GPU_H100_SEK">Data!$E$10</definedName>
    <definedName name="IAAS_gpu_SEK">Data!$E$7</definedName>
    <definedName name="IAAS_gpu_SUNET">Data!$G$7</definedName>
    <definedName name="IAAS_nvme_EUR">Data!$F$6</definedName>
    <definedName name="IAAS_nvme_SEK">Data!$E$6</definedName>
    <definedName name="IAAS_nvme_SUNET">Data!$G$6</definedName>
    <definedName name="IAAS_pcpu_EUR">Data!$F$8</definedName>
    <definedName name="IAAS_pcpu_SEK">Data!$E$8</definedName>
    <definedName name="IAAS_pcpu_SUNET">Data!$G$8</definedName>
    <definedName name="IAAS_ram_EUR">Data!$F$3</definedName>
    <definedName name="IAAS_ram_SEK">Data!$E$3</definedName>
    <definedName name="IAAS_ram_SUNET">Data!$G$3</definedName>
    <definedName name="IAAS_ram_sunet_b_m">Data!$G$9</definedName>
    <definedName name="IAAS_ssd_EUR">Data!$F$4</definedName>
    <definedName name="IAAS_ssd_SEK">Data!$E$4</definedName>
    <definedName name="IAAS_ssd_SUNET">Data!$G$11</definedName>
    <definedName name="IAAS_vcpu_EUR">Data!$F$5</definedName>
    <definedName name="IAAS_vcpu_SEK">Data!$E$5</definedName>
    <definedName name="IAAS_vcpu_SUNET">Data!$G$5</definedName>
    <definedName name="IAAS_vcpu_sunet_b_m">Data!$G$10</definedName>
    <definedName name="INSTANCE_p1.2xlarge.16d_EUR">Data!$F$14</definedName>
    <definedName name="INSTANCE_p1.2xlarge.16d_SEK">Data!$E$14</definedName>
    <definedName name="INSTANCE_p1.4xlarge.16d_EUR">Data!$F$15</definedName>
    <definedName name="INSTANCE_p1.4xlarge.16d_SEK">Data!$E$15</definedName>
    <definedName name="INSTANCE_p1.8xlarge.32d_EUR">Data!$F$16</definedName>
    <definedName name="INSTANCE_p1.8xlarge.32d_SEK">Data!$E$16</definedName>
    <definedName name="list_Antal_instanser" localSheetId="6">'DKK - Safespring-tjenester 2025'!#REF!</definedName>
    <definedName name="list_Antal_instanser" localSheetId="0">'EUR - Safespring services 2025'!#REF!</definedName>
    <definedName name="list_Antal_instanser" localSheetId="2">'NOK - Safespring tjenester 2025'!#REF!</definedName>
    <definedName name="list_Antal_instanser">'SEK - Safesprings tjänster 2025'!#REF!</definedName>
    <definedName name="list_Disk__GB" localSheetId="6">'DKK - Safespring-tjenester 2025'!#REF!</definedName>
    <definedName name="list_Disk__GB" localSheetId="0">'EUR - Safespring services 2025'!#REF!</definedName>
    <definedName name="list_Disk__GB" localSheetId="2">'NOK - Safespring tjenester 2025'!#REF!</definedName>
    <definedName name="list_Disk__GB">'SEK - Safesprings tjänster 2025'!#REF!</definedName>
    <definedName name="list_RAM__GB" localSheetId="6">'DKK - Safespring-tjenester 2025'!#REF!</definedName>
    <definedName name="list_RAM__GB" localSheetId="0">'EUR - Safespring services 2025'!#REF!</definedName>
    <definedName name="list_RAM__GB" localSheetId="2">'NOK - Safespring tjenester 2025'!#REF!</definedName>
    <definedName name="list_RAM__GB">'SEK - Safesprings tjänster 2025'!#REF!</definedName>
    <definedName name="list_vCPU" localSheetId="6">'DKK - Safespring-tjenester 2025'!#REF!</definedName>
    <definedName name="list_vCPU" localSheetId="0">'EUR - Safespring services 2025'!#REF!</definedName>
    <definedName name="list_vCPU" localSheetId="2">'NOK - Safespring tjenester 2025'!#REF!</definedName>
    <definedName name="list_vCPU">'SEK - Safesprings tjänster 2025'!#REF!</definedName>
    <definedName name="NET_byoip_EUR">Data!$F$49</definedName>
    <definedName name="NET_byoip_SEK">Data!$E$49</definedName>
    <definedName name="NET_egress_EUR">Data!$F$45</definedName>
    <definedName name="NET_egress_SEK">Data!$E$45</definedName>
    <definedName name="NET_ingress_EUR">Data!$F$44</definedName>
    <definedName name="NET_ingress_SEK">Data!$E$44</definedName>
    <definedName name="NET_mgn.slb_EUR">Data!$F$46</definedName>
    <definedName name="NET_mgn.slb_SEK">Data!$E$46</definedName>
    <definedName name="NET_publicv4_EUR">Data!$F$42</definedName>
    <definedName name="NET_publicv4_SEK">Data!$E$42</definedName>
    <definedName name="NET_publicv6_EUR">Data!$F$43</definedName>
    <definedName name="NET_publicv6_SEK">Data!$E$43</definedName>
    <definedName name="NET_rdns_EUR">Data!$F$47</definedName>
    <definedName name="NET_rdns_SEK">Data!$E$47</definedName>
    <definedName name="NET_saferoute_EUR">Data!$F$48</definedName>
    <definedName name="NET_saferoute_SEK">Data!$E$48</definedName>
    <definedName name="NOK">Data!$K$5</definedName>
    <definedName name="PAAS_man.elasticsearch_EUR">Data!$F$64</definedName>
    <definedName name="PAAS_man.elasticsearch_SEK">Data!$E$64</definedName>
    <definedName name="PAAS_man.kubernetes_EUR">Data!$F$62</definedName>
    <definedName name="PAAS_man.kubernetes_SEK">Data!$E$62</definedName>
    <definedName name="PAAS_man.kubernetes24_EUR">Data!$F$62</definedName>
    <definedName name="PAAS_man.kubernetes24_SEK">Data!$E$62</definedName>
    <definedName name="PAAS_man.kubernetes8_EUR">Data!$F$63</definedName>
    <definedName name="PAAS_man.kubernetes8_SEK">Data!$E$63</definedName>
    <definedName name="PAAS_man.mariadb_EUR">Data!$F$67</definedName>
    <definedName name="PAAS_man.mariadb_SEK">Data!$E$67</definedName>
    <definedName name="PAAS_man.nats_EUR">Data!$F$66</definedName>
    <definedName name="PAAS_man.nats_SEK">Data!$E$66</definedName>
    <definedName name="PAAS_man.postgres.sql_EUR">Data!$F$63</definedName>
    <definedName name="PAAS_man.postgres.sql_SEK">Data!$E$63</definedName>
    <definedName name="PAAS_man.redis_EUR">Data!$F$65</definedName>
    <definedName name="PAAS_man.redis_SEK">Data!$E$65</definedName>
    <definedName name="PAAS_openshift_EUR">Data!$F$68</definedName>
    <definedName name="PAAS_openshift_SEK">Data!$E$68</definedName>
    <definedName name="PRICE_total">'EUR - Safespring services 2021'!#REF!</definedName>
    <definedName name="PS_cloudarch.jun_EUR">Data!$F$73</definedName>
    <definedName name="PS_cloudarch.jun_SEK">Data!$E$73</definedName>
    <definedName name="PS_cloudarch.sen_EUR">Data!$F$74</definedName>
    <definedName name="PS_cloudarch.sen_SEK">Data!$E$74</definedName>
    <definedName name="PS_consult.jun_EUR">Data!$F$71</definedName>
    <definedName name="PS_consult.jun_SEK">Data!$E$71</definedName>
    <definedName name="PS_consult.sen_EUR">Data!$F$72</definedName>
    <definedName name="PS_consult.sen_SEK">Data!$E$72</definedName>
    <definedName name="PS_pm.jun_EUR">Data!$F$75</definedName>
    <definedName name="PS_pm.jun_SEK">Data!$E$75</definedName>
    <definedName name="PS_pm.sen_EUR">Data!$F$76</definedName>
    <definedName name="PS_pm.sen_SEK">Data!$E$76</definedName>
    <definedName name="RAM__GB" localSheetId="6">'DKK - Safespring-tjenester 2025'!#REF!</definedName>
    <definedName name="RAM__GB" localSheetId="0">'EUR - Safespring services 2025'!#REF!</definedName>
    <definedName name="RAM__GB" localSheetId="2">'NOK - Safespring tjenester 2025'!#REF!</definedName>
    <definedName name="RAM__GB">'SEK - Safesprings tjänster 2025'!#REF!</definedName>
    <definedName name="S3_archive.100_EUR">Data!$F$36</definedName>
    <definedName name="S3_archive.100_SEK">Data!$E$36</definedName>
    <definedName name="S3_archive.100_SUNET">Data!$G$36</definedName>
    <definedName name="S3_archive.1000_EUR">Data!$F$38</definedName>
    <definedName name="S3_archive.1000_SEK">Data!$E$38</definedName>
    <definedName name="S3_archive.1000_SUNET">Data!$G$38</definedName>
    <definedName name="S3_archive.50_EUR">Data!$F$35</definedName>
    <definedName name="S3_archive.50_SEK">Data!$E$35</definedName>
    <definedName name="S3_archive.50_SUNET">Data!$G$35</definedName>
    <definedName name="S3_archive.500_EUR">Data!$F$37</definedName>
    <definedName name="S3_archive.500_SEK">Data!$E$37</definedName>
    <definedName name="S3_archive.500_SUNET">Data!$G$37</definedName>
    <definedName name="S3_archive.quote_EUR">Data!$F$39</definedName>
    <definedName name="S3_archive.quote_SEK">Data!$E$39</definedName>
    <definedName name="S3_archive.quote_SUNET">Data!$G$39</definedName>
    <definedName name="S3_archive100">Data!$E$36</definedName>
    <definedName name="S3_storage.100_EUR">Data!$F$36</definedName>
    <definedName name="S3_storage.100_SEK">Data!$E$36</definedName>
    <definedName name="S3_storage.100_SUNET">Data!$G$36</definedName>
    <definedName name="S3_storage.1000_EUR">Data!$F$38</definedName>
    <definedName name="S3_storage.1000_SEK">Data!$E$38</definedName>
    <definedName name="S3_storage.1000_SUNET">Data!$G$38</definedName>
    <definedName name="S3_storage.50_EUR">Data!$F$35</definedName>
    <definedName name="S3_storage.50_SEK">Data!$E$35</definedName>
    <definedName name="S3_storage.50_SUNET">Data!$G$35</definedName>
    <definedName name="S3_storage.500_EUR">Data!$F$37</definedName>
    <definedName name="S3_storage.500_SEK">Data!$E$37</definedName>
    <definedName name="S3_storage.500_SUNET">Data!$G$37</definedName>
    <definedName name="S3_storage.quote_EUR">Data!$F$39</definedName>
    <definedName name="S3_storage.quote_SEK">Data!$E$39</definedName>
    <definedName name="S3_storage.quote_SUNET">Data!$G$39</definedName>
    <definedName name="S3_storage100_EUR">Data!$F$31</definedName>
    <definedName name="S3_storage100_SEK">Data!$E$31</definedName>
    <definedName name="S3_storage1000_EUR">Data!$F$33</definedName>
    <definedName name="S3_storage1000_SEK">Data!$E$33</definedName>
    <definedName name="S3_storage50">Data!$E$30</definedName>
    <definedName name="S3_storage50_EUR">Data!$F$30</definedName>
    <definedName name="S3_storage50_SEK">Data!$E$30</definedName>
    <definedName name="S3_storage500_EUR">Data!$F$32</definedName>
    <definedName name="S3_storage500_SEK">Data!$E$32</definedName>
    <definedName name="S3.archive.50">Data!$E$35</definedName>
    <definedName name="Safespring.price.increase">Data!$K$14</definedName>
    <definedName name="SEK">Data!$K$3</definedName>
    <definedName name="sunet.price.increase">Data!$K$15</definedName>
    <definedName name="SW_backup.ninja_EUR">Data!$F$59</definedName>
    <definedName name="SW_backup.ninja_SEK">Data!$E$59</definedName>
    <definedName name="SW_cluster.control_EUR">Data!$F$58</definedName>
    <definedName name="SW_cluster.control_SEK">Data!$E$58</definedName>
    <definedName name="SW_ms.sql.ser_EUR">Data!$F$53</definedName>
    <definedName name="SW_ms.sql.ser_SEK">Data!$E$53</definedName>
    <definedName name="SW_ms.sql.ser.ent_EUR">Data!$F$54</definedName>
    <definedName name="SW_ms.sql.ser.ent_SEK">Data!$E$54</definedName>
    <definedName name="SW_nextcloud_EUR">Data!$F$56</definedName>
    <definedName name="SW_nextcloud_SEK">Data!$E$56</definedName>
    <definedName name="SW_stackn_EUR">Data!$F$55</definedName>
    <definedName name="SW_stackn_SEK">Data!$E$55</definedName>
    <definedName name="SW_suse_EUR">Data!$F$57</definedName>
    <definedName name="SW_suse_SEK">Data!$E$57</definedName>
    <definedName name="SW_suse_SEUR">Data!$F$57</definedName>
    <definedName name="SW_win.ser.201X_EUR">Data!$F$52</definedName>
    <definedName name="SW_win.ser.201X_SEK">Data!$E$52</definedName>
    <definedName name="_xlnm.Print_Area" localSheetId="6">'DKK - Safespring-tjenester 2025'!$A$3:$L$214</definedName>
    <definedName name="_xlnm.Print_Area" localSheetId="3">'EUR - Safespring services 2021'!$I$43:$I$65</definedName>
    <definedName name="_xlnm.Print_Area" localSheetId="0">'EUR - Safespring services 2025'!$A$3:$L$215</definedName>
    <definedName name="_xlnm.Print_Area" localSheetId="2">'NOK - Safespring tjenester 2025'!$A$1:$L$213</definedName>
    <definedName name="_xlnm.Print_Area" localSheetId="4">'NOK - Safesprings tjeneste 2021'!$A$1:$N$305</definedName>
    <definedName name="_xlnm.Print_Area" localSheetId="1">'SEK - Safesprings tjänster 2025'!$A$1:$L$213</definedName>
    <definedName name="_xlnm.Print_Area" localSheetId="5">'SUNET SEK - priser 2020'!$A$1:$N$246</definedName>
    <definedName name="vCPU" localSheetId="6">'DKK - Safespring-tjenester 2025'!#REF!</definedName>
    <definedName name="vCPU" localSheetId="0">'EUR - Safespring services 2025'!#REF!</definedName>
    <definedName name="vCPU" localSheetId="2">'NOK - Safespring tjenester 2025'!#REF!</definedName>
    <definedName name="vCPU">'SEK - Safesprings tjänster 2025'!#REF!</definedName>
    <definedName name="VOLUME_fast_EUR">Data!$F$20</definedName>
    <definedName name="VOLUME_fast_SEK">Data!$E$20</definedName>
    <definedName name="VOLUME_fast_SUNET">Data!$G$20</definedName>
    <definedName name="VOLUME_large_EUR">Data!$F$19</definedName>
    <definedName name="VOLUME_large_SEK">Data!$E$19</definedName>
    <definedName name="VOLUME_large_SUNET">Data!$G$19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9" i="2" l="1"/>
  <c r="E84" i="1"/>
  <c r="D84" i="1"/>
  <c r="E84" i="2"/>
  <c r="D84" i="2"/>
  <c r="I84" i="7"/>
  <c r="E84" i="7"/>
  <c r="D84" i="7"/>
  <c r="C84" i="7"/>
  <c r="I27" i="7"/>
  <c r="I84" i="3"/>
  <c r="E84" i="3"/>
  <c r="D84" i="3"/>
  <c r="C84" i="3"/>
  <c r="I72" i="3"/>
  <c r="I55" i="3"/>
  <c r="C55" i="3"/>
  <c r="I27" i="3"/>
  <c r="I84" i="1"/>
  <c r="C84" i="1"/>
  <c r="K118" i="7"/>
  <c r="K121" i="1"/>
  <c r="K119" i="3"/>
  <c r="J202" i="7"/>
  <c r="J201" i="3"/>
  <c r="K82" i="2"/>
  <c r="H71" i="7"/>
  <c r="H70" i="7"/>
  <c r="H69" i="7"/>
  <c r="H68" i="7"/>
  <c r="H67" i="7"/>
  <c r="H66" i="7"/>
  <c r="H65" i="7"/>
  <c r="H64" i="7"/>
  <c r="H63" i="7"/>
  <c r="H62" i="7"/>
  <c r="I27" i="1"/>
  <c r="K83" i="2"/>
  <c r="K83" i="7"/>
  <c r="K84" i="7" s="1"/>
  <c r="K83" i="3"/>
  <c r="K84" i="3" s="1"/>
  <c r="H25" i="7"/>
  <c r="H79" i="7"/>
  <c r="H80" i="7"/>
  <c r="H81" i="7"/>
  <c r="H82" i="7"/>
  <c r="H83" i="7"/>
  <c r="H79" i="1"/>
  <c r="H80" i="1"/>
  <c r="H81" i="1"/>
  <c r="H82" i="1"/>
  <c r="H83" i="1"/>
  <c r="K79" i="7"/>
  <c r="K160" i="7"/>
  <c r="K159" i="7"/>
  <c r="K158" i="7"/>
  <c r="K157" i="7"/>
  <c r="K156" i="7"/>
  <c r="K160" i="3"/>
  <c r="K159" i="3"/>
  <c r="K158" i="3"/>
  <c r="K157" i="3"/>
  <c r="K156" i="3"/>
  <c r="K161" i="1"/>
  <c r="K160" i="1"/>
  <c r="K159" i="1"/>
  <c r="K158" i="1"/>
  <c r="K157" i="1"/>
  <c r="K155" i="2"/>
  <c r="K159" i="2"/>
  <c r="K158" i="2"/>
  <c r="K157" i="2"/>
  <c r="K156" i="2"/>
  <c r="F65" i="8"/>
  <c r="F66" i="8"/>
  <c r="L177" i="4" s="1"/>
  <c r="F67" i="8"/>
  <c r="F64" i="8"/>
  <c r="E65" i="8"/>
  <c r="E66" i="8"/>
  <c r="E67" i="8"/>
  <c r="E64" i="8"/>
  <c r="K26" i="7"/>
  <c r="G26" i="7"/>
  <c r="K26" i="3"/>
  <c r="G26" i="3"/>
  <c r="K25" i="3"/>
  <c r="K27" i="3" s="1"/>
  <c r="G25" i="3"/>
  <c r="K26" i="1"/>
  <c r="G26" i="1"/>
  <c r="K25" i="1"/>
  <c r="G25" i="1"/>
  <c r="I27" i="2"/>
  <c r="G83" i="7"/>
  <c r="K81" i="7"/>
  <c r="G81" i="7"/>
  <c r="G79" i="7"/>
  <c r="H83" i="3"/>
  <c r="G83" i="3" s="1"/>
  <c r="H82" i="3"/>
  <c r="G82" i="3" s="1"/>
  <c r="H81" i="3"/>
  <c r="G81" i="3" s="1"/>
  <c r="H80" i="3"/>
  <c r="G80" i="3" s="1"/>
  <c r="H79" i="3"/>
  <c r="G79" i="3" s="1"/>
  <c r="K135" i="1"/>
  <c r="K136" i="1"/>
  <c r="K137" i="1"/>
  <c r="K138" i="1"/>
  <c r="K140" i="1"/>
  <c r="K148" i="1"/>
  <c r="K149" i="1"/>
  <c r="K150" i="1"/>
  <c r="H83" i="2"/>
  <c r="H82" i="2"/>
  <c r="E10" i="8"/>
  <c r="F10" i="8"/>
  <c r="G10" i="8"/>
  <c r="E11" i="8"/>
  <c r="F11" i="8"/>
  <c r="G11" i="8"/>
  <c r="H79" i="2"/>
  <c r="H80" i="2"/>
  <c r="H81" i="2"/>
  <c r="F76" i="8"/>
  <c r="E76" i="8"/>
  <c r="F75" i="8"/>
  <c r="E75" i="8"/>
  <c r="F74" i="8"/>
  <c r="E74" i="8"/>
  <c r="F73" i="8"/>
  <c r="E73" i="8"/>
  <c r="F72" i="8"/>
  <c r="E72" i="8"/>
  <c r="F71" i="8"/>
  <c r="E71" i="8"/>
  <c r="F59" i="8"/>
  <c r="E59" i="8"/>
  <c r="F54" i="8"/>
  <c r="E54" i="8"/>
  <c r="K148" i="2" s="1"/>
  <c r="F53" i="8"/>
  <c r="E53" i="8"/>
  <c r="F52" i="8"/>
  <c r="E52" i="8"/>
  <c r="F49" i="8"/>
  <c r="E49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E39" i="8"/>
  <c r="F38" i="8"/>
  <c r="E38" i="8"/>
  <c r="F37" i="8"/>
  <c r="E37" i="8"/>
  <c r="F36" i="8"/>
  <c r="E36" i="8"/>
  <c r="F35" i="8"/>
  <c r="E35" i="8"/>
  <c r="G34" i="8"/>
  <c r="E34" i="8"/>
  <c r="F33" i="8"/>
  <c r="E33" i="8"/>
  <c r="F32" i="8"/>
  <c r="E32" i="8"/>
  <c r="F31" i="8"/>
  <c r="E31" i="8"/>
  <c r="F30" i="8"/>
  <c r="E30" i="8"/>
  <c r="F27" i="8"/>
  <c r="E27" i="8"/>
  <c r="F26" i="8"/>
  <c r="E26" i="8"/>
  <c r="F25" i="8"/>
  <c r="E25" i="8"/>
  <c r="F24" i="8"/>
  <c r="E24" i="8"/>
  <c r="F23" i="8"/>
  <c r="E23" i="8"/>
  <c r="G20" i="8"/>
  <c r="F20" i="8"/>
  <c r="E20" i="8"/>
  <c r="G19" i="8"/>
  <c r="F19" i="8"/>
  <c r="E19" i="8"/>
  <c r="F15" i="8"/>
  <c r="E15" i="8"/>
  <c r="D14" i="8"/>
  <c r="G9" i="8"/>
  <c r="F9" i="8"/>
  <c r="E9" i="8"/>
  <c r="G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K185" i="7"/>
  <c r="K184" i="7"/>
  <c r="K183" i="7"/>
  <c r="K182" i="7"/>
  <c r="K181" i="7"/>
  <c r="K180" i="7"/>
  <c r="K147" i="7"/>
  <c r="K146" i="7"/>
  <c r="K145" i="7"/>
  <c r="K137" i="7"/>
  <c r="K135" i="7"/>
  <c r="K134" i="7"/>
  <c r="K133" i="7"/>
  <c r="K132" i="7"/>
  <c r="I120" i="7"/>
  <c r="K119" i="7"/>
  <c r="G119" i="7"/>
  <c r="E119" i="7"/>
  <c r="G118" i="7"/>
  <c r="E118" i="7"/>
  <c r="G117" i="7"/>
  <c r="G104" i="7"/>
  <c r="K104" i="7" s="1"/>
  <c r="G103" i="7"/>
  <c r="K103" i="7" s="1"/>
  <c r="I92" i="7"/>
  <c r="H91" i="7"/>
  <c r="K91" i="7" s="1"/>
  <c r="G91" i="7"/>
  <c r="H90" i="7"/>
  <c r="H89" i="7"/>
  <c r="I72" i="7"/>
  <c r="I55" i="7"/>
  <c r="H137" i="6"/>
  <c r="N136" i="6"/>
  <c r="F136" i="6"/>
  <c r="N135" i="6"/>
  <c r="F135" i="6"/>
  <c r="F134" i="6"/>
  <c r="K121" i="6" a="1"/>
  <c r="K121" i="6"/>
  <c r="F121" i="6" a="1"/>
  <c r="F121" i="6"/>
  <c r="D116" i="6"/>
  <c r="D115" i="6"/>
  <c r="D114" i="6"/>
  <c r="D113" i="6"/>
  <c r="J101" i="6"/>
  <c r="F100" i="6"/>
  <c r="E100" i="6"/>
  <c r="F99" i="6"/>
  <c r="E99" i="6"/>
  <c r="K94" i="6"/>
  <c r="J94" i="6"/>
  <c r="I94" i="6"/>
  <c r="N93" i="6"/>
  <c r="N92" i="6"/>
  <c r="L92" i="6"/>
  <c r="H92" i="6"/>
  <c r="G92" i="6"/>
  <c r="N91" i="6"/>
  <c r="K86" i="6"/>
  <c r="J86" i="6"/>
  <c r="I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K60" i="6"/>
  <c r="J60" i="6"/>
  <c r="I60" i="6"/>
  <c r="N59" i="6"/>
  <c r="N58" i="6"/>
  <c r="N57" i="6"/>
  <c r="N56" i="6"/>
  <c r="N55" i="6"/>
  <c r="K36" i="6"/>
  <c r="J36" i="6"/>
  <c r="I36" i="6"/>
  <c r="N35" i="6"/>
  <c r="N34" i="6"/>
  <c r="N33" i="6"/>
  <c r="N32" i="6"/>
  <c r="N31" i="6"/>
  <c r="N30" i="6"/>
  <c r="N29" i="6"/>
  <c r="N28" i="6"/>
  <c r="N27" i="6"/>
  <c r="N26" i="6"/>
  <c r="N25" i="6"/>
  <c r="L225" i="5"/>
  <c r="M196" i="5"/>
  <c r="M195" i="5"/>
  <c r="M194" i="5"/>
  <c r="M193" i="5"/>
  <c r="M192" i="5"/>
  <c r="M191" i="5"/>
  <c r="M168" i="5"/>
  <c r="M167" i="5"/>
  <c r="M162" i="5"/>
  <c r="M161" i="5"/>
  <c r="M160" i="5"/>
  <c r="M159" i="5"/>
  <c r="M158" i="5"/>
  <c r="M157" i="5"/>
  <c r="M156" i="5"/>
  <c r="M155" i="5"/>
  <c r="M151" i="5"/>
  <c r="M150" i="5"/>
  <c r="M149" i="5"/>
  <c r="M148" i="5"/>
  <c r="M147" i="5"/>
  <c r="M146" i="5"/>
  <c r="M145" i="5"/>
  <c r="H127" i="5"/>
  <c r="M126" i="5"/>
  <c r="F126" i="5"/>
  <c r="M125" i="5"/>
  <c r="F111" i="5" a="1"/>
  <c r="D107" i="5"/>
  <c r="D106" i="5"/>
  <c r="D105" i="5"/>
  <c r="D104" i="5"/>
  <c r="D103" i="5"/>
  <c r="I91" i="5"/>
  <c r="F90" i="5"/>
  <c r="E90" i="5"/>
  <c r="F89" i="5"/>
  <c r="E89" i="5"/>
  <c r="J84" i="5"/>
  <c r="I84" i="5"/>
  <c r="M83" i="5"/>
  <c r="M82" i="5"/>
  <c r="K82" i="5"/>
  <c r="H82" i="5"/>
  <c r="G82" i="5"/>
  <c r="M81" i="5"/>
  <c r="J76" i="5"/>
  <c r="I76" i="5"/>
  <c r="M75" i="5"/>
  <c r="M74" i="5"/>
  <c r="K74" i="5"/>
  <c r="M73" i="5"/>
  <c r="M72" i="5"/>
  <c r="K72" i="5"/>
  <c r="I67" i="5"/>
  <c r="E67" i="5" a="1"/>
  <c r="D67" i="5" a="1"/>
  <c r="D67" i="5"/>
  <c r="C67" i="5" a="1"/>
  <c r="C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G52" i="5"/>
  <c r="H51" i="5"/>
  <c r="H50" i="5"/>
  <c r="H49" i="5"/>
  <c r="H48" i="5"/>
  <c r="H47" i="5"/>
  <c r="H46" i="5"/>
  <c r="H45" i="5"/>
  <c r="H44" i="5"/>
  <c r="H43" i="5"/>
  <c r="I38" i="5"/>
  <c r="E38" i="5" a="1"/>
  <c r="D38" i="5" a="1"/>
  <c r="D38" i="5"/>
  <c r="C38" i="5" a="1"/>
  <c r="C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D11" i="5"/>
  <c r="L228" i="4"/>
  <c r="F227" i="4"/>
  <c r="L202" i="4"/>
  <c r="L201" i="4"/>
  <c r="L200" i="4"/>
  <c r="L199" i="4"/>
  <c r="L198" i="4"/>
  <c r="L197" i="4"/>
  <c r="L174" i="4"/>
  <c r="L173" i="4"/>
  <c r="L168" i="4"/>
  <c r="L167" i="4"/>
  <c r="L166" i="4"/>
  <c r="L165" i="4"/>
  <c r="L164" i="4"/>
  <c r="L163" i="4"/>
  <c r="L162" i="4"/>
  <c r="L161" i="4"/>
  <c r="L157" i="4"/>
  <c r="L156" i="4"/>
  <c r="L155" i="4"/>
  <c r="L154" i="4"/>
  <c r="L153" i="4"/>
  <c r="L152" i="4"/>
  <c r="L151" i="4"/>
  <c r="H133" i="4"/>
  <c r="M132" i="4"/>
  <c r="F132" i="4"/>
  <c r="D132" i="4"/>
  <c r="M131" i="4"/>
  <c r="F131" i="4"/>
  <c r="D131" i="4"/>
  <c r="F130" i="4"/>
  <c r="D117" i="4"/>
  <c r="D116" i="4"/>
  <c r="D115" i="4"/>
  <c r="D114" i="4"/>
  <c r="D113" i="4"/>
  <c r="E112" i="4" a="1"/>
  <c r="D108" i="4"/>
  <c r="D107" i="4"/>
  <c r="D106" i="4"/>
  <c r="D105" i="4"/>
  <c r="D104" i="4"/>
  <c r="E103" i="4" a="1"/>
  <c r="I91" i="4"/>
  <c r="F90" i="4"/>
  <c r="F89" i="4"/>
  <c r="J84" i="4"/>
  <c r="I84" i="4"/>
  <c r="M83" i="4"/>
  <c r="M82" i="4"/>
  <c r="K82" i="4"/>
  <c r="H82" i="4"/>
  <c r="M81" i="4"/>
  <c r="J76" i="4"/>
  <c r="I76" i="4"/>
  <c r="M75" i="4"/>
  <c r="H75" i="4"/>
  <c r="I67" i="4"/>
  <c r="E67" i="4" a="1"/>
  <c r="E67" i="4"/>
  <c r="D67" i="4" a="1"/>
  <c r="D67" i="4"/>
  <c r="C67" i="4" a="1"/>
  <c r="C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I38" i="4"/>
  <c r="E38" i="4" a="1"/>
  <c r="E38" i="4"/>
  <c r="D38" i="4" a="1"/>
  <c r="D38" i="4"/>
  <c r="C38" i="4" a="1"/>
  <c r="C38" i="4"/>
  <c r="H37" i="4"/>
  <c r="G37" i="4"/>
  <c r="H36" i="4"/>
  <c r="G36" i="4"/>
  <c r="H35" i="4"/>
  <c r="G35" i="4"/>
  <c r="H34" i="4"/>
  <c r="G34" i="4"/>
  <c r="J26" i="4"/>
  <c r="D11" i="4"/>
  <c r="K185" i="3"/>
  <c r="K184" i="3"/>
  <c r="K183" i="3"/>
  <c r="K182" i="3"/>
  <c r="K181" i="3"/>
  <c r="K180" i="3"/>
  <c r="K149" i="3"/>
  <c r="K148" i="3"/>
  <c r="K147" i="3"/>
  <c r="K139" i="3"/>
  <c r="K137" i="3"/>
  <c r="K136" i="3"/>
  <c r="K135" i="3"/>
  <c r="K134" i="3"/>
  <c r="I121" i="3"/>
  <c r="K120" i="3"/>
  <c r="G120" i="3"/>
  <c r="G119" i="3"/>
  <c r="G118" i="3"/>
  <c r="G106" i="3"/>
  <c r="G105" i="3"/>
  <c r="I94" i="3"/>
  <c r="H93" i="3"/>
  <c r="H92" i="3"/>
  <c r="H91" i="3"/>
  <c r="G91" i="3"/>
  <c r="K186" i="1"/>
  <c r="K185" i="1"/>
  <c r="K184" i="1"/>
  <c r="K183" i="1"/>
  <c r="K182" i="1"/>
  <c r="K181" i="1"/>
  <c r="I123" i="1"/>
  <c r="K122" i="1"/>
  <c r="G122" i="1"/>
  <c r="E122" i="1"/>
  <c r="G121" i="1"/>
  <c r="E121" i="1"/>
  <c r="G120" i="1"/>
  <c r="G107" i="1"/>
  <c r="G106" i="1"/>
  <c r="I94" i="1"/>
  <c r="G93" i="1"/>
  <c r="G92" i="1"/>
  <c r="G91" i="1"/>
  <c r="I72" i="1"/>
  <c r="I55" i="1"/>
  <c r="K184" i="2"/>
  <c r="K183" i="2"/>
  <c r="K182" i="2"/>
  <c r="K181" i="2"/>
  <c r="K180" i="2"/>
  <c r="K179" i="2"/>
  <c r="K147" i="2"/>
  <c r="K146" i="2"/>
  <c r="K138" i="2"/>
  <c r="K136" i="2"/>
  <c r="K135" i="2"/>
  <c r="K134" i="2"/>
  <c r="K133" i="2"/>
  <c r="I121" i="2"/>
  <c r="K120" i="2"/>
  <c r="G120" i="2"/>
  <c r="G119" i="2"/>
  <c r="G118" i="2"/>
  <c r="G106" i="2"/>
  <c r="G105" i="2"/>
  <c r="I94" i="2"/>
  <c r="H93" i="2"/>
  <c r="H92" i="2"/>
  <c r="H91" i="2"/>
  <c r="G91" i="2"/>
  <c r="I84" i="2"/>
  <c r="C84" i="2" a="1"/>
  <c r="I72" i="2"/>
  <c r="D72" i="2" a="1"/>
  <c r="C72" i="2" a="1"/>
  <c r="H71" i="2"/>
  <c r="K71" i="2" s="1"/>
  <c r="H70" i="2"/>
  <c r="H69" i="2"/>
  <c r="H68" i="2"/>
  <c r="H67" i="2"/>
  <c r="H66" i="2"/>
  <c r="H65" i="2"/>
  <c r="H64" i="2"/>
  <c r="H63" i="2"/>
  <c r="H62" i="2"/>
  <c r="I55" i="2"/>
  <c r="E55" i="2" a="1"/>
  <c r="D55" i="2" a="1"/>
  <c r="C55" i="2" a="1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G92" i="2"/>
  <c r="K26" i="2"/>
  <c r="K25" i="2"/>
  <c r="G25" i="2"/>
  <c r="G26" i="2"/>
  <c r="G93" i="3"/>
  <c r="G92" i="3"/>
  <c r="G68" i="2"/>
  <c r="G93" i="2"/>
  <c r="G67" i="2"/>
  <c r="G83" i="2"/>
  <c r="F92" i="1"/>
  <c r="H87" i="2"/>
  <c r="G82" i="2"/>
  <c r="G79" i="2"/>
  <c r="G81" i="2"/>
  <c r="G62" i="2"/>
  <c r="G66" i="2"/>
  <c r="G48" i="8"/>
  <c r="G39" i="8"/>
  <c r="D117" i="6" s="1"/>
  <c r="D16" i="8"/>
  <c r="F14" i="8"/>
  <c r="H81" i="4" s="1"/>
  <c r="E14" i="8"/>
  <c r="K10" i="8"/>
  <c r="K9" i="8"/>
  <c r="K11" i="8" s="1"/>
  <c r="F8" i="8"/>
  <c r="E8" i="8"/>
  <c r="D72" i="7" a="1"/>
  <c r="D72" i="7" s="1"/>
  <c r="C72" i="7" a="1"/>
  <c r="C72" i="7" s="1"/>
  <c r="E55" i="7" a="1"/>
  <c r="E55" i="7" s="1"/>
  <c r="D55" i="7" a="1"/>
  <c r="D55" i="7" s="1"/>
  <c r="C55" i="7" a="1"/>
  <c r="C55" i="7" s="1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N134" i="6"/>
  <c r="N137" i="6" s="1"/>
  <c r="M162" i="6" s="1"/>
  <c r="M121" i="6"/>
  <c r="M122" i="6" s="1"/>
  <c r="M161" i="6" s="1"/>
  <c r="G65" i="5"/>
  <c r="G64" i="5"/>
  <c r="G61" i="5"/>
  <c r="G60" i="5"/>
  <c r="K55" i="5"/>
  <c r="G55" i="5"/>
  <c r="K53" i="5"/>
  <c r="G51" i="5"/>
  <c r="K48" i="5"/>
  <c r="G47" i="5"/>
  <c r="K46" i="5"/>
  <c r="G46" i="5"/>
  <c r="G45" i="5"/>
  <c r="G44" i="5"/>
  <c r="K43" i="5"/>
  <c r="E112" i="4"/>
  <c r="M112" i="4" s="1" a="1"/>
  <c r="M112" i="4" s="1"/>
  <c r="K90" i="4"/>
  <c r="E90" i="4"/>
  <c r="G82" i="4"/>
  <c r="G64" i="2"/>
  <c r="G53" i="2"/>
  <c r="K52" i="2"/>
  <c r="E121" i="6"/>
  <c r="N100" i="6"/>
  <c r="N99" i="6"/>
  <c r="N101" i="6" s="1"/>
  <c r="N94" i="6"/>
  <c r="M92" i="6"/>
  <c r="N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59" i="6"/>
  <c r="H58" i="6"/>
  <c r="H57" i="6"/>
  <c r="H56" i="6"/>
  <c r="H74" i="5"/>
  <c r="E67" i="5"/>
  <c r="F221" i="5" s="1"/>
  <c r="K66" i="5"/>
  <c r="G66" i="5"/>
  <c r="K65" i="5"/>
  <c r="G63" i="5"/>
  <c r="K58" i="5"/>
  <c r="K57" i="5"/>
  <c r="K56" i="5"/>
  <c r="K54" i="5"/>
  <c r="G54" i="5"/>
  <c r="K49" i="5"/>
  <c r="K47" i="5"/>
  <c r="L75" i="4"/>
  <c r="K105" i="2"/>
  <c r="C55" i="2"/>
  <c r="K54" i="2"/>
  <c r="K53" i="2"/>
  <c r="G41" i="2"/>
  <c r="H55" i="6"/>
  <c r="N54" i="6"/>
  <c r="H54" i="6"/>
  <c r="N53" i="6"/>
  <c r="H53" i="6"/>
  <c r="N52" i="6"/>
  <c r="H52" i="6"/>
  <c r="N51" i="6"/>
  <c r="H51" i="6"/>
  <c r="N50" i="6"/>
  <c r="H50" i="6"/>
  <c r="N49" i="6"/>
  <c r="H49" i="6"/>
  <c r="N48" i="6"/>
  <c r="H48" i="6"/>
  <c r="N47" i="6"/>
  <c r="H47" i="6"/>
  <c r="N46" i="6"/>
  <c r="H46" i="6"/>
  <c r="N45" i="6"/>
  <c r="H45" i="6"/>
  <c r="N44" i="6"/>
  <c r="H44" i="6"/>
  <c r="N43" i="6"/>
  <c r="H43" i="6"/>
  <c r="N42" i="6"/>
  <c r="H42" i="6"/>
  <c r="N41" i="6"/>
  <c r="H41" i="6"/>
  <c r="N36" i="6"/>
  <c r="H35" i="6"/>
  <c r="H34" i="6"/>
  <c r="H33" i="6"/>
  <c r="H32" i="6"/>
  <c r="H31" i="6"/>
  <c r="H30" i="6"/>
  <c r="H29" i="6"/>
  <c r="H28" i="6"/>
  <c r="H27" i="6"/>
  <c r="H26" i="6"/>
  <c r="H25" i="6"/>
  <c r="D221" i="5"/>
  <c r="C221" i="5"/>
  <c r="F111" i="5"/>
  <c r="M111" i="5" s="1" a="1"/>
  <c r="M111" i="5" s="1"/>
  <c r="K90" i="5"/>
  <c r="K89" i="5"/>
  <c r="K91" i="5" s="1"/>
  <c r="M84" i="5"/>
  <c r="L82" i="5"/>
  <c r="M76" i="5"/>
  <c r="H75" i="5"/>
  <c r="H73" i="5"/>
  <c r="H72" i="5"/>
  <c r="G62" i="5"/>
  <c r="K60" i="5"/>
  <c r="G50" i="5"/>
  <c r="K45" i="5"/>
  <c r="K44" i="5"/>
  <c r="G43" i="5"/>
  <c r="E38" i="5"/>
  <c r="E221" i="5" s="1"/>
  <c r="M118" i="4"/>
  <c r="L82" i="4"/>
  <c r="F125" i="5"/>
  <c r="F124" i="5"/>
  <c r="M124" i="5" s="1"/>
  <c r="M127" i="5" s="1"/>
  <c r="L223" i="5" s="1"/>
  <c r="M112" i="5"/>
  <c r="L222" i="5" s="1"/>
  <c r="K64" i="5"/>
  <c r="K63" i="5"/>
  <c r="K62" i="5"/>
  <c r="K61" i="5"/>
  <c r="K59" i="5"/>
  <c r="G59" i="5"/>
  <c r="G58" i="5"/>
  <c r="G57" i="5"/>
  <c r="G56" i="5"/>
  <c r="G53" i="5"/>
  <c r="K52" i="5"/>
  <c r="K51" i="5"/>
  <c r="K50" i="5"/>
  <c r="G49" i="5"/>
  <c r="G48" i="5"/>
  <c r="M84" i="4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38" i="5" s="1"/>
  <c r="E227" i="4"/>
  <c r="D227" i="4"/>
  <c r="C227" i="4"/>
  <c r="M130" i="4"/>
  <c r="M133" i="4" s="1"/>
  <c r="L229" i="4" s="1"/>
  <c r="E103" i="4"/>
  <c r="M103" i="4" s="1" a="1"/>
  <c r="M103" i="4" s="1"/>
  <c r="M109" i="4" s="1"/>
  <c r="K89" i="4"/>
  <c r="E89" i="4"/>
  <c r="K93" i="2"/>
  <c r="K63" i="2"/>
  <c r="G75" i="4"/>
  <c r="M74" i="4"/>
  <c r="H74" i="4"/>
  <c r="M73" i="4"/>
  <c r="H73" i="4"/>
  <c r="M72" i="4"/>
  <c r="M76" i="4" s="1"/>
  <c r="H72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37" i="4"/>
  <c r="K36" i="4"/>
  <c r="K35" i="4"/>
  <c r="K34" i="4"/>
  <c r="G54" i="1"/>
  <c r="F54" i="1" s="1"/>
  <c r="K81" i="2"/>
  <c r="K80" i="2"/>
  <c r="E55" i="2"/>
  <c r="H33" i="4"/>
  <c r="H32" i="4"/>
  <c r="H31" i="4"/>
  <c r="H30" i="4"/>
  <c r="H29" i="4"/>
  <c r="H28" i="4"/>
  <c r="J27" i="4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43" i="4" s="1"/>
  <c r="J44" i="4" s="1"/>
  <c r="J45" i="4" s="1"/>
  <c r="J46" i="4" s="1"/>
  <c r="J47" i="4" s="1"/>
  <c r="H27" i="4"/>
  <c r="H26" i="4"/>
  <c r="H25" i="4"/>
  <c r="K118" i="3"/>
  <c r="K121" i="3" s="1"/>
  <c r="J203" i="3" s="1"/>
  <c r="K106" i="3"/>
  <c r="K105" i="3"/>
  <c r="K93" i="3"/>
  <c r="K92" i="3"/>
  <c r="K91" i="3"/>
  <c r="D55" i="1" a="1"/>
  <c r="D55" i="1" s="1"/>
  <c r="K79" i="2"/>
  <c r="C72" i="2"/>
  <c r="K70" i="2"/>
  <c r="G70" i="2"/>
  <c r="G65" i="2"/>
  <c r="G52" i="2"/>
  <c r="D72" i="3" a="1"/>
  <c r="D72" i="3" s="1"/>
  <c r="C72" i="3" a="1"/>
  <c r="C72" i="3" s="1"/>
  <c r="H71" i="3"/>
  <c r="K71" i="3" s="1"/>
  <c r="H70" i="3"/>
  <c r="K70" i="3" s="1"/>
  <c r="H69" i="3"/>
  <c r="K69" i="3" s="1"/>
  <c r="H68" i="3"/>
  <c r="K68" i="3" s="1"/>
  <c r="H67" i="3"/>
  <c r="K67" i="3" s="1"/>
  <c r="H66" i="3"/>
  <c r="K66" i="3" s="1"/>
  <c r="H65" i="3"/>
  <c r="K65" i="3" s="1"/>
  <c r="H64" i="3"/>
  <c r="K64" i="3" s="1"/>
  <c r="H63" i="3"/>
  <c r="K63" i="3" s="1"/>
  <c r="H62" i="3"/>
  <c r="K62" i="3" s="1"/>
  <c r="E55" i="3" a="1"/>
  <c r="E55" i="3" s="1"/>
  <c r="D55" i="3" a="1"/>
  <c r="D55" i="3" s="1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K120" i="1"/>
  <c r="K107" i="1"/>
  <c r="K106" i="1"/>
  <c r="K92" i="1"/>
  <c r="D72" i="1" a="1"/>
  <c r="D72" i="1" s="1"/>
  <c r="C72" i="1" a="1"/>
  <c r="C72" i="1" s="1"/>
  <c r="G71" i="1"/>
  <c r="G70" i="1"/>
  <c r="G69" i="1"/>
  <c r="G68" i="1"/>
  <c r="G67" i="1"/>
  <c r="G66" i="1"/>
  <c r="G65" i="1"/>
  <c r="G64" i="1"/>
  <c r="G63" i="1"/>
  <c r="G62" i="1"/>
  <c r="E55" i="1" a="1"/>
  <c r="E55" i="1" s="1"/>
  <c r="G53" i="1"/>
  <c r="F53" i="1" s="1"/>
  <c r="K118" i="2"/>
  <c r="G80" i="2"/>
  <c r="D72" i="2"/>
  <c r="G54" i="2"/>
  <c r="K43" i="2"/>
  <c r="C55" i="1" a="1"/>
  <c r="C55" i="1" s="1"/>
  <c r="G52" i="1"/>
  <c r="F52" i="1" s="1"/>
  <c r="K106" i="2"/>
  <c r="C202" i="2" s="1"/>
  <c r="K92" i="2"/>
  <c r="K91" i="2"/>
  <c r="C84" i="2"/>
  <c r="G71" i="2"/>
  <c r="G69" i="2"/>
  <c r="K67" i="2"/>
  <c r="K65" i="2"/>
  <c r="K64" i="2"/>
  <c r="K62" i="2"/>
  <c r="G46" i="2"/>
  <c r="K45" i="2"/>
  <c r="G45" i="2"/>
  <c r="K44" i="2"/>
  <c r="G44" i="2"/>
  <c r="G51" i="1"/>
  <c r="F51" i="1" s="1"/>
  <c r="G50" i="1"/>
  <c r="F50" i="1" s="1"/>
  <c r="G49" i="1"/>
  <c r="F49" i="1" s="1"/>
  <c r="G48" i="1"/>
  <c r="F48" i="1" s="1"/>
  <c r="G47" i="1"/>
  <c r="F47" i="1" s="1"/>
  <c r="G46" i="1"/>
  <c r="F46" i="1" s="1"/>
  <c r="G45" i="1"/>
  <c r="F45" i="1" s="1"/>
  <c r="G44" i="1"/>
  <c r="F44" i="1" s="1"/>
  <c r="G43" i="1"/>
  <c r="F43" i="1" s="1"/>
  <c r="G42" i="1"/>
  <c r="F42" i="1" s="1"/>
  <c r="G41" i="1"/>
  <c r="F41" i="1" s="1"/>
  <c r="K69" i="2"/>
  <c r="K68" i="2"/>
  <c r="K66" i="2"/>
  <c r="G63" i="2"/>
  <c r="D55" i="2"/>
  <c r="K49" i="2"/>
  <c r="G49" i="2"/>
  <c r="K48" i="2"/>
  <c r="G48" i="2"/>
  <c r="K47" i="2"/>
  <c r="G47" i="2"/>
  <c r="K46" i="2"/>
  <c r="G43" i="2"/>
  <c r="K42" i="2"/>
  <c r="G42" i="2"/>
  <c r="K41" i="2"/>
  <c r="K117" i="7"/>
  <c r="K120" i="7" s="1"/>
  <c r="J204" i="7" s="1"/>
  <c r="K121" i="2" l="1"/>
  <c r="J203" i="2" s="1"/>
  <c r="K123" i="1"/>
  <c r="J205" i="1" s="1"/>
  <c r="G25" i="7"/>
  <c r="K25" i="7"/>
  <c r="K27" i="7" s="1"/>
  <c r="K80" i="7"/>
  <c r="G80" i="7"/>
  <c r="K71" i="7"/>
  <c r="G71" i="7"/>
  <c r="G70" i="7"/>
  <c r="K70" i="7"/>
  <c r="K69" i="7"/>
  <c r="G69" i="7"/>
  <c r="K68" i="7"/>
  <c r="G68" i="7"/>
  <c r="K67" i="7"/>
  <c r="G67" i="7"/>
  <c r="K66" i="7"/>
  <c r="G66" i="7"/>
  <c r="K65" i="7"/>
  <c r="G65" i="7"/>
  <c r="G64" i="7"/>
  <c r="K64" i="7"/>
  <c r="G63" i="7"/>
  <c r="K63" i="7"/>
  <c r="G62" i="7"/>
  <c r="K62" i="7"/>
  <c r="G82" i="7"/>
  <c r="K82" i="7"/>
  <c r="G90" i="7"/>
  <c r="K90" i="7"/>
  <c r="G89" i="7"/>
  <c r="K89" i="7"/>
  <c r="K105" i="7"/>
  <c r="J203" i="7" s="1"/>
  <c r="K94" i="3"/>
  <c r="K107" i="3"/>
  <c r="J202" i="3" s="1"/>
  <c r="G51" i="2"/>
  <c r="K51" i="2"/>
  <c r="L176" i="4"/>
  <c r="L178" i="4"/>
  <c r="L175" i="4"/>
  <c r="K27" i="1"/>
  <c r="K50" i="2"/>
  <c r="G50" i="2"/>
  <c r="K80" i="1"/>
  <c r="G80" i="1"/>
  <c r="G81" i="1"/>
  <c r="K81" i="1"/>
  <c r="K82" i="1"/>
  <c r="G82" i="1"/>
  <c r="G83" i="1"/>
  <c r="K83" i="1"/>
  <c r="K84" i="1" s="1"/>
  <c r="G79" i="1"/>
  <c r="K79" i="1"/>
  <c r="K93" i="1"/>
  <c r="F93" i="1"/>
  <c r="F91" i="1"/>
  <c r="K91" i="1"/>
  <c r="K94" i="1" s="1"/>
  <c r="K27" i="2"/>
  <c r="G68" i="3"/>
  <c r="G67" i="3"/>
  <c r="K94" i="2"/>
  <c r="K84" i="2"/>
  <c r="G62" i="3"/>
  <c r="C204" i="1"/>
  <c r="C203" i="7"/>
  <c r="K72" i="3"/>
  <c r="G66" i="3"/>
  <c r="E16" i="8"/>
  <c r="F16" i="8"/>
  <c r="H83" i="4" s="1"/>
  <c r="L81" i="4"/>
  <c r="G81" i="4"/>
  <c r="H81" i="5"/>
  <c r="H91" i="6"/>
  <c r="K54" i="7"/>
  <c r="G54" i="7"/>
  <c r="K53" i="7"/>
  <c r="G53" i="7"/>
  <c r="K52" i="7"/>
  <c r="G52" i="7"/>
  <c r="K51" i="7"/>
  <c r="G51" i="7"/>
  <c r="K50" i="7"/>
  <c r="G50" i="7"/>
  <c r="K49" i="7"/>
  <c r="G49" i="7"/>
  <c r="K48" i="7"/>
  <c r="G48" i="7"/>
  <c r="K47" i="7"/>
  <c r="G47" i="7"/>
  <c r="K46" i="7"/>
  <c r="G46" i="7"/>
  <c r="K45" i="7"/>
  <c r="G45" i="7"/>
  <c r="K44" i="7"/>
  <c r="G44" i="7"/>
  <c r="K43" i="7"/>
  <c r="G43" i="7"/>
  <c r="K42" i="7"/>
  <c r="G42" i="7"/>
  <c r="K41" i="7"/>
  <c r="G41" i="7"/>
  <c r="G64" i="3"/>
  <c r="M85" i="6"/>
  <c r="G85" i="6"/>
  <c r="M84" i="6"/>
  <c r="G84" i="6"/>
  <c r="M83" i="6"/>
  <c r="G83" i="6"/>
  <c r="M82" i="6"/>
  <c r="G82" i="6"/>
  <c r="M81" i="6"/>
  <c r="G81" i="6"/>
  <c r="M80" i="6"/>
  <c r="G80" i="6"/>
  <c r="M79" i="6"/>
  <c r="G79" i="6"/>
  <c r="M78" i="6"/>
  <c r="G78" i="6"/>
  <c r="M77" i="6"/>
  <c r="G77" i="6"/>
  <c r="M76" i="6"/>
  <c r="G76" i="6"/>
  <c r="M75" i="6"/>
  <c r="G75" i="6"/>
  <c r="M74" i="6"/>
  <c r="G74" i="6"/>
  <c r="M73" i="6"/>
  <c r="G73" i="6"/>
  <c r="M72" i="6"/>
  <c r="G72" i="6"/>
  <c r="M71" i="6"/>
  <c r="G71" i="6"/>
  <c r="M70" i="6"/>
  <c r="G70" i="6"/>
  <c r="M69" i="6"/>
  <c r="G69" i="6"/>
  <c r="M68" i="6"/>
  <c r="G68" i="6"/>
  <c r="M67" i="6"/>
  <c r="G67" i="6"/>
  <c r="M66" i="6"/>
  <c r="G66" i="6"/>
  <c r="M65" i="6"/>
  <c r="G65" i="6"/>
  <c r="M59" i="6"/>
  <c r="G59" i="6"/>
  <c r="M58" i="6"/>
  <c r="G58" i="6"/>
  <c r="M57" i="6"/>
  <c r="G57" i="6"/>
  <c r="M56" i="6"/>
  <c r="G56" i="6"/>
  <c r="G74" i="5"/>
  <c r="L74" i="5"/>
  <c r="M55" i="6"/>
  <c r="G55" i="6"/>
  <c r="M54" i="6"/>
  <c r="G54" i="6"/>
  <c r="M53" i="6"/>
  <c r="G53" i="6"/>
  <c r="M52" i="6"/>
  <c r="G52" i="6"/>
  <c r="M51" i="6"/>
  <c r="G51" i="6"/>
  <c r="M50" i="6"/>
  <c r="G50" i="6"/>
  <c r="M49" i="6"/>
  <c r="G49" i="6"/>
  <c r="M48" i="6"/>
  <c r="G48" i="6"/>
  <c r="M47" i="6"/>
  <c r="G47" i="6"/>
  <c r="M46" i="6"/>
  <c r="G46" i="6"/>
  <c r="M45" i="6"/>
  <c r="G45" i="6"/>
  <c r="M44" i="6"/>
  <c r="G44" i="6"/>
  <c r="M43" i="6"/>
  <c r="G43" i="6"/>
  <c r="M42" i="6"/>
  <c r="G42" i="6"/>
  <c r="M41" i="6"/>
  <c r="G41" i="6"/>
  <c r="M35" i="6"/>
  <c r="G35" i="6"/>
  <c r="M34" i="6"/>
  <c r="G34" i="6"/>
  <c r="M33" i="6"/>
  <c r="G33" i="6"/>
  <c r="M32" i="6"/>
  <c r="G32" i="6"/>
  <c r="M31" i="6"/>
  <c r="G31" i="6"/>
  <c r="M30" i="6"/>
  <c r="G30" i="6"/>
  <c r="M29" i="6"/>
  <c r="G29" i="6"/>
  <c r="M28" i="6"/>
  <c r="G28" i="6"/>
  <c r="M27" i="6"/>
  <c r="G27" i="6"/>
  <c r="M26" i="6"/>
  <c r="G26" i="6"/>
  <c r="M25" i="6"/>
  <c r="M36" i="6" s="1"/>
  <c r="G25" i="6"/>
  <c r="L75" i="5"/>
  <c r="G75" i="5"/>
  <c r="L73" i="5"/>
  <c r="G73" i="5"/>
  <c r="L72" i="5"/>
  <c r="L76" i="5" s="1"/>
  <c r="G72" i="5"/>
  <c r="L74" i="4"/>
  <c r="G74" i="4"/>
  <c r="L73" i="4"/>
  <c r="G73" i="4"/>
  <c r="L72" i="4"/>
  <c r="L76" i="4" s="1"/>
  <c r="G72" i="4"/>
  <c r="K54" i="1"/>
  <c r="K33" i="4"/>
  <c r="G33" i="4"/>
  <c r="K32" i="4"/>
  <c r="G32" i="4"/>
  <c r="K31" i="4"/>
  <c r="G31" i="4"/>
  <c r="K30" i="4"/>
  <c r="G30" i="4"/>
  <c r="K29" i="4"/>
  <c r="G29" i="4"/>
  <c r="K28" i="4"/>
  <c r="G28" i="4"/>
  <c r="J48" i="4"/>
  <c r="J49" i="4" s="1"/>
  <c r="J50" i="4" s="1"/>
  <c r="J51" i="4" s="1"/>
  <c r="J52" i="4"/>
  <c r="J53" i="4" s="1"/>
  <c r="J54" i="4" s="1"/>
  <c r="J55" i="4" s="1"/>
  <c r="J56" i="4" s="1"/>
  <c r="J57" i="4" s="1"/>
  <c r="J58" i="4" s="1"/>
  <c r="J59" i="4" s="1"/>
  <c r="J60" i="4" s="1"/>
  <c r="J61" i="4" s="1"/>
  <c r="K27" i="4"/>
  <c r="G27" i="4"/>
  <c r="K26" i="4"/>
  <c r="G26" i="4"/>
  <c r="K25" i="4"/>
  <c r="K38" i="4" s="1"/>
  <c r="G25" i="4"/>
  <c r="G70" i="3"/>
  <c r="G65" i="3"/>
  <c r="K82" i="3"/>
  <c r="K81" i="3"/>
  <c r="K80" i="3"/>
  <c r="K79" i="3"/>
  <c r="K54" i="3"/>
  <c r="G54" i="3"/>
  <c r="K53" i="3"/>
  <c r="G53" i="3"/>
  <c r="K52" i="3"/>
  <c r="G52" i="3"/>
  <c r="K51" i="3"/>
  <c r="G51" i="3"/>
  <c r="K50" i="3"/>
  <c r="G50" i="3"/>
  <c r="K49" i="3"/>
  <c r="G49" i="3"/>
  <c r="K48" i="3"/>
  <c r="G48" i="3"/>
  <c r="K47" i="3"/>
  <c r="G47" i="3"/>
  <c r="K46" i="3"/>
  <c r="G46" i="3"/>
  <c r="K45" i="3"/>
  <c r="G45" i="3"/>
  <c r="K44" i="3"/>
  <c r="G44" i="3"/>
  <c r="K43" i="3"/>
  <c r="G43" i="3"/>
  <c r="K42" i="3"/>
  <c r="G42" i="3"/>
  <c r="K41" i="3"/>
  <c r="G41" i="3"/>
  <c r="K71" i="1"/>
  <c r="F71" i="1"/>
  <c r="K70" i="1"/>
  <c r="F70" i="1"/>
  <c r="K69" i="1"/>
  <c r="F69" i="1"/>
  <c r="K68" i="1"/>
  <c r="F68" i="1"/>
  <c r="K67" i="1"/>
  <c r="F67" i="1"/>
  <c r="K66" i="1"/>
  <c r="F66" i="1"/>
  <c r="K65" i="1"/>
  <c r="F65" i="1"/>
  <c r="K64" i="1"/>
  <c r="F64" i="1"/>
  <c r="K63" i="1"/>
  <c r="F63" i="1"/>
  <c r="K62" i="1"/>
  <c r="F62" i="1"/>
  <c r="K53" i="1"/>
  <c r="K52" i="1"/>
  <c r="G71" i="3"/>
  <c r="G69" i="3"/>
  <c r="K51" i="1"/>
  <c r="K50" i="1"/>
  <c r="K49" i="1"/>
  <c r="K48" i="1"/>
  <c r="K47" i="1"/>
  <c r="K46" i="1"/>
  <c r="K45" i="1"/>
  <c r="K44" i="1"/>
  <c r="K43" i="1"/>
  <c r="K42" i="1"/>
  <c r="K41" i="1"/>
  <c r="G63" i="3"/>
  <c r="K67" i="5"/>
  <c r="K107" i="2"/>
  <c r="J202" i="2" s="1"/>
  <c r="N60" i="6"/>
  <c r="M163" i="6" s="1"/>
  <c r="K91" i="4"/>
  <c r="L230" i="4"/>
  <c r="C202" i="3"/>
  <c r="K108" i="1"/>
  <c r="J204" i="1" s="1"/>
  <c r="K67" i="4"/>
  <c r="K72" i="2"/>
  <c r="K55" i="2" l="1"/>
  <c r="J201" i="2"/>
  <c r="J204" i="2" s="1"/>
  <c r="J203" i="1"/>
  <c r="K72" i="7"/>
  <c r="K92" i="7"/>
  <c r="M86" i="6"/>
  <c r="H83" i="5"/>
  <c r="H93" i="6"/>
  <c r="G83" i="4"/>
  <c r="L83" i="4"/>
  <c r="L84" i="4" s="1"/>
  <c r="L227" i="4" s="1"/>
  <c r="L231" i="4" s="1"/>
  <c r="L81" i="5"/>
  <c r="G81" i="5"/>
  <c r="M91" i="6"/>
  <c r="G91" i="6"/>
  <c r="J62" i="4"/>
  <c r="K72" i="4"/>
  <c r="M60" i="6"/>
  <c r="K55" i="7"/>
  <c r="K55" i="3"/>
  <c r="K72" i="1"/>
  <c r="K55" i="1"/>
  <c r="J205" i="7" l="1"/>
  <c r="J204" i="3"/>
  <c r="J206" i="1"/>
  <c r="L83" i="5"/>
  <c r="L84" i="5" s="1"/>
  <c r="L221" i="5" s="1"/>
  <c r="G83" i="5"/>
  <c r="M93" i="6"/>
  <c r="M94" i="6" s="1"/>
  <c r="M160" i="6" s="1"/>
  <c r="G93" i="6"/>
  <c r="J63" i="4"/>
  <c r="K73" i="4"/>
  <c r="M166" i="6" l="1"/>
  <c r="M167" i="6"/>
  <c r="J164" i="6"/>
  <c r="J64" i="4"/>
  <c r="K74" i="4"/>
  <c r="J65" i="4" l="1"/>
  <c r="J66" i="4" s="1"/>
  <c r="K75" i="4"/>
</calcChain>
</file>

<file path=xl/sharedStrings.xml><?xml version="1.0" encoding="utf-8"?>
<sst xmlns="http://schemas.openxmlformats.org/spreadsheetml/2006/main" count="2183" uniqueCount="679">
  <si>
    <t>Contact Safespring</t>
  </si>
  <si>
    <t>Currency</t>
  </si>
  <si>
    <t>Call us: +46 8-55 10 73 56</t>
  </si>
  <si>
    <t>hello@safespring.com</t>
  </si>
  <si>
    <r>
      <rPr>
        <sz val="48"/>
        <color theme="8"/>
        <rFont val="Hind Light"/>
      </rPr>
      <t xml:space="preserve">Safespring Compute </t>
    </r>
    <r>
      <rPr>
        <sz val="48"/>
        <color theme="4"/>
        <rFont val="Hind Light"/>
      </rPr>
      <t>| IaaS</t>
    </r>
  </si>
  <si>
    <t>Infrastructure as a service can run on an open source license or with a Windows license.</t>
  </si>
  <si>
    <t>All prices are in EUR, excluding VAT.</t>
  </si>
  <si>
    <r>
      <rPr>
        <sz val="11"/>
        <color theme="1"/>
        <rFont val="Montserrat Medium"/>
      </rPr>
      <t xml:space="preserve">Instructions: </t>
    </r>
    <r>
      <rPr>
        <sz val="11"/>
        <color theme="1"/>
        <rFont val="Montserrat Light"/>
      </rPr>
      <t>Fill in the desired quantity in the colored fields.</t>
    </r>
  </si>
  <si>
    <t>Flavors with local NVMe storage</t>
  </si>
  <si>
    <r>
      <rPr>
        <sz val="9"/>
        <color theme="1"/>
        <rFont val="Montserrat Light"/>
      </rPr>
      <t>Central block storage can be purchased for the instances. See "</t>
    </r>
    <r>
      <rPr>
        <sz val="9"/>
        <color theme="5"/>
        <rFont val="Montserrat SemiBold"/>
      </rPr>
      <t>Central block storage</t>
    </r>
    <r>
      <rPr>
        <sz val="9"/>
        <color theme="1"/>
        <rFont val="Montserrat Light"/>
      </rPr>
      <t>" in the price list.</t>
    </r>
  </si>
  <si>
    <t>Product ID</t>
  </si>
  <si>
    <t>vCPU</t>
  </si>
  <si>
    <t>RAM (GB)</t>
  </si>
  <si>
    <t>Hourly</t>
  </si>
  <si>
    <t>30 days</t>
  </si>
  <si>
    <t>Amount</t>
  </si>
  <si>
    <t>Infrastructure</t>
  </si>
  <si>
    <t>Total</t>
  </si>
  <si>
    <t>Flavors without local storage</t>
  </si>
  <si>
    <t>N/A</t>
  </si>
  <si>
    <t>Flavors with GPU</t>
  </si>
  <si>
    <t>Central block storage provides three copies of the data distributed in a robust CEPH cluster.</t>
  </si>
  <si>
    <t>Produkt ID</t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</si>
  <si>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l2.c4r16.125.gA2</t>
    </r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</si>
  <si>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l2.c8r32.250.gA2</t>
    </r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</si>
  <si>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b2.c4r8.gA2</t>
    </r>
  </si>
  <si>
    <t>Totalt</t>
  </si>
  <si>
    <t>CPU (p) core</t>
  </si>
  <si>
    <t>NVME (GB)</t>
  </si>
  <si>
    <t>GPU</t>
  </si>
  <si>
    <t>Per timme</t>
  </si>
  <si>
    <t>Per 30 dagar</t>
  </si>
  <si>
    <t>Antal instanser</t>
  </si>
  <si>
    <t>Infrastruktur</t>
  </si>
  <si>
    <t>Antal</t>
  </si>
  <si>
    <t>Central block storage</t>
  </si>
  <si>
    <t>Description</t>
  </si>
  <si>
    <t>Amount (GB)</t>
  </si>
  <si>
    <t>Storage</t>
  </si>
  <si>
    <r>
      <rPr>
        <sz val="10"/>
        <color theme="1" tint="0.39988402966399123"/>
        <rFont val="Montserrat Medium"/>
      </rPr>
      <t>VOLUME-</t>
    </r>
    <r>
      <rPr>
        <sz val="11"/>
        <color theme="1"/>
        <rFont val="Montserrat Medium"/>
      </rPr>
      <t>large</t>
    </r>
  </si>
  <si>
    <t>HDD-backed 3-replica Ceph</t>
  </si>
  <si>
    <r>
      <rPr>
        <sz val="10"/>
        <color theme="1" tint="0.39988402966399123"/>
        <rFont val="Montserrat Medium"/>
      </rPr>
      <t>VOLUME-</t>
    </r>
    <r>
      <rPr>
        <sz val="11"/>
        <color theme="1"/>
        <rFont val="Montserrat Medium"/>
      </rPr>
      <t>fast</t>
    </r>
  </si>
  <si>
    <t>SSD-backed 3-replica Ceph</t>
  </si>
  <si>
    <r>
      <rPr>
        <sz val="10"/>
        <color theme="1" tint="0.39988402966399123"/>
        <rFont val="Montserrat Medium"/>
      </rPr>
      <t>VOLUME-</t>
    </r>
    <r>
      <rPr>
        <sz val="11"/>
        <color theme="1"/>
        <rFont val="Montserrat Medium"/>
      </rPr>
      <t>snapshot</t>
    </r>
  </si>
  <si>
    <t>Snapshot of image</t>
  </si>
  <si>
    <r>
      <rPr>
        <sz val="48"/>
        <color theme="8"/>
        <rFont val="Hind Light"/>
      </rPr>
      <t xml:space="preserve">Safespring Storage </t>
    </r>
    <r>
      <rPr>
        <sz val="48"/>
        <color theme="4"/>
        <rFont val="Hind Light"/>
      </rPr>
      <t>| S3</t>
    </r>
  </si>
  <si>
    <t>Contact us for discounts on larger storage quantities. Pricing model based on the number of stored TB per month.</t>
  </si>
  <si>
    <t>Per TB for 30 days</t>
  </si>
  <si>
    <t>Amount (TB)</t>
  </si>
  <si>
    <r>
      <rPr>
        <sz val="10"/>
        <color theme="1" tint="0.39988402966399123"/>
        <rFont val="Montserrat Medium"/>
      </rPr>
      <t>S3</t>
    </r>
    <r>
      <rPr>
        <sz val="11"/>
        <color theme="1" tint="0.39988402966399123"/>
        <rFont val="Montserrat Medium"/>
      </rPr>
      <t>-</t>
    </r>
    <r>
      <rPr>
        <sz val="11"/>
        <color theme="3"/>
        <rFont val="Montserrat Medium"/>
      </rPr>
      <t>archive</t>
    </r>
  </si>
  <si>
    <r>
      <rPr>
        <sz val="10"/>
        <color theme="1" tint="0.39988402966399123"/>
        <rFont val="Montserrat Medium"/>
      </rPr>
      <t>S3-</t>
    </r>
    <r>
      <rPr>
        <sz val="11"/>
        <color theme="1"/>
        <rFont val="Montserrat Medium"/>
      </rPr>
      <t>storage</t>
    </r>
  </si>
  <si>
    <t>Antal TB</t>
  </si>
  <si>
    <t>S3-archive</t>
  </si>
  <si>
    <t>TB</t>
  </si>
  <si>
    <t>0 - 49</t>
  </si>
  <si>
    <t>50 - 99</t>
  </si>
  <si>
    <t>100 - 499</t>
  </si>
  <si>
    <t>500 - 999</t>
  </si>
  <si>
    <t xml:space="preserve">1000 - </t>
  </si>
  <si>
    <t xml:space="preserve">  Totalt</t>
  </si>
  <si>
    <r>
      <rPr>
        <sz val="48"/>
        <color theme="8"/>
        <rFont val="Hind Light"/>
      </rPr>
      <t xml:space="preserve">Safespring Backup </t>
    </r>
    <r>
      <rPr>
        <sz val="48"/>
        <color theme="4"/>
        <rFont val="Hind Light"/>
      </rPr>
      <t>| SP</t>
    </r>
  </si>
  <si>
    <t>Cloud backup solution for on-prem or cloud servers based on Spectrum Protect (TSM).</t>
  </si>
  <si>
    <t>Fixed monthly price</t>
  </si>
  <si>
    <t>Per GB / 30 days</t>
  </si>
  <si>
    <r>
      <rPr>
        <sz val="12"/>
        <color theme="4"/>
        <rFont val="Hind Light"/>
      </rPr>
      <t>Deduplication</t>
    </r>
    <r>
      <rPr>
        <sz val="14"/>
        <color theme="4"/>
        <rFont val="Hind Light"/>
      </rPr>
      <t xml:space="preserve"> </t>
    </r>
    <r>
      <rPr>
        <vertAlign val="superscript"/>
        <sz val="14"/>
        <color theme="6"/>
        <rFont val="Montserrat SemiBold"/>
      </rPr>
      <t xml:space="preserve"> </t>
    </r>
    <r>
      <rPr>
        <vertAlign val="superscript"/>
        <sz val="11"/>
        <color theme="6"/>
        <rFont val="Montserrat SemiBold"/>
      </rPr>
      <t>1</t>
    </r>
  </si>
  <si>
    <t>Backup</t>
  </si>
  <si>
    <r>
      <rPr>
        <sz val="10"/>
        <color theme="1" tint="0.39988402966399123"/>
        <rFont val="Montserrat Medium"/>
      </rPr>
      <t>BAAS-</t>
    </r>
    <r>
      <rPr>
        <sz val="11"/>
        <color theme="1"/>
        <rFont val="Montserrat Medium"/>
      </rPr>
      <t xml:space="preserve">on.demand </t>
    </r>
    <r>
      <rPr>
        <vertAlign val="superscript"/>
        <sz val="11"/>
        <color theme="6"/>
        <rFont val="Montserrat SemiBold"/>
      </rPr>
      <t>2</t>
    </r>
  </si>
  <si>
    <r>
      <rPr>
        <sz val="10"/>
        <color theme="1" tint="0.39988402966399123"/>
        <rFont val="Montserrat Medium"/>
      </rPr>
      <t>BAAS-</t>
    </r>
    <r>
      <rPr>
        <sz val="11"/>
        <color theme="1"/>
        <rFont val="Montserrat Medium"/>
      </rPr>
      <t xml:space="preserve">small </t>
    </r>
    <r>
      <rPr>
        <vertAlign val="superscript"/>
        <sz val="11"/>
        <color theme="6"/>
        <rFont val="Montserrat SemiBold"/>
      </rPr>
      <t>3</t>
    </r>
  </si>
  <si>
    <r>
      <rPr>
        <sz val="10"/>
        <color theme="1" tint="0.39988402966399123"/>
        <rFont val="Montserrat Medium"/>
      </rPr>
      <t>BAAS-</t>
    </r>
    <r>
      <rPr>
        <sz val="11"/>
        <color theme="1"/>
        <rFont val="Montserrat Medium"/>
      </rPr>
      <t xml:space="preserve">large </t>
    </r>
    <r>
      <rPr>
        <vertAlign val="superscript"/>
        <sz val="11"/>
        <color theme="6"/>
        <rFont val="Montserrat SemiBold"/>
      </rPr>
      <t>4</t>
    </r>
  </si>
  <si>
    <t>Pris</t>
  </si>
  <si>
    <t>Network and software</t>
  </si>
  <si>
    <t>Network</t>
  </si>
  <si>
    <t>Safespring offers several network services.</t>
  </si>
  <si>
    <t xml:space="preserve"> Type</t>
  </si>
  <si>
    <t>Billing per</t>
  </si>
  <si>
    <t>Monthly</t>
  </si>
  <si>
    <r>
      <rPr>
        <sz val="10"/>
        <color theme="1" tint="0.39988402966399123"/>
        <rFont val="Montserrat Medium"/>
      </rPr>
      <t>NET-</t>
    </r>
    <r>
      <rPr>
        <sz val="11"/>
        <color theme="1"/>
        <rFont val="Montserrat Medium"/>
      </rPr>
      <t>publicv4</t>
    </r>
  </si>
  <si>
    <t>IPv4</t>
  </si>
  <si>
    <t>Public</t>
  </si>
  <si>
    <t>IP-address</t>
  </si>
  <si>
    <r>
      <rPr>
        <sz val="10"/>
        <color theme="1" tint="0.39988402966399123"/>
        <rFont val="Montserrat Medium"/>
      </rPr>
      <t>NET-</t>
    </r>
    <r>
      <rPr>
        <sz val="11"/>
        <color theme="1"/>
        <rFont val="Montserrat Medium"/>
      </rPr>
      <t>publicv6</t>
    </r>
  </si>
  <si>
    <t>IPv6</t>
  </si>
  <si>
    <r>
      <rPr>
        <sz val="10"/>
        <color theme="1" tint="0.39988402966399123"/>
        <rFont val="Montserrat Medium"/>
      </rPr>
      <t>NET-</t>
    </r>
    <r>
      <rPr>
        <sz val="11"/>
        <color theme="1"/>
        <rFont val="Montserrat Medium"/>
      </rPr>
      <t>ingress</t>
    </r>
  </si>
  <si>
    <t>Data transfer</t>
  </si>
  <si>
    <t>GB</t>
  </si>
  <si>
    <r>
      <rPr>
        <sz val="10"/>
        <color theme="1" tint="0.39988402966399123"/>
        <rFont val="Montserrat Medium"/>
      </rPr>
      <t>NET-</t>
    </r>
    <r>
      <rPr>
        <sz val="11"/>
        <color theme="1"/>
        <rFont val="Montserrat Medium"/>
      </rPr>
      <t>egress</t>
    </r>
  </si>
  <si>
    <r>
      <rPr>
        <sz val="10"/>
        <color theme="1" tint="0.39988402966399123"/>
        <rFont val="Montserrat Medium"/>
      </rPr>
      <t>NET-</t>
    </r>
    <r>
      <rPr>
        <sz val="11"/>
        <color theme="1"/>
        <rFont val="Montserrat Medium"/>
      </rPr>
      <t>mgn.slb</t>
    </r>
  </si>
  <si>
    <t>Managed SLB (ElasticIP)</t>
  </si>
  <si>
    <t>Load balancers that require their own instances</t>
  </si>
  <si>
    <t>Instance</t>
  </si>
  <si>
    <r>
      <rPr>
        <sz val="10"/>
        <color theme="1" tint="0.39988402966399123"/>
        <rFont val="Montserrat Medium"/>
      </rPr>
      <t>NET-</t>
    </r>
    <r>
      <rPr>
        <sz val="11"/>
        <color theme="1"/>
        <rFont val="Montserrat Medium"/>
      </rPr>
      <t>rdns</t>
    </r>
  </si>
  <si>
    <t>Reverse DNS names</t>
  </si>
  <si>
    <r>
      <rPr>
        <sz val="10"/>
        <color theme="1" tint="0.39988402966399123"/>
        <rFont val="Montserrat Medium"/>
      </rPr>
      <t>NET-</t>
    </r>
    <r>
      <rPr>
        <sz val="11"/>
        <color theme="1"/>
        <rFont val="Montserrat Medium"/>
      </rPr>
      <t>byoip</t>
    </r>
  </si>
  <si>
    <t>Bring your own IP prefixes</t>
  </si>
  <si>
    <t>Software and licenses</t>
  </si>
  <si>
    <t>Safespring offers several software and licenses.</t>
  </si>
  <si>
    <r>
      <rPr>
        <sz val="10"/>
        <color theme="1" tint="0.39988402966399123"/>
        <rFont val="Montserrat Medium"/>
      </rPr>
      <t>SW-</t>
    </r>
    <r>
      <rPr>
        <sz val="11"/>
        <color theme="1"/>
        <rFont val="Montserrat Medium"/>
      </rPr>
      <t>win.ser.2022</t>
    </r>
  </si>
  <si>
    <t>Microsoft Windows Server</t>
  </si>
  <si>
    <r>
      <rPr>
        <sz val="10"/>
        <color theme="1" tint="0.39988402966399123"/>
        <rFont val="Montserrat Medium"/>
      </rPr>
      <t>SW-</t>
    </r>
    <r>
      <rPr>
        <sz val="11"/>
        <color theme="1"/>
        <rFont val="Montserrat Medium"/>
      </rPr>
      <t>ms.sql.ser</t>
    </r>
  </si>
  <si>
    <t>Microsoft SQL Server Standard</t>
  </si>
  <si>
    <r>
      <rPr>
        <sz val="10"/>
        <color theme="1" tint="0.39988402966399123"/>
        <rFont val="Montserrat Medium"/>
      </rPr>
      <t>SW-</t>
    </r>
    <r>
      <rPr>
        <sz val="11"/>
        <color theme="1"/>
        <rFont val="Montserrat Medium"/>
      </rPr>
      <t>ms.sql.ser.ent</t>
    </r>
  </si>
  <si>
    <t>Microsoft SQL Server Enterprise</t>
  </si>
  <si>
    <t>Platform services</t>
  </si>
  <si>
    <t>Managed PostgreSQL</t>
  </si>
  <si>
    <t>Managed MariaDB</t>
  </si>
  <si>
    <t>Managed Redis</t>
  </si>
  <si>
    <t>Support and consulting services</t>
  </si>
  <si>
    <t>Support applies to Safespring Compute, Safespring Storage and Safespring Backup.</t>
  </si>
  <si>
    <t>Support</t>
  </si>
  <si>
    <t>Safespring offers several support agreements.</t>
  </si>
  <si>
    <r>
      <rPr>
        <sz val="10"/>
        <color theme="1" tint="0.39988402966399123"/>
        <rFont val="Montserrat Medium"/>
      </rPr>
      <t>SUPPORT-</t>
    </r>
    <r>
      <rPr>
        <sz val="11"/>
        <color theme="1"/>
        <rFont val="Montserrat Medium"/>
      </rPr>
      <t>base</t>
    </r>
  </si>
  <si>
    <t>Support for Safespring's services</t>
  </si>
  <si>
    <r>
      <rPr>
        <sz val="10"/>
        <color theme="1" tint="0.39988402966399123"/>
        <rFont val="Montserrat Medium"/>
      </rPr>
      <t>SUPPORT-</t>
    </r>
    <r>
      <rPr>
        <sz val="11"/>
        <color theme="1"/>
        <rFont val="Montserrat Medium"/>
      </rPr>
      <t>premium</t>
    </r>
  </si>
  <si>
    <t>Dedicated Service Manager with quarterly operations meetings</t>
  </si>
  <si>
    <t>Hour</t>
  </si>
  <si>
    <t>Request a quote</t>
  </si>
  <si>
    <t>Consulting services</t>
  </si>
  <si>
    <t>Safespring offers several consulting services.</t>
  </si>
  <si>
    <r>
      <rPr>
        <sz val="10"/>
        <color theme="1" tint="0.39988402966399123"/>
        <rFont val="Montserrat Medium"/>
      </rPr>
      <t>PS-</t>
    </r>
    <r>
      <rPr>
        <sz val="11"/>
        <color theme="1"/>
        <rFont val="Montserrat Medium"/>
      </rPr>
      <t>consult.jun</t>
    </r>
  </si>
  <si>
    <t>Cloud Infrastructure Consultant, junior expertise level</t>
  </si>
  <si>
    <r>
      <rPr>
        <sz val="10"/>
        <color theme="1" tint="0.39988402966399123"/>
        <rFont val="Montserrat Medium"/>
      </rPr>
      <t>PS-</t>
    </r>
    <r>
      <rPr>
        <sz val="11"/>
        <color theme="1"/>
        <rFont val="Montserrat Medium"/>
      </rPr>
      <t>consult.sen</t>
    </r>
  </si>
  <si>
    <t>Cloud infrastructure Consultant, senior expertise level</t>
  </si>
  <si>
    <r>
      <rPr>
        <sz val="10"/>
        <color theme="1" tint="0.39988402966399123"/>
        <rFont val="Montserrat Medium"/>
      </rPr>
      <t>PS-</t>
    </r>
    <r>
      <rPr>
        <sz val="11"/>
        <color theme="1"/>
        <rFont val="Montserrat Medium"/>
      </rPr>
      <t>cloudarch.jun</t>
    </r>
  </si>
  <si>
    <t>Cloud Infrastructure Architect Consultant, junior expertise level</t>
  </si>
  <si>
    <r>
      <rPr>
        <sz val="10"/>
        <color theme="1" tint="0.39988402966399123"/>
        <rFont val="Montserrat Medium"/>
      </rPr>
      <t>PS-</t>
    </r>
    <r>
      <rPr>
        <sz val="11"/>
        <color theme="1"/>
        <rFont val="Montserrat Medium"/>
      </rPr>
      <t>cloudarch.sen</t>
    </r>
  </si>
  <si>
    <t>Cloud Infrastructure Architect Consultant, senior expertise level</t>
  </si>
  <si>
    <r>
      <rPr>
        <sz val="10"/>
        <color theme="1" tint="0.39988402966399123"/>
        <rFont val="Montserrat Medium"/>
      </rPr>
      <t>PS-</t>
    </r>
    <r>
      <rPr>
        <sz val="11"/>
        <color theme="1"/>
        <rFont val="Montserrat Medium"/>
      </rPr>
      <t>pm.jun</t>
    </r>
  </si>
  <si>
    <t>Project Manager, junior expertise level</t>
  </si>
  <si>
    <r>
      <rPr>
        <sz val="10"/>
        <color theme="1" tint="0.39988402966399123"/>
        <rFont val="Montserrat Medium"/>
      </rPr>
      <t>PS-</t>
    </r>
    <r>
      <rPr>
        <sz val="11"/>
        <color theme="1"/>
        <rFont val="Montserrat Medium"/>
      </rPr>
      <t>pm.sen</t>
    </r>
  </si>
  <si>
    <t>Project Manager, senior expertise level</t>
  </si>
  <si>
    <t>Duration</t>
  </si>
  <si>
    <t>Price</t>
  </si>
  <si>
    <t>Introduction to "infrastructure as a service"</t>
  </si>
  <si>
    <t>One day</t>
  </si>
  <si>
    <t>Occasion</t>
  </si>
  <si>
    <t>Four days</t>
  </si>
  <si>
    <t>Monthly cost</t>
  </si>
  <si>
    <t>Contact Safespring for a complete quote</t>
  </si>
  <si>
    <t>Phone: +46 8-55 10 73 56</t>
  </si>
  <si>
    <t>Product</t>
  </si>
  <si>
    <t>Safespring Compute</t>
  </si>
  <si>
    <t>Safespring Storage</t>
  </si>
  <si>
    <t>Safespring Backup</t>
  </si>
  <si>
    <r>
      <rPr>
        <sz val="10"/>
        <color theme="6"/>
        <rFont val="Montserrat SemiBold"/>
      </rPr>
      <t>1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>Deduplication is a data reduction done in the service. Depending on the data, it usually varies between 45% -90%</t>
    </r>
  </si>
  <si>
    <r>
      <rPr>
        <sz val="10"/>
        <color theme="6"/>
        <rFont val="Montserrat SemiBold"/>
      </rPr>
      <t xml:space="preserve">2 </t>
    </r>
    <r>
      <rPr>
        <i/>
        <sz val="10"/>
        <color theme="1"/>
        <rFont val="Montserrat Light"/>
      </rPr>
      <t>The price is per protected GB on the client.</t>
    </r>
  </si>
  <si>
    <t>Kontakta Safespring</t>
  </si>
  <si>
    <t>Valuta</t>
  </si>
  <si>
    <t>Telefon: 08-55 10 73 56</t>
  </si>
  <si>
    <r>
      <rPr>
        <sz val="48"/>
        <color theme="8"/>
        <rFont val="Hind Light"/>
      </rPr>
      <t>Safespring Compute</t>
    </r>
    <r>
      <rPr>
        <sz val="48"/>
        <color theme="8" tint="0.59987182226020086"/>
        <rFont val="Hind Light"/>
      </rPr>
      <t xml:space="preserve"> | IaaS</t>
    </r>
  </si>
  <si>
    <t>Infrastruktur kan köras med en Open Source-licens eller med en Windows-licens</t>
  </si>
  <si>
    <t>Alla priser är angivna i SEK, exklusive moms.</t>
  </si>
  <si>
    <r>
      <rPr>
        <sz val="11"/>
        <color theme="1"/>
        <rFont val="Montserrat Medium"/>
      </rPr>
      <t>Instruktioner:</t>
    </r>
    <r>
      <rPr>
        <sz val="11"/>
        <color theme="1"/>
        <rFont val="Montserrat Light"/>
      </rPr>
      <t xml:space="preserve"> Fyll i önskad kvantitet i de färgade fälten. </t>
    </r>
  </si>
  <si>
    <t>Flavors med lokal NVMe-disk</t>
  </si>
  <si>
    <t>Central blocklagring kan köpas till instanserna. Se "Central blocklagring" i prislistan.</t>
  </si>
  <si>
    <r>
      <rPr>
        <sz val="14"/>
        <color theme="4"/>
        <rFont val="Hind Light"/>
      </rPr>
      <t xml:space="preserve">RAM </t>
    </r>
    <r>
      <rPr>
        <sz val="11"/>
        <color theme="4"/>
        <rFont val="Hind Light"/>
      </rPr>
      <t>(GB)</t>
    </r>
  </si>
  <si>
    <r>
      <rPr>
        <sz val="14"/>
        <color theme="4"/>
        <rFont val="Hind Light"/>
      </rPr>
      <t xml:space="preserve">Lokal disk </t>
    </r>
    <r>
      <rPr>
        <sz val="11"/>
        <color theme="4"/>
        <rFont val="Hind Light"/>
      </rPr>
      <t>(GB)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</si>
  <si>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c2 r4. 100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</si>
  <si>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c2 r4. 500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</si>
  <si>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c2 r4. 1000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</si>
  <si>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c4 r8. 100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</si>
  <si>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c4 r8. 500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</si>
  <si>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c4 r8. 1000</t>
    </r>
  </si>
  <si>
    <r>
      <rPr>
        <sz val="10"/>
        <color theme="1" tint="0.39988402966399123"/>
        <rFont val="Montserrat Medium"/>
      </rPr>
      <t>FLAVOR</t>
    </r>
    <r>
      <rPr>
        <sz val="11"/>
        <color theme="1" tint="0.39988402966399123"/>
        <rFont val="Montserrat Medium"/>
      </rPr>
      <t>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c8 r16. 100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</si>
  <si>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c8 r16. 500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</si>
  <si>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c8 r16. 1000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</si>
  <si>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c16 r32. 100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</si>
  <si>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c16 r32. 500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</si>
  <si>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l2. </t>
    </r>
    <r>
      <rPr>
        <sz val="11"/>
        <color theme="3"/>
        <rFont val="Montserrat Medium"/>
      </rPr>
      <t>c16 r32. 1000</t>
    </r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</si>
  <si>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l2. c32 r64. 1000</t>
    </r>
  </si>
  <si>
    <t>Flavors utan lokal disk</t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</si>
  <si>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b2. c1 r2</t>
    </r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</si>
  <si>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b2. c1 r4</t>
    </r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</si>
  <si>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b2. c2 r4</t>
    </r>
  </si>
  <si>
    <r>
      <rPr>
        <sz val="10"/>
        <color theme="1" tint="0.39988402966399123"/>
        <rFont val="Montserrat Medium"/>
      </rPr>
      <t>FLAVOR-</t>
    </r>
    <r>
      <rPr>
        <sz val="11"/>
        <color theme="3"/>
        <rFont val="Montserrat Medium"/>
      </rPr>
      <t>b2. c2 r8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</si>
  <si>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>b2 .c4 r8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</si>
  <si>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b2. </t>
    </r>
    <r>
      <rPr>
        <sz val="11"/>
        <color theme="3"/>
        <rFont val="Montserrat Medium"/>
      </rPr>
      <t>c4 r16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</si>
  <si>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b2. </t>
    </r>
    <r>
      <rPr>
        <sz val="11"/>
        <color theme="3"/>
        <rFont val="Montserrat Medium"/>
      </rPr>
      <t>c8 r16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</si>
  <si>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b2. </t>
    </r>
    <r>
      <rPr>
        <sz val="11"/>
        <color theme="3"/>
        <rFont val="Montserrat Medium"/>
      </rPr>
      <t>c8 r32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</si>
  <si>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b2. </t>
    </r>
    <r>
      <rPr>
        <sz val="11"/>
        <color theme="3"/>
        <rFont val="Montserrat Medium"/>
      </rPr>
      <t>c16 r32</t>
    </r>
  </si>
  <si>
    <r>
      <rPr>
        <sz val="10"/>
        <color theme="1" tint="0.39988402966399123"/>
        <rFont val="Montserrat Medium"/>
      </rPr>
      <t>FLAVOR-</t>
    </r>
    <r>
      <rPr>
        <sz val="11"/>
        <color theme="1"/>
        <rFont val="Montserrat Medium"/>
      </rPr>
      <t xml:space="preserve">b2. </t>
    </r>
    <r>
      <rPr>
        <sz val="11"/>
        <color theme="3"/>
        <rFont val="Montserrat Medium"/>
      </rPr>
      <t>c16 r64</t>
    </r>
  </si>
  <si>
    <t>Flavors med GPU</t>
  </si>
  <si>
    <r>
      <rPr>
        <sz val="11"/>
        <color theme="1" tint="0.39988402966399123"/>
        <rFont val="Montserrat Medium"/>
      </rPr>
      <t>FLAVOR-</t>
    </r>
    <r>
      <rPr>
        <sz val="11"/>
        <color theme="3"/>
        <rFont val="Montserrat Medium"/>
      </rPr>
      <t>b2.c8r16.gA2</t>
    </r>
  </si>
  <si>
    <t>Central blocklagring</t>
  </si>
  <si>
    <t>Central blocklagring ger tre kopior av datat utspritt i ett robust CEPH-kluster.</t>
  </si>
  <si>
    <t>Beskrivning</t>
  </si>
  <si>
    <t>Extra GB</t>
  </si>
  <si>
    <t>Lagring</t>
  </si>
  <si>
    <r>
      <rPr>
        <sz val="48"/>
        <color theme="8"/>
        <rFont val="Hind Light"/>
      </rPr>
      <t xml:space="preserve">Safespring Storage </t>
    </r>
    <r>
      <rPr>
        <sz val="48"/>
        <color theme="8" tint="0.59987182226020086"/>
        <rFont val="Hind Light"/>
      </rPr>
      <t>| S3</t>
    </r>
  </si>
  <si>
    <t>Per TB i 30 dagar</t>
  </si>
  <si>
    <t>Anpassad för större lagringsvolymer över längre tid.</t>
  </si>
  <si>
    <t>Anpassad för applikationer som aktivt använder S3-protokollet.</t>
  </si>
  <si>
    <r>
      <rPr>
        <sz val="48"/>
        <color theme="8"/>
        <rFont val="Hind Light"/>
      </rPr>
      <t>Safespring Backup</t>
    </r>
    <r>
      <rPr>
        <sz val="48"/>
        <color theme="8" tint="0.59987182226020086"/>
        <rFont val="Hind Light"/>
      </rPr>
      <t xml:space="preserve"> | SP</t>
    </r>
  </si>
  <si>
    <t>Backup-lösning i cloud för lokala servrar eller molnservrar baserad på Spectrum Protect (TSM).</t>
  </si>
  <si>
    <t>Alla priser angivna i SEK, exklusive moms.</t>
  </si>
  <si>
    <r>
      <rPr>
        <sz val="11"/>
        <color theme="1"/>
        <rFont val="Montserrat Medium"/>
      </rPr>
      <t xml:space="preserve">Instruktioner: </t>
    </r>
    <r>
      <rPr>
        <sz val="11"/>
        <color theme="1"/>
        <rFont val="Montserrat Light"/>
      </rPr>
      <t xml:space="preserve">Fyll i önskad kvantitet i de färgade fälten. </t>
    </r>
  </si>
  <si>
    <t>Fast månadspris</t>
  </si>
  <si>
    <t>Per GB i 30 dagar</t>
  </si>
  <si>
    <t>Antal GB</t>
  </si>
  <si>
    <r>
      <rPr>
        <sz val="14"/>
        <color theme="4"/>
        <rFont val="Hind Light"/>
      </rPr>
      <t>Deduplicering</t>
    </r>
    <r>
      <rPr>
        <vertAlign val="superscript"/>
        <sz val="14"/>
        <color theme="6"/>
        <rFont val="Montserrat SemiBold"/>
      </rPr>
      <t xml:space="preserve"> </t>
    </r>
    <r>
      <rPr>
        <vertAlign val="superscript"/>
        <sz val="11"/>
        <color theme="6"/>
        <rFont val="Montserrat SemiBold"/>
      </rPr>
      <t>1</t>
    </r>
  </si>
  <si>
    <t>Nätverk och programvara</t>
  </si>
  <si>
    <t>Nätverk</t>
  </si>
  <si>
    <t>Safespring erbjuder flera nätverkstjänster.</t>
  </si>
  <si>
    <t xml:space="preserve"> Typ</t>
  </si>
  <si>
    <t>Debitering per</t>
  </si>
  <si>
    <t>Per månad</t>
  </si>
  <si>
    <t>Publik</t>
  </si>
  <si>
    <t>IP-adress</t>
  </si>
  <si>
    <t>Datatrafik</t>
  </si>
  <si>
    <t>Lastbalanserare som kräver egna instanser</t>
  </si>
  <si>
    <t xml:space="preserve">Instans </t>
  </si>
  <si>
    <t>Programvara och licenser</t>
  </si>
  <si>
    <t>Safespring erbjuder flera programvaror och licenser.</t>
  </si>
  <si>
    <t>Partnertjänster</t>
  </si>
  <si>
    <t xml:space="preserve">Safespring erbjuder flera tjänster via våra partners. </t>
  </si>
  <si>
    <t>Begär offert</t>
  </si>
  <si>
    <t>Support och konsulttjänster</t>
  </si>
  <si>
    <t>Support gäller för Safespring Compute, Safespring Storage och Safespring Backup.</t>
  </si>
  <si>
    <t>Safespring erbjuder flera supportavtal.</t>
  </si>
  <si>
    <t>Support för Safesprings tjänster</t>
  </si>
  <si>
    <t>Dedikerad servicechef med kvartalsvisa driftsmöten</t>
  </si>
  <si>
    <t>Timme</t>
  </si>
  <si>
    <t>Konsulttjänster</t>
  </si>
  <si>
    <t>Safespring erbjuder flera konsulttjänster.</t>
  </si>
  <si>
    <t>En dag</t>
  </si>
  <si>
    <t>Fyra dagar</t>
  </si>
  <si>
    <t>Månadskostnad</t>
  </si>
  <si>
    <t xml:space="preserve"> Kontakta Safespring för en fullständig offert</t>
  </si>
  <si>
    <t>Produkt</t>
  </si>
  <si>
    <r>
      <rPr>
        <sz val="10"/>
        <color theme="6"/>
        <rFont val="Montserrat SemiBold"/>
      </rPr>
      <t>1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>Dedup är en datareduktion som görs i tjänsten. Beroende på data varierar det normalt mellan 45 % - 90 %.</t>
    </r>
  </si>
  <si>
    <r>
      <rPr>
        <sz val="10"/>
        <color theme="6"/>
        <rFont val="Montserrat SemiBold"/>
      </rPr>
      <t xml:space="preserve">2 </t>
    </r>
    <r>
      <rPr>
        <i/>
        <sz val="10"/>
        <color theme="1"/>
        <rFont val="Montserrat Light"/>
      </rPr>
      <t xml:space="preserve">Priset är per skyddad GB på klienten. </t>
    </r>
  </si>
  <si>
    <r>
      <rPr>
        <sz val="10"/>
        <color theme="6"/>
        <rFont val="Montserrat SemiBold"/>
      </rPr>
      <t>3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 xml:space="preserve">Priset är per lagrad GB i tjänsten efter deduplicering och komprimering. Det ingår 1 000 GB i det fasta månadspriset. </t>
    </r>
  </si>
  <si>
    <r>
      <rPr>
        <sz val="10"/>
        <color theme="6"/>
        <rFont val="Montserrat SemiBold"/>
      </rPr>
      <t>4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 xml:space="preserve">Priset är per lagrad GB i tjänsten efter deduplicering och komprimering. </t>
    </r>
  </si>
  <si>
    <t>Kontakt Safespring</t>
  </si>
  <si>
    <t>Telefon: +47 35 68 88 70</t>
  </si>
  <si>
    <t>Infrastruktur kan kjøres med en Open Source-lisens eller med en Windows-lisens.</t>
  </si>
  <si>
    <t>Alle priser er oppgitt i NOK, eks mva.</t>
  </si>
  <si>
    <r>
      <rPr>
        <sz val="11"/>
        <color theme="1"/>
        <rFont val="Montserrat Medium"/>
      </rPr>
      <t xml:space="preserve">Instruksjoner: </t>
    </r>
    <r>
      <rPr>
        <sz val="11"/>
        <color theme="1"/>
        <rFont val="Montserrat Light"/>
      </rPr>
      <t>Angi ønsket antall i de fargede feltene.</t>
    </r>
  </si>
  <si>
    <t>Per time</t>
  </si>
  <si>
    <t>Per 30 dager</t>
  </si>
  <si>
    <t>Antall</t>
  </si>
  <si>
    <t>Sentral blokklagring gir tre kopier av dataene distribuert i en robust CEPH-klynge.</t>
  </si>
  <si>
    <t>Sentral blokklagring</t>
  </si>
  <si>
    <t>Beskrivelse</t>
  </si>
  <si>
    <t>Antall (GB)</t>
  </si>
  <si>
    <t>Kontakt oss for rabatter på større lagringsmengder. Prismodell basert på antall lagrede TB per måned.</t>
  </si>
  <si>
    <t>Alle priser er oppgitt i NOK, eks mva</t>
  </si>
  <si>
    <t>Per TB i 30 dager</t>
  </si>
  <si>
    <t>Antall (TB)</t>
  </si>
  <si>
    <t>Cloud backup-løsning for on-prem eller skyservere basert på Spectrum Protect (TSM).</t>
  </si>
  <si>
    <t>Fast månedlig pris</t>
  </si>
  <si>
    <t>Per GB i 30 dager</t>
  </si>
  <si>
    <r>
      <rPr>
        <sz val="14"/>
        <color theme="4"/>
        <rFont val="Hind Light"/>
      </rPr>
      <t>Deduplisering</t>
    </r>
    <r>
      <rPr>
        <vertAlign val="superscript"/>
        <sz val="14"/>
        <color theme="6"/>
        <rFont val="Montserrat SemiBold"/>
      </rPr>
      <t xml:space="preserve"> </t>
    </r>
    <r>
      <rPr>
        <vertAlign val="superscript"/>
        <sz val="11"/>
        <color theme="6"/>
        <rFont val="Montserrat SemiBold"/>
      </rPr>
      <t>1</t>
    </r>
  </si>
  <si>
    <t>Nettverk og programvare</t>
  </si>
  <si>
    <t>Nettverk</t>
  </si>
  <si>
    <t>Safespring tilbyr flere nettverkstjenester.</t>
  </si>
  <si>
    <t>Type</t>
  </si>
  <si>
    <t>Fakturering pr</t>
  </si>
  <si>
    <t>Per måned</t>
  </si>
  <si>
    <t>Datatrafikk</t>
  </si>
  <si>
    <t>Lastbalansere som krever egne instanser</t>
  </si>
  <si>
    <t>Tilbud</t>
  </si>
  <si>
    <t>Programvare og lisenser</t>
  </si>
  <si>
    <t>Safespring tilbyr flere programvarer og lisenser.</t>
  </si>
  <si>
    <t>Support og konsulenttjenester</t>
  </si>
  <si>
    <t>Support gjelder Safespring Compute, Safespring Storage og Safespring Backup.</t>
  </si>
  <si>
    <t>Safespring tilbyr flere support-avtaler.</t>
  </si>
  <si>
    <t>Support til Safesprings tjenester</t>
  </si>
  <si>
    <t>Dedikert servicesjef med kvartalsvise driftsmøter</t>
  </si>
  <si>
    <t>Konsulttjenester</t>
  </si>
  <si>
    <t>Safespring tilbyr flere konsulttjenester.</t>
  </si>
  <si>
    <t>Utdanninger</t>
  </si>
  <si>
    <t>Moderne DevOps og "microservices"</t>
  </si>
  <si>
    <t>Månedlig kostnad</t>
  </si>
  <si>
    <t>Kontakt Safespring for et komplett tilbud</t>
  </si>
  <si>
    <t>Telefon: 35 68 88 70</t>
  </si>
  <si>
    <r>
      <rPr>
        <sz val="10"/>
        <color theme="6"/>
        <rFont val="Montserrat SemiBold"/>
      </rPr>
      <t>1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>Dedup er en datareduksjon gjort i tjenesten. Avhengig av dataene varierer det normalt mellom 45 % - 90 %</t>
    </r>
  </si>
  <si>
    <r>
      <rPr>
        <sz val="10"/>
        <color theme="6"/>
        <rFont val="Montserrat SemiBold"/>
      </rPr>
      <t xml:space="preserve">2 </t>
    </r>
    <r>
      <rPr>
        <i/>
        <sz val="10"/>
        <color theme="1"/>
        <rFont val="Montserrat Light"/>
      </rPr>
      <t>Prisen er per beskyttet GB på klienten.</t>
    </r>
  </si>
  <si>
    <r>
      <rPr>
        <sz val="10"/>
        <color theme="6"/>
        <rFont val="Montserrat SemiBold"/>
      </rPr>
      <t>3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>Prisen er per lagret GB i tjenesten etter deduplisering og komprimering. 1000 GB er inkludert i den faste månedsprisen.</t>
    </r>
  </si>
  <si>
    <r>
      <rPr>
        <sz val="10"/>
        <color theme="6"/>
        <rFont val="Montserrat SemiBold"/>
      </rPr>
      <t>4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>Prisen er per lagret GB i tjenesten etter deduplisering og komprimering.</t>
    </r>
  </si>
  <si>
    <t>Price calculator 2022-01-04</t>
  </si>
  <si>
    <t>Phone: +46 855 10 73 56</t>
  </si>
  <si>
    <t>sales@safespring.com</t>
  </si>
  <si>
    <t>Infrastructure as a service can run on a open source license or with a Windows license.</t>
  </si>
  <si>
    <r>
      <rPr>
        <sz val="11"/>
        <color theme="1"/>
        <rFont val="Montserrat Medium"/>
      </rPr>
      <t>Instructions:</t>
    </r>
    <r>
      <rPr>
        <sz val="11"/>
        <color theme="1"/>
        <rFont val="Montserrat Light"/>
      </rPr>
      <t xml:space="preserve"> Enter the desired amount in the colored fields</t>
    </r>
  </si>
  <si>
    <t>Instances with central block storage</t>
  </si>
  <si>
    <t>Storage (GB)</t>
  </si>
  <si>
    <t>Monthly (30 days)</t>
  </si>
  <si>
    <t>Instances</t>
  </si>
  <si>
    <t>INSTANCE-b.tiny</t>
  </si>
  <si>
    <t>INSTANCE-b.small</t>
  </si>
  <si>
    <t>INSTANCE-b.medium</t>
  </si>
  <si>
    <t>INSTANCE-b.large</t>
  </si>
  <si>
    <t>INSTANCE-b.xlarge</t>
  </si>
  <si>
    <t>INSTANCE-b.2xlarge</t>
  </si>
  <si>
    <t>INSTANCE-m.small</t>
  </si>
  <si>
    <t>INSTANCE-m.medium</t>
  </si>
  <si>
    <t>INSTANCE-m.large</t>
  </si>
  <si>
    <t>INSTANCE-m.xlarge</t>
  </si>
  <si>
    <t>INSTANCE-m.2xlarge</t>
  </si>
  <si>
    <t>INSTANCE-m.4xlarge</t>
  </si>
  <si>
    <t>INSTANCE-m.8xlarge</t>
  </si>
  <si>
    <t>Instances with local storage (NVMe)</t>
  </si>
  <si>
    <t>INSTANCE-lb.tiny</t>
  </si>
  <si>
    <t>INSTANCE-lb.small</t>
  </si>
  <si>
    <t>INSTANCE-lb.medium.1d</t>
  </si>
  <si>
    <t>INSTANCE-lb.large.1d</t>
  </si>
  <si>
    <t>INSTANCE-lb.xlarge.1d</t>
  </si>
  <si>
    <t>INSTANCE-lb.2xlarge.1d</t>
  </si>
  <si>
    <t>INSTANCE-lb.2xlarge.2d</t>
  </si>
  <si>
    <t>INSTANCE-lb.2xlarge.4d</t>
  </si>
  <si>
    <t>INSTANCE-lb.4xlarge.1d</t>
  </si>
  <si>
    <t>INSTANCE-lb.4xlarge.2d</t>
  </si>
  <si>
    <t>INSTANCE-lb.4xlarge.4d</t>
  </si>
  <si>
    <t>INSTANCE-lm.small</t>
  </si>
  <si>
    <t>INSTANCE-lm.medium.1d</t>
  </si>
  <si>
    <t>INSTANCE-lm.large.1d</t>
  </si>
  <si>
    <t>INSTANCE-lm.xlarge.1d</t>
  </si>
  <si>
    <t>INSTANCE-lm.xlarge.2d</t>
  </si>
  <si>
    <t>INSTANCE-lm.xlarge.4d</t>
  </si>
  <si>
    <t>INSTANCE-lm.2xlarge.1d</t>
  </si>
  <si>
    <t>INSTANCE-lm.2xlarge.2d</t>
  </si>
  <si>
    <t>INSTANCE-lm.2xlarge.4d</t>
  </si>
  <si>
    <t>INSTANCE-lm.4xlarge.1d</t>
  </si>
  <si>
    <t>INSTANCE-lm.4xlarge.2d</t>
  </si>
  <si>
    <t>INSTANCE-lm.4xlarge.4d</t>
  </si>
  <si>
    <t>INSTANCE-lm.8xlarge.4d</t>
  </si>
  <si>
    <t>Instances with GPU and local storage (NVMe)</t>
  </si>
  <si>
    <t>Windows licenses</t>
  </si>
  <si>
    <t>Licenses</t>
  </si>
  <si>
    <t>INSTANCE-glm.large.1d</t>
  </si>
  <si>
    <t>INSTANCE-glm.xlarge.2d</t>
  </si>
  <si>
    <t>INSTANCE-glm.2xlarge.4d</t>
  </si>
  <si>
    <t>INSTANCE-glm.4xlarge.8d</t>
  </si>
  <si>
    <t xml:space="preserve">Bare Metal compute </t>
  </si>
  <si>
    <t>INSTANCE-p1.2xlarge.16d</t>
  </si>
  <si>
    <t>Instanser</t>
  </si>
  <si>
    <t>INSTANCE-p1.4xlarge.16d</t>
  </si>
  <si>
    <t>INSTANCE-p1.8xlarge.32d</t>
  </si>
  <si>
    <t>Extra Storage</t>
  </si>
  <si>
    <t>Per GB / Monthly</t>
  </si>
  <si>
    <t>VOLUME-large</t>
  </si>
  <si>
    <t>VOLUME-fast</t>
  </si>
  <si>
    <t xml:space="preserve">  Object storage with S3 standard.</t>
  </si>
  <si>
    <t>Price model based on the amount of terabyte stored at Safespring Storage</t>
  </si>
  <si>
    <r>
      <rPr>
        <sz val="11"/>
        <color theme="1"/>
        <rFont val="Montserrat Medium"/>
      </rPr>
      <t xml:space="preserve">   Instructions:</t>
    </r>
    <r>
      <rPr>
        <sz val="11"/>
        <color theme="1"/>
        <rFont val="Montserrat Light"/>
      </rPr>
      <t xml:space="preserve"> 
Enter the desired amount in the colored fields</t>
    </r>
  </si>
  <si>
    <t>Amount of TB</t>
  </si>
  <si>
    <t>Per TB/monthly</t>
  </si>
  <si>
    <t>S3-storage</t>
  </si>
  <si>
    <t xml:space="preserve">  Total</t>
  </si>
  <si>
    <t>Cloud backup solution for on-prem or cloud servers based on Spectrum Protect.</t>
  </si>
  <si>
    <t>Monthly fee</t>
  </si>
  <si>
    <t>Per GB/month</t>
  </si>
  <si>
    <r>
      <rPr>
        <sz val="14"/>
        <color theme="4"/>
        <rFont val="Hind Light"/>
      </rPr>
      <t>Deduplication</t>
    </r>
    <r>
      <rPr>
        <sz val="14"/>
        <color theme="6"/>
        <rFont val="Hind Light"/>
      </rPr>
      <t>*</t>
    </r>
  </si>
  <si>
    <r>
      <rPr>
        <sz val="11"/>
        <color theme="1"/>
        <rFont val="Montserrat Medium"/>
      </rPr>
      <t xml:space="preserve">BAAS-on.demand </t>
    </r>
    <r>
      <rPr>
        <sz val="11"/>
        <color theme="6"/>
        <rFont val="Montserrat Medium"/>
      </rPr>
      <t>**</t>
    </r>
  </si>
  <si>
    <r>
      <rPr>
        <sz val="11"/>
        <color theme="1"/>
        <rFont val="Montserrat Medium"/>
      </rPr>
      <t xml:space="preserve">BAAS-small </t>
    </r>
    <r>
      <rPr>
        <sz val="11"/>
        <color theme="6"/>
        <rFont val="Montserrat Medium"/>
      </rPr>
      <t>****</t>
    </r>
  </si>
  <si>
    <r>
      <rPr>
        <sz val="11"/>
        <color theme="1"/>
        <rFont val="Montserrat Medium"/>
      </rPr>
      <t xml:space="preserve">BAAS-large </t>
    </r>
    <r>
      <rPr>
        <sz val="11"/>
        <color theme="6"/>
        <rFont val="Montserrat Medium"/>
      </rPr>
      <t>***</t>
    </r>
  </si>
  <si>
    <r>
      <rPr>
        <i/>
        <sz val="11"/>
        <color theme="6"/>
        <rFont val="Montserrat Light"/>
      </rPr>
      <t xml:space="preserve">* </t>
    </r>
    <r>
      <rPr>
        <i/>
        <sz val="11"/>
        <color theme="1"/>
        <rFont val="Montserrat Light"/>
      </rPr>
      <t>Deduplication is a data reduction done in the service. Depending on the data, it usually varies between 45% -90%</t>
    </r>
  </si>
  <si>
    <r>
      <rPr>
        <i/>
        <sz val="11"/>
        <color theme="6"/>
        <rFont val="Montserrat Light"/>
      </rPr>
      <t xml:space="preserve">** </t>
    </r>
    <r>
      <rPr>
        <i/>
        <sz val="11"/>
        <color theme="1"/>
        <rFont val="Montserrat Light"/>
      </rPr>
      <t>The price is per protected GB on the client.</t>
    </r>
  </si>
  <si>
    <r>
      <rPr>
        <i/>
        <sz val="11"/>
        <color theme="6"/>
        <rFont val="Montserrat Light"/>
      </rPr>
      <t xml:space="preserve">*** </t>
    </r>
    <r>
      <rPr>
        <i/>
        <sz val="11"/>
        <color theme="1"/>
        <rFont val="Montserrat Light"/>
      </rPr>
      <t>The price is per GB stored in the service after deduplication and compression.</t>
    </r>
  </si>
  <si>
    <r>
      <rPr>
        <i/>
        <sz val="11"/>
        <color theme="6"/>
        <rFont val="Montserrat Light"/>
      </rPr>
      <t xml:space="preserve">**** </t>
    </r>
    <r>
      <rPr>
        <i/>
        <sz val="11"/>
        <color theme="1"/>
        <rFont val="Montserrat Light"/>
      </rPr>
      <t>The price is per GB stored in the service after deduplication and compression. The service includes 1000GB in the fixed monthly price.</t>
    </r>
  </si>
  <si>
    <t>Charge per</t>
  </si>
  <si>
    <t>NET-publicv4</t>
  </si>
  <si>
    <t>NET-publicv6</t>
  </si>
  <si>
    <t>NET-ingress</t>
  </si>
  <si>
    <t>NET-egress</t>
  </si>
  <si>
    <t>1 TB / month included per project (no charges for the academic sector)</t>
  </si>
  <si>
    <t>NET-mgn.slb</t>
  </si>
  <si>
    <t xml:space="preserve">Managed SLB </t>
  </si>
  <si>
    <t>NET-rdns</t>
  </si>
  <si>
    <t>NET-byoip</t>
  </si>
  <si>
    <t>SW-win.ser.2016</t>
  </si>
  <si>
    <t>Windows Server 2016</t>
  </si>
  <si>
    <t>SW-win.ser.2019</t>
  </si>
  <si>
    <t>Windows Server 2019</t>
  </si>
  <si>
    <t>SW-ms.sql.ser</t>
  </si>
  <si>
    <t>Microsoft SQL Server</t>
  </si>
  <si>
    <t>SW-stackn</t>
  </si>
  <si>
    <t>STACKn (Machine Learning), supported by provider</t>
  </si>
  <si>
    <t>SW-nextcloud</t>
  </si>
  <si>
    <t>Nextcloud Filesharing</t>
  </si>
  <si>
    <t>SW-suse.linux</t>
  </si>
  <si>
    <t>SUSE Linux Enterprise Server, 12x5 Support</t>
  </si>
  <si>
    <t>SW-cluster.control</t>
  </si>
  <si>
    <t>Cluster Control Supported</t>
  </si>
  <si>
    <t>SW-backup.ninja</t>
  </si>
  <si>
    <t>Backup Ninja</t>
  </si>
  <si>
    <t>Databas</t>
  </si>
  <si>
    <t>PAAS-man.kubernetes24</t>
  </si>
  <si>
    <t>Managed Compliant Kubernetes 24/7</t>
  </si>
  <si>
    <t>PAAS-man.kubernetes8</t>
  </si>
  <si>
    <t>Managed Compliant Kubernetes 8/5</t>
  </si>
  <si>
    <t>PAAS-man.elasticsearch</t>
  </si>
  <si>
    <t>Managed Elasticsearch + Grafana service</t>
  </si>
  <si>
    <t>PAAS-man.redis</t>
  </si>
  <si>
    <t>Redis server</t>
  </si>
  <si>
    <t>PAAS-man.nats</t>
  </si>
  <si>
    <t>Managed NATS</t>
  </si>
  <si>
    <t>Nats server</t>
  </si>
  <si>
    <t>PAAS-man.mariadb</t>
  </si>
  <si>
    <t>Database</t>
  </si>
  <si>
    <t>Support and consulting</t>
  </si>
  <si>
    <t>SUPPORT-iaas.base</t>
  </si>
  <si>
    <t>Base IaaS Support</t>
  </si>
  <si>
    <t>SUPPORT-standard</t>
  </si>
  <si>
    <t>Access to backchannel chat room with support and engineering</t>
  </si>
  <si>
    <t>Total volume</t>
  </si>
  <si>
    <t>3 % of total volume</t>
  </si>
  <si>
    <t>SUPPORT-premium</t>
  </si>
  <si>
    <t>Ask for quote</t>
  </si>
  <si>
    <t>* The support fee is charged at 3 % of the total volume with a minimum fee of 150 Euro per month.</t>
  </si>
  <si>
    <t>Consulting</t>
  </si>
  <si>
    <t>PS-consult.jun</t>
  </si>
  <si>
    <t>PS-consult.sen</t>
  </si>
  <si>
    <t>PS-cloudarch.jun</t>
  </si>
  <si>
    <t>PS-cloudarch.sen</t>
  </si>
  <si>
    <t>PS-pm.jun</t>
  </si>
  <si>
    <t>PS-pm.sen</t>
  </si>
  <si>
    <t>Training</t>
  </si>
  <si>
    <t>TRAIN-intro.iaas</t>
  </si>
  <si>
    <t>TRAIN-cxo.strategy</t>
  </si>
  <si>
    <t>Cloud strategy for top management</t>
  </si>
  <si>
    <t>TRAIN-intro.cloud</t>
  </si>
  <si>
    <t>Introduction to cloud computing</t>
  </si>
  <si>
    <t>TRAIN-devops.microservices</t>
  </si>
  <si>
    <t>Modern DevOps and microservices</t>
  </si>
  <si>
    <t>Calculated price</t>
  </si>
  <si>
    <t>Contact Safespring for a full quote</t>
  </si>
  <si>
    <t>sales@safespring.se</t>
  </si>
  <si>
    <t xml:space="preserve">  Product</t>
  </si>
  <si>
    <t>Montly</t>
  </si>
  <si>
    <t xml:space="preserve">  Safespring Compute</t>
  </si>
  <si>
    <t xml:space="preserve">  Safespring Storage</t>
  </si>
  <si>
    <t xml:space="preserve">  Safespring Backup</t>
  </si>
  <si>
    <t xml:space="preserve">  Licenses (Microsoft)</t>
  </si>
  <si>
    <t>Priskalkulator 04.01.2022</t>
  </si>
  <si>
    <t>Infrastruktur kan kjøres med en gratis opensource-lisens eller med en Windows-lisens.</t>
  </si>
  <si>
    <t>Alle priser er oppgitt i NOK, eksklusiv mva.</t>
  </si>
  <si>
    <t>Instanser med sentral blokklagring</t>
  </si>
  <si>
    <t>Disk (GB)</t>
  </si>
  <si>
    <t>Antall instanser</t>
  </si>
  <si>
    <t>Instanser med lokal lagring (NVMe-disk)</t>
  </si>
  <si>
    <t>Instanser med GPU og lokal lagring (NVME-disk)</t>
  </si>
  <si>
    <t>Windows-lisenser</t>
  </si>
  <si>
    <t>Lisenser</t>
  </si>
  <si>
    <t xml:space="preserve">"Bare Metal" compute </t>
  </si>
  <si>
    <t>Ekstra lagring</t>
  </si>
  <si>
    <t>Per GB/måned</t>
  </si>
  <si>
    <t>Ekstra GB</t>
  </si>
  <si>
    <t>Objektlagring med standard S3.</t>
  </si>
  <si>
    <t>Prismodell basert på antall lagrede TB, se tabellen nedenfor.</t>
  </si>
  <si>
    <r>
      <rPr>
        <sz val="11"/>
        <color rgb="FF414141"/>
        <rFont val="Montserrat Medium"/>
      </rPr>
      <t xml:space="preserve">Instruksjoner: </t>
    </r>
    <r>
      <rPr>
        <sz val="11"/>
        <color rgb="FF414141"/>
        <rFont val="Montserrat Light"/>
      </rPr>
      <t>Fyll ut ønsket mengde i de fargede feltene.</t>
    </r>
  </si>
  <si>
    <t>Antall TB</t>
  </si>
  <si>
    <t>Per TB/måned</t>
  </si>
  <si>
    <t>0 - 50</t>
  </si>
  <si>
    <t>51 - 100</t>
  </si>
  <si>
    <t>101 - 500</t>
  </si>
  <si>
    <t>501 - 1000</t>
  </si>
  <si>
    <t xml:space="preserve">1001 - </t>
  </si>
  <si>
    <t>Cloud backup-løsning for lokale servere eller skyservere basert på Spectrum Protect.</t>
  </si>
  <si>
    <t>Deduplisering*</t>
  </si>
  <si>
    <r>
      <rPr>
        <i/>
        <sz val="11"/>
        <color theme="6"/>
        <rFont val="Montserrat Light"/>
      </rPr>
      <t xml:space="preserve">* </t>
    </r>
    <r>
      <rPr>
        <i/>
        <sz val="11"/>
        <color theme="1"/>
        <rFont val="Montserrat Light"/>
      </rPr>
      <t>Dedup er en datareduksjon som er gjort i tjenesten. Avhengig av data varierer det normalt mellom 45% -90%</t>
    </r>
  </si>
  <si>
    <r>
      <rPr>
        <i/>
        <sz val="11"/>
        <color theme="6"/>
        <rFont val="Montserrat Light"/>
      </rPr>
      <t xml:space="preserve">** </t>
    </r>
    <r>
      <rPr>
        <i/>
        <sz val="11"/>
        <color theme="1"/>
        <rFont val="Montserrat Light"/>
      </rPr>
      <t>Prisen er per beskyttet GB på klienten.</t>
    </r>
  </si>
  <si>
    <r>
      <rPr>
        <i/>
        <sz val="11"/>
        <color theme="6"/>
        <rFont val="Montserrat Light"/>
      </rPr>
      <t xml:space="preserve">*** </t>
    </r>
    <r>
      <rPr>
        <i/>
        <sz val="11"/>
        <color theme="1"/>
        <rFont val="Montserrat Light"/>
      </rPr>
      <t>Prisen er per lagret GB i tjenesten etter deduplisering og komprimering.</t>
    </r>
  </si>
  <si>
    <r>
      <rPr>
        <i/>
        <sz val="11"/>
        <color theme="6"/>
        <rFont val="Montserrat Light"/>
      </rPr>
      <t xml:space="preserve">**** </t>
    </r>
    <r>
      <rPr>
        <i/>
        <sz val="11"/>
        <color theme="1"/>
        <rFont val="Montserrat Light"/>
      </rPr>
      <t>Prisen er per lagret GB i tjenesten etter deduplisering og komprimering. 1000 GB er inkludert i den faste månedlige prisen.</t>
    </r>
  </si>
  <si>
    <t>Pris per</t>
  </si>
  <si>
    <t>IP adresse</t>
  </si>
  <si>
    <t>1 TB / måned inkludert per prosjekt (gratis i akademisk sektor)</t>
  </si>
  <si>
    <t>Microsft SQL Server</t>
  </si>
  <si>
    <t>Instanse</t>
  </si>
  <si>
    <t>Plattformstjänster</t>
  </si>
  <si>
    <t xml:space="preserve">Managed Elasticsearch </t>
  </si>
  <si>
    <t>Forespørsel om tilbud</t>
  </si>
  <si>
    <t>Lading per</t>
  </si>
  <si>
    <t>Total volym</t>
  </si>
  <si>
    <t>3 % av total volym</t>
  </si>
  <si>
    <t>Time</t>
  </si>
  <si>
    <t>Pris på forespørsel</t>
  </si>
  <si>
    <t>* The support fee is charged at 3 % of the total volume with a minimum fee of 1500 SEK per month.</t>
  </si>
  <si>
    <t>Konsulenttjenester</t>
  </si>
  <si>
    <t>Lengde</t>
  </si>
  <si>
    <t>Introduktion til "Infrastruktur som tjeneste"</t>
  </si>
  <si>
    <t>Mulighet</t>
  </si>
  <si>
    <t>Skystrategi for ledergrupper</t>
  </si>
  <si>
    <t>introduksjon til skybasert infrastrukturteknikk</t>
  </si>
  <si>
    <t>Alle priser er oppgitt i SEK, eksklusiv mva.</t>
  </si>
  <si>
    <t>Kontakt Safespring for et fullstendig tilbud</t>
  </si>
  <si>
    <t xml:space="preserve">  Tjeneste</t>
  </si>
  <si>
    <t>Priskalkylator 2020-07-02</t>
  </si>
  <si>
    <t>SEK</t>
  </si>
  <si>
    <t xml:space="preserve">   Infrastruktur kan köras med kostnadsfri opensource-licens eller med Windows-licens.</t>
  </si>
  <si>
    <t xml:space="preserve">   Alla priser är angivna i SEK, exklusive moms.</t>
  </si>
  <si>
    <r>
      <rPr>
        <sz val="11"/>
        <color theme="1"/>
        <rFont val="Montserrat Medium"/>
      </rPr>
      <t xml:space="preserve">   Instruktioner:</t>
    </r>
    <r>
      <rPr>
        <sz val="11"/>
        <color theme="1"/>
        <rFont val="Montserrat Light"/>
      </rPr>
      <t xml:space="preserve"> Fyll i önskad kvantitet i de färgade fälten. </t>
    </r>
  </si>
  <si>
    <t>Instanser med central blocklagring</t>
  </si>
  <si>
    <t>Region</t>
  </si>
  <si>
    <t>Windows-licenser</t>
  </si>
  <si>
    <t>SQL-licenser</t>
  </si>
  <si>
    <t>Licenser</t>
  </si>
  <si>
    <t>STO-1</t>
  </si>
  <si>
    <t>SUNET Private Cloud</t>
  </si>
  <si>
    <t>lb.tiny</t>
  </si>
  <si>
    <t>STH-B</t>
  </si>
  <si>
    <t>lb.small</t>
  </si>
  <si>
    <t>lb.medium.1d</t>
  </si>
  <si>
    <t>lb.large.1d</t>
  </si>
  <si>
    <t>lb.xlarge.1d</t>
  </si>
  <si>
    <t>lb.2xlarge.1d</t>
  </si>
  <si>
    <t>lb.2xlarge.2d</t>
  </si>
  <si>
    <t>lb.2xlarge.4d</t>
  </si>
  <si>
    <t>lb.4xlarge.1d</t>
  </si>
  <si>
    <t>lb.4xlarge.2d</t>
  </si>
  <si>
    <t>lb.4xlarge.4d</t>
  </si>
  <si>
    <t>lm.small</t>
  </si>
  <si>
    <t>lm.medium.1d</t>
  </si>
  <si>
    <t>lm.large.1d</t>
  </si>
  <si>
    <t>lm.xlarge.1d</t>
  </si>
  <si>
    <t>lm.2xlarge.1d</t>
  </si>
  <si>
    <t>lm.2xlarge.2d</t>
  </si>
  <si>
    <t>lm.2xlarge.4d</t>
  </si>
  <si>
    <t>lm.4xlarge.1d</t>
  </si>
  <si>
    <t>lm.4xlarge.2d</t>
  </si>
  <si>
    <t>lm.4xlarge.4d</t>
  </si>
  <si>
    <t xml:space="preserve"> Totalt</t>
  </si>
  <si>
    <t>Extra lagring</t>
  </si>
  <si>
    <t>Per GB/månad</t>
  </si>
  <si>
    <t>SUNET Lagring i privat molntjänst</t>
  </si>
  <si>
    <t xml:space="preserve">  Objektlagring med standarden S3.</t>
  </si>
  <si>
    <t>Prismodell baserat på antal lagrade GB, se tabellen nedan.</t>
  </si>
  <si>
    <t>Per GB /månad</t>
  </si>
  <si>
    <t>&lt;300</t>
  </si>
  <si>
    <t>&gt;=300</t>
  </si>
  <si>
    <t>&gt;=1000</t>
  </si>
  <si>
    <t>&gt;=2000</t>
  </si>
  <si>
    <t>Minsta åtagande</t>
  </si>
  <si>
    <t xml:space="preserve">   Alla priser angivna i SEK, exklusive moms.</t>
  </si>
  <si>
    <r>
      <rPr>
        <sz val="11"/>
        <color theme="1"/>
        <rFont val="Montserrat Medium"/>
      </rPr>
      <t xml:space="preserve">   Instruktioner: </t>
    </r>
    <r>
      <rPr>
        <sz val="11"/>
        <color theme="1"/>
        <rFont val="Montserrat Light"/>
      </rPr>
      <t xml:space="preserve">Fyll i önskad kvantitet i de färgade fälten. </t>
    </r>
  </si>
  <si>
    <r>
      <rPr>
        <sz val="14"/>
        <color theme="4"/>
        <rFont val="Hind Light"/>
      </rPr>
      <t>Deduplicering</t>
    </r>
    <r>
      <rPr>
        <sz val="14"/>
        <color theme="6"/>
        <rFont val="Hind Light"/>
      </rPr>
      <t>*</t>
    </r>
  </si>
  <si>
    <r>
      <rPr>
        <i/>
        <sz val="11"/>
        <color theme="6"/>
        <rFont val="Montserrat Light"/>
      </rPr>
      <t xml:space="preserve">* </t>
    </r>
    <r>
      <rPr>
        <i/>
        <sz val="11"/>
        <color theme="1"/>
        <rFont val="Montserrat Light"/>
      </rPr>
      <t>Dedup är en datareduktion som görs i tjänsten. Beroende på data varierar det normalt mellan 45%-90%</t>
    </r>
  </si>
  <si>
    <r>
      <rPr>
        <i/>
        <sz val="11"/>
        <color theme="6"/>
        <rFont val="Montserrat Light"/>
      </rPr>
      <t xml:space="preserve">** </t>
    </r>
    <r>
      <rPr>
        <i/>
        <sz val="11"/>
        <color theme="1"/>
        <rFont val="Montserrat Light"/>
      </rPr>
      <t xml:space="preserve">Priset är per skyddad GB på klienten. </t>
    </r>
  </si>
  <si>
    <r>
      <rPr>
        <i/>
        <sz val="11"/>
        <color theme="6"/>
        <rFont val="Montserrat Light"/>
      </rPr>
      <t xml:space="preserve">*** </t>
    </r>
    <r>
      <rPr>
        <i/>
        <sz val="11"/>
        <color theme="1"/>
        <rFont val="Montserrat Light"/>
      </rPr>
      <t xml:space="preserve">Priset är per lagrad GB i tjänsten efter deduplicering och komprimering. </t>
    </r>
  </si>
  <si>
    <r>
      <rPr>
        <i/>
        <sz val="11"/>
        <color theme="6"/>
        <rFont val="Montserrat Light"/>
      </rPr>
      <t xml:space="preserve">**** </t>
    </r>
    <r>
      <rPr>
        <i/>
        <sz val="11"/>
        <color theme="1"/>
        <rFont val="Montserrat Light"/>
      </rPr>
      <t>Priset är per lagrad GB i tjänsten efter deduplicering och komprimering. Det ingår 1000GB i det fasta månadspriset.</t>
    </r>
  </si>
  <si>
    <t xml:space="preserve">  Kontakta Safespring för fullständig offert</t>
  </si>
  <si>
    <t xml:space="preserve">  Produkt</t>
  </si>
  <si>
    <t xml:space="preserve">  Licenser (Microsoft)</t>
  </si>
  <si>
    <r>
      <rPr>
        <sz val="11"/>
        <color theme="1"/>
        <rFont val="Montserrat Medium"/>
      </rPr>
      <t xml:space="preserve">Safespring Compute - </t>
    </r>
    <r>
      <rPr>
        <sz val="11"/>
        <color theme="1"/>
        <rFont val="Montserrat Light"/>
      </rPr>
      <t>Totalt efter avdrag för 12 månaders åtagande</t>
    </r>
  </si>
  <si>
    <r>
      <rPr>
        <sz val="11"/>
        <color theme="1"/>
        <rFont val="Montserrat Medium"/>
      </rPr>
      <t xml:space="preserve">Safespring Compute - </t>
    </r>
    <r>
      <rPr>
        <sz val="11"/>
        <color theme="1"/>
        <rFont val="Montserrat Light"/>
      </rPr>
      <t>Totalt efter avdrag för 36 månaders åtagade</t>
    </r>
  </si>
  <si>
    <t>Telefon: +46 8-55 10 73 56</t>
  </si>
  <si>
    <t>Fakturaen vil være i DKK, hvor den gennemsnitlige valutakurs, baseret på valutakurserne fra ECB, pr. måned bruges til at beregne priserne.</t>
  </si>
  <si>
    <t>Infrastruktur kan køre med en Open Source-licens eller med en Windows-licens.</t>
  </si>
  <si>
    <t>Alle priser er i EUR, eksklusive moms. Fakturaen vil være i DKK, hvor den gennemsnitlige valutakurs, baseret på valutakurserne fra ECB, pr. måned bruges til at beregne priserne.</t>
  </si>
  <si>
    <r>
      <rPr>
        <sz val="11"/>
        <color theme="1"/>
        <rFont val="Montserrat Medium"/>
      </rPr>
      <t xml:space="preserve">Vejledning: </t>
    </r>
    <r>
      <rPr>
        <sz val="11"/>
        <color theme="1"/>
        <rFont val="Montserrat Light"/>
      </rPr>
      <t>Udfyld det ønskede antal i de farvede felter.</t>
    </r>
  </si>
  <si>
    <r>
      <rPr>
        <sz val="9"/>
        <color theme="1"/>
        <rFont val="Montserrat Light"/>
      </rPr>
      <t>Central bloklagring kan købes til instanserne. Se "</t>
    </r>
    <r>
      <rPr>
        <sz val="9"/>
        <color theme="5"/>
        <rFont val="Montserrat SemiBold"/>
      </rPr>
      <t>Central bloklagring</t>
    </r>
    <r>
      <rPr>
        <sz val="9"/>
        <color theme="1"/>
        <rFont val="Montserrat Light"/>
      </rPr>
      <t>" i prislisten.</t>
    </r>
  </si>
  <si>
    <t>Per 30 dage</t>
  </si>
  <si>
    <t>Flavors uden lokal disk</t>
  </si>
  <si>
    <t xml:space="preserve">Flavors med GPU </t>
  </si>
  <si>
    <t>Central bloklagring</t>
  </si>
  <si>
    <t>Central bloklagring giver tre kopier af data fordelt i en robust CEPH-klynge.</t>
  </si>
  <si>
    <t>Antal (GB)</t>
  </si>
  <si>
    <t>Kontakt os for rabatter på større lagermængder. Prismodellen er baseret på antallet af lagrede TB pr. måned.</t>
  </si>
  <si>
    <t>Per TB i 30 dage</t>
  </si>
  <si>
    <t>Antal (TB)</t>
  </si>
  <si>
    <t>Cloud backup-løsning for lokale servere eller cloud-servere baseret på Spectrum Protect (TSM).</t>
  </si>
  <si>
    <t>Per GB i 30 dage</t>
  </si>
  <si>
    <r>
      <rPr>
        <sz val="12"/>
        <color theme="4"/>
        <rFont val="Hind Light"/>
      </rPr>
      <t>Deduplicering</t>
    </r>
    <r>
      <rPr>
        <sz val="14"/>
        <color theme="4"/>
        <rFont val="Hind Light"/>
      </rPr>
      <t xml:space="preserve"> </t>
    </r>
    <r>
      <rPr>
        <vertAlign val="superscript"/>
        <sz val="14"/>
        <color theme="6"/>
        <rFont val="Montserrat SemiBold"/>
      </rPr>
      <t xml:space="preserve"> </t>
    </r>
    <r>
      <rPr>
        <vertAlign val="superscript"/>
        <sz val="11"/>
        <color theme="6"/>
        <rFont val="Montserrat SemiBold"/>
      </rPr>
      <t>1</t>
    </r>
  </si>
  <si>
    <t>Netværk og software</t>
  </si>
  <si>
    <t>Safespring tilbyder flere netværkstjenester.</t>
  </si>
  <si>
    <t>Fakturering pr.</t>
  </si>
  <si>
    <t>Pr. måned</t>
  </si>
  <si>
    <t>IP-adresse</t>
  </si>
  <si>
    <t>Dataoverførsel</t>
  </si>
  <si>
    <t>Load balancer, der kræver deres egne instanser</t>
  </si>
  <si>
    <t>Instans</t>
  </si>
  <si>
    <t xml:space="preserve"> Bed om tilbud</t>
  </si>
  <si>
    <t>Software og licenser</t>
  </si>
  <si>
    <t>Safespring tilbyder flere software og licenser.</t>
  </si>
  <si>
    <t>Support gælder for Safespring Compute, Safespring Storage og Safespring Backup.</t>
  </si>
  <si>
    <t>Safespring tilbyder flere support-aftaler.</t>
  </si>
  <si>
    <t>Dedikeret servicechef med kvartalsvise driftsmøder</t>
  </si>
  <si>
    <t>Safespring tilbyder flere konsulenttjenester.</t>
  </si>
  <si>
    <t>Månedlig omkostning</t>
  </si>
  <si>
    <t>Kontakt Safespring for et komplet tilbud</t>
  </si>
  <si>
    <r>
      <rPr>
        <sz val="10"/>
        <color theme="6"/>
        <rFont val="Montserrat SemiBold"/>
      </rPr>
      <t>1</t>
    </r>
    <r>
      <rPr>
        <i/>
        <sz val="10"/>
        <color theme="6"/>
        <rFont val="Montserrat Light"/>
      </rPr>
      <t xml:space="preserve"> </t>
    </r>
    <r>
      <rPr>
        <i/>
        <sz val="10"/>
        <color theme="1"/>
        <rFont val="Montserrat Light"/>
      </rPr>
      <t>Deduplicering er en datareduktion, der udføres i tjenesten. Afhængigt af data varierer det normalt mellem 45 % - 90 %.</t>
    </r>
  </si>
  <si>
    <r>
      <rPr>
        <sz val="10"/>
        <color theme="6"/>
        <rFont val="Montserrat SemiBold"/>
      </rPr>
      <t xml:space="preserve">2 </t>
    </r>
    <r>
      <rPr>
        <i/>
        <sz val="10"/>
        <color theme="1"/>
        <rFont val="Montserrat Light"/>
      </rPr>
      <t>Prisen er pr. beskyttet GB på klienten.</t>
    </r>
  </si>
  <si>
    <t>Prissättning</t>
  </si>
  <si>
    <t>SEK/NOK</t>
  </si>
  <si>
    <t>EUR</t>
  </si>
  <si>
    <t>SUNET med påslag</t>
  </si>
  <si>
    <t>Currency Factor</t>
  </si>
  <si>
    <t>IAAS-ram</t>
  </si>
  <si>
    <t>IAAS-ssd</t>
  </si>
  <si>
    <t>uppdaterat 2026-02-27</t>
  </si>
  <si>
    <t>IAAS-vcpu</t>
  </si>
  <si>
    <t>NOK</t>
  </si>
  <si>
    <t>IAAS-nvme</t>
  </si>
  <si>
    <t>IAAS-gpu</t>
  </si>
  <si>
    <r>
      <rPr>
        <b/>
        <sz val="11"/>
        <color theme="3"/>
        <rFont val="Montserrat Medium"/>
      </rPr>
      <t xml:space="preserve">IAAS-pcpu </t>
    </r>
    <r>
      <rPr>
        <sz val="11"/>
        <color theme="3"/>
        <rFont val="Montserrat Light"/>
      </rPr>
      <t>(beräknad)</t>
    </r>
  </si>
  <si>
    <t xml:space="preserve">  Typ</t>
  </si>
  <si>
    <t>IAAS-GPU-A2</t>
  </si>
  <si>
    <t xml:space="preserve">  vCPU</t>
  </si>
  <si>
    <t xml:space="preserve">  RAM</t>
  </si>
  <si>
    <t>Bare metal compute</t>
  </si>
  <si>
    <t>SUNET</t>
  </si>
  <si>
    <t>BAAS-on.demand</t>
  </si>
  <si>
    <t>BAAS-small.fee</t>
  </si>
  <si>
    <t>BAAS-large.fee</t>
  </si>
  <si>
    <t>BAAS-small</t>
  </si>
  <si>
    <t>BAAS-large</t>
  </si>
  <si>
    <t>S3-storage.50</t>
  </si>
  <si>
    <t>S3-storage.100</t>
  </si>
  <si>
    <t>S3-storage.500</t>
  </si>
  <si>
    <t>S3-storage.1000</t>
  </si>
  <si>
    <t>S3-storage.quote</t>
  </si>
  <si>
    <t>Be om offert</t>
  </si>
  <si>
    <t>S3-archive.50</t>
  </si>
  <si>
    <t>S3-archive.100</t>
  </si>
  <si>
    <t>S3-archive.500</t>
  </si>
  <si>
    <t>S3-archive.1000</t>
  </si>
  <si>
    <t>S3-archive.quote</t>
  </si>
  <si>
    <t>NET-saferoute</t>
  </si>
  <si>
    <t>Mjukvara</t>
  </si>
  <si>
    <t>SW-win.ser.2016 &amp; 2019</t>
  </si>
  <si>
    <t>SW-ms.sql.ser.ent</t>
  </si>
  <si>
    <t>SW-suse</t>
  </si>
  <si>
    <t>3x instanspris</t>
  </si>
  <si>
    <t>3x instance price</t>
  </si>
  <si>
    <t xml:space="preserve"> Begär offert </t>
  </si>
  <si>
    <t>PAAS-openshift</t>
  </si>
  <si>
    <r>
      <t>FLAVOR-</t>
    </r>
    <r>
      <rPr>
        <sz val="11"/>
        <color theme="3"/>
        <rFont val="Montserrat Medium"/>
      </rPr>
      <t>b2.c32.r192.gH100</t>
    </r>
  </si>
  <si>
    <t>IAAS-GPU-H100</t>
  </si>
  <si>
    <t>Nvidia</t>
  </si>
  <si>
    <t>A2</t>
  </si>
  <si>
    <t>H100</t>
  </si>
  <si>
    <r>
      <t>FLAVOR-</t>
    </r>
    <r>
      <rPr>
        <sz val="11"/>
        <color theme="1"/>
        <rFont val="Montserrat Medium"/>
      </rPr>
      <t>l2. c16 r64. 500</t>
    </r>
  </si>
  <si>
    <r>
      <t>FLAVOR-</t>
    </r>
    <r>
      <rPr>
        <sz val="11"/>
        <color theme="3"/>
        <rFont val="Montserrat Medium"/>
      </rPr>
      <t>l2.c4r16.125.gA2</t>
    </r>
  </si>
  <si>
    <t>Managed Control plane</t>
  </si>
  <si>
    <t>Unmanaged Control plane</t>
  </si>
  <si>
    <t>Safespring Kubernetes Engine</t>
  </si>
  <si>
    <t>Kontrollplan</t>
  </si>
  <si>
    <t>Första kontrollplanet är managerat men sedan går det att addera omanagerade kontrollplan.</t>
  </si>
  <si>
    <t>Control plane</t>
  </si>
  <si>
    <t>The first control plane is managed, but unmanaged control planes can be added afterwards.</t>
  </si>
  <si>
    <t>Det første kontrollplanet er administrert, men deretter er det mulig å legge til uadministrerte kontrollplan.</t>
  </si>
  <si>
    <t>Kontrolplan</t>
  </si>
  <si>
    <t>Det første kontrolplan er administreret, men derefter er det muligt at tilføje ikke-administrerede kontrolplaner.</t>
  </si>
  <si>
    <t>Price calculator 2026-05-25</t>
  </si>
  <si>
    <t>Prisberegner 2026-05-25</t>
  </si>
  <si>
    <t>Priskalkulator 2026-05-25</t>
  </si>
  <si>
    <t>Priskalkylator 2026-05-25</t>
  </si>
  <si>
    <r>
      <t>PAAS-</t>
    </r>
    <r>
      <rPr>
        <sz val="11"/>
        <color theme="1"/>
        <rFont val="Montserrat Medium"/>
      </rPr>
      <t>man.postgresql</t>
    </r>
  </si>
  <si>
    <r>
      <t>PAAS-</t>
    </r>
    <r>
      <rPr>
        <sz val="11"/>
        <color theme="1"/>
        <rFont val="Montserrat Medium"/>
      </rPr>
      <t>man.elasticsearch</t>
    </r>
  </si>
  <si>
    <r>
      <t>PAAS-</t>
    </r>
    <r>
      <rPr>
        <sz val="11"/>
        <color theme="1"/>
        <rFont val="Montserrat Medium"/>
      </rPr>
      <t>man.redis</t>
    </r>
  </si>
  <si>
    <r>
      <t>PAAS-</t>
    </r>
    <r>
      <rPr>
        <sz val="11"/>
        <color theme="1"/>
        <rFont val="Montserrat Medium"/>
      </rPr>
      <t>man.nats</t>
    </r>
  </si>
  <si>
    <t xml:space="preserve">Managed MariaDB	</t>
  </si>
  <si>
    <t>Managed Elasticsearch</t>
  </si>
  <si>
    <r>
      <t>PAAS-</t>
    </r>
    <r>
      <rPr>
        <sz val="11"/>
        <color theme="1"/>
        <rFont val="Montserrat Medium"/>
      </rPr>
      <t>man.mariadb</t>
    </r>
  </si>
  <si>
    <t>Tilpasset større lagringsvolumer over lengre tid.</t>
  </si>
  <si>
    <t>Tilpasset applikasjoner som aktivt bruker S3-protokollen.</t>
  </si>
  <si>
    <t>Designed for larger storage volumes over longer periods.</t>
  </si>
  <si>
    <t>Designed for applications that actively use the S3 protocol.</t>
  </si>
  <si>
    <t>Tilpasset større lagringsmængder over længere tid.</t>
  </si>
  <si>
    <t>Tilpasset applikationer, der aktivt bruger S3-protokollen.</t>
  </si>
  <si>
    <t>3 The price is per GB stored in the service after deduplication and compression. The fixed monthly price includes 1,000 GB.</t>
  </si>
  <si>
    <t>4 The price is per GB stored in the service after deduplication and compression.</t>
  </si>
  <si>
    <t>3 Prisen er pr. GB lagret i tjenesten efter deduplikering og komprimering. Den faste månedspris inkluderer 1.000 GB.</t>
  </si>
  <si>
    <t>4 Prisen er pr. GB lagret i tjenesten efter deduplikering og komprimering.</t>
  </si>
  <si>
    <t>Partnertjenester</t>
  </si>
  <si>
    <t>Safespring tilbyr flere tjenester via våre partnere.</t>
  </si>
  <si>
    <t>Partner services</t>
  </si>
  <si>
    <t>Safespring offers several services through our partners.</t>
  </si>
  <si>
    <t>Safespring tilbyder flere tjenester via vores partnere.</t>
  </si>
  <si>
    <t>Sentral blokklagring kan kjøpes til instansene. Se "Sentral blokklagring" i prislisten.</t>
  </si>
  <si>
    <t>Central block storage can be purchased for the instances. See "Central block storage" in the price list.</t>
  </si>
  <si>
    <t>Flavors uten lokal disk</t>
  </si>
  <si>
    <t>Alle priser er i EUR, eksklusive moms.</t>
  </si>
  <si>
    <t>Vejledning: Udfyld det ønskede antal i de farvede felter.</t>
  </si>
  <si>
    <t>Netværk</t>
  </si>
  <si>
    <t>Kontakta oss för rabatter vid större lagringsmängder. Prismodell baserad på antal lagrade TB i månaden.</t>
  </si>
  <si>
    <t>Local disk (GB)</t>
  </si>
  <si>
    <t>Offentlig</t>
  </si>
  <si>
    <t>I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</si>
</sst>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#,##0.00\ [$€-1];\-#,##0.00\ [$€-1]"/>
    <numFmt numFmtId="165" formatCode="#,##0&quot; kr&quot;;[Red]\-#,##0&quot; kr&quot;"/>
    <numFmt numFmtId="166" formatCode="_-* #,##0.00_-;\-* #,##0.00_-;_-* \-??_-;_-@_-"/>
    <numFmt numFmtId="167" formatCode="_-* #,##0_-;\-* #,##0_-;_-* \-??_-;_-@_-"/>
    <numFmt numFmtId="168" formatCode="_-* #,##0.00&quot; kr&quot;_-;\-* #,##0.00&quot; kr&quot;_-;_-* \-??&quot; kr&quot;_-;_-@_-"/>
    <numFmt numFmtId="169" formatCode="_-* #,##0.00\ [$€-1]_-;\-* #,##0.00\ [$€-1]_-;_-* \-??\ [$€-1]_-;_-@_-"/>
    <numFmt numFmtId="170" formatCode="_-* #,##0&quot; kr&quot;_-;\-* #,##0&quot; kr&quot;_-;_-* \-??&quot; kr&quot;_-;_-@_-"/>
    <numFmt numFmtId="171" formatCode="0.0000%"/>
    <numFmt numFmtId="172" formatCode="#,##0.00&quot; kr&quot;;[Red]\-#,##0.00&quot; kr&quot;"/>
    <numFmt numFmtId="173" formatCode="#,##0&quot; kr&quot;"/>
    <numFmt numFmtId="174" formatCode="_-* #,##0.0000\ [$€-1]_-;\-* #,##0.0000\ [$€-1]_-;_-* \-??\ [$€-1]_-;_-@_-"/>
    <numFmt numFmtId="175" formatCode="_-* #,##0.00000&quot; kr&quot;_-;\-* #,##0.00000&quot; kr&quot;_-;_-* \-??&quot; kr&quot;_-;_-@_-"/>
    <numFmt numFmtId="176" formatCode="#,##0.0000&quot; kr&quot;;[Red]\-#,##0.0000&quot; kr&quot;"/>
    <numFmt numFmtId="177" formatCode="_-* #,##0\ [$€-1]_-;\-* #,##0\ [$€-1]_-;_-* \-??\ [$€-1]_-;_-@_-"/>
    <numFmt numFmtId="178" formatCode="_-* #,##0\ [$kr-41D]_-;\-* #,##0\ [$kr-41D]_-;_-* \-??\ [$kr-41D]_-;_-@_-"/>
    <numFmt numFmtId="179" formatCode="_-* #,##0.000000\ [$€-1]_-;\-* #,##0.000000\ [$€-1]_-;_-* \-??\ [$€-1]_-;_-@_-"/>
    <numFmt numFmtId="180" formatCode="_-* #,##0.000\ [$€-1]_-;\-* #,##0.000\ [$€-1]_-;_-* \-??\ [$€-1]_-;_-@_-"/>
    <numFmt numFmtId="181" formatCode="#,##0_ ;\-#,##0\ "/>
    <numFmt numFmtId="182" formatCode="0.000%"/>
    <numFmt numFmtId="183" formatCode="#,##0.00&quot; kr&quot;"/>
    <numFmt numFmtId="184" formatCode="#,##0.00\ [$SEK]"/>
    <numFmt numFmtId="185" formatCode="_-* #,##0.00\ [$SEK]_-;\-* #,##0.00\ [$SEK]_-;_-* \-??\ [$SEK]_-;_-@_-"/>
    <numFmt numFmtId="186" formatCode="_-* #,##0.00\ [$EUR]_-;\-* #,##0.00\ [$EUR]_-;_-* \-??\ [$EUR]_-;_-@_-"/>
    <numFmt numFmtId="187" formatCode="0.0000"/>
    <numFmt numFmtId="188" formatCode="_-* #,##0\ [$SEK]_-;\-* #,##0\ [$SEK]_-;_-* \-??\ [$SEK]_-;_-@_-"/>
    <numFmt numFmtId="189" formatCode="_-* #,##0.00\ _k_r_-;\-* #,##0.00\ _k_r_-;_-* &quot;-&quot;??\ _k_r_-;_-@_-"/>
    <numFmt numFmtId="190" formatCode="_-* #,##0.00\ [$€-1]_-;\-* #,##0.00\ [$€-1]_-;_-* &quot;-&quot;??\ [$€-1]_-;_-@_-"/>
    <numFmt numFmtId="191" formatCode="#,##0.00\ [$€-1]"/>
    <numFmt numFmtId="192" formatCode="_-* #,##0\ [$€-1]_-;\-* #,##0\ [$€-1]_-;_-* &quot;-&quot;??\ [$€-1]_-;_-@_-"/>
    <numFmt numFmtId="194" formatCode="#,##0.00&quot; €&quot;"/>
  </numFmts>
  <fonts count="84">
    <font>
      <sz val="11"/>
      <color theme="1"/>
      <name val="Calibri"/>
      <charset val="1"/>
    </font>
    <font>
      <b/>
      <sz val="9"/>
      <color theme="5"/>
      <name val="Montserrat Light"/>
    </font>
    <font>
      <sz val="9"/>
      <color theme="1"/>
      <name val="Montserrat Light"/>
    </font>
    <font>
      <sz val="11"/>
      <color theme="1"/>
      <name val="Montserrat Light"/>
    </font>
    <font>
      <sz val="16"/>
      <color theme="4"/>
      <name val="Hind Light"/>
    </font>
    <font>
      <u/>
      <sz val="11"/>
      <color theme="10"/>
      <name val="Montserrat Medium"/>
    </font>
    <font>
      <u/>
      <sz val="11"/>
      <color theme="10"/>
      <name val="Calibri"/>
      <family val="2"/>
    </font>
    <font>
      <b/>
      <sz val="11"/>
      <color theme="5"/>
      <name val="Montserrat Light"/>
    </font>
    <font>
      <sz val="11"/>
      <color theme="3"/>
      <name val="Montserrat Light"/>
    </font>
    <font>
      <sz val="11"/>
      <color theme="8"/>
      <name val="Montserrat Light"/>
    </font>
    <font>
      <sz val="48"/>
      <color theme="8"/>
      <name val="Hind Light"/>
    </font>
    <font>
      <sz val="48"/>
      <color theme="4"/>
      <name val="Hind Light"/>
    </font>
    <font>
      <sz val="16"/>
      <color theme="3"/>
      <name val="Montserrat Light"/>
    </font>
    <font>
      <sz val="16"/>
      <color theme="8"/>
      <name val="Montserrat Light"/>
    </font>
    <font>
      <sz val="11"/>
      <color theme="1"/>
      <name val="Montserrat Medium"/>
    </font>
    <font>
      <sz val="18"/>
      <color theme="8"/>
      <name val="Hind Light"/>
    </font>
    <font>
      <sz val="9"/>
      <color theme="1" tint="0.39988402966399123"/>
      <name val="Montserrat Regular"/>
      <charset val="1"/>
    </font>
    <font>
      <sz val="9"/>
      <color theme="5"/>
      <name val="Montserrat SemiBold"/>
    </font>
    <font>
      <sz val="14"/>
      <color theme="4"/>
      <name val="Hind Light"/>
    </font>
    <font>
      <sz val="14"/>
      <color theme="6"/>
      <name val="Hind Light"/>
    </font>
    <font>
      <sz val="11"/>
      <color theme="3"/>
      <name val="Montserrat Medium"/>
    </font>
    <font>
      <sz val="11"/>
      <color theme="6" tint="0.39988402966399123"/>
      <name val="Montserrat Regular"/>
      <charset val="1"/>
    </font>
    <font>
      <sz val="11"/>
      <color theme="1" tint="0.39988402966399123"/>
      <name val="Montserrat Regular"/>
      <charset val="1"/>
    </font>
    <font>
      <b/>
      <sz val="11"/>
      <color theme="5"/>
      <name val="Montserrat SemiBold"/>
    </font>
    <font>
      <sz val="11"/>
      <color theme="9"/>
      <name val="Montserrat SemiBold"/>
    </font>
    <font>
      <sz val="11"/>
      <color theme="1"/>
      <name val="Montserrat SemiBold"/>
    </font>
    <font>
      <sz val="14"/>
      <color theme="9"/>
      <name val="Montserrat Medium"/>
    </font>
    <font>
      <sz val="14"/>
      <color theme="8"/>
      <name val="Montserrat Medium"/>
    </font>
    <font>
      <sz val="14"/>
      <color theme="1"/>
      <name val="Montserrat Medium"/>
    </font>
    <font>
      <sz val="9"/>
      <color theme="3"/>
      <name val="Montserrat Light"/>
    </font>
    <font>
      <b/>
      <sz val="9"/>
      <color theme="5"/>
      <name val="Hind Light"/>
    </font>
    <font>
      <sz val="11"/>
      <color rgb="FF000000"/>
      <name val="Calibri"/>
      <family val="2"/>
    </font>
    <font>
      <sz val="11"/>
      <color theme="1" tint="0.39988402966399123"/>
      <name val="Montserrat Light"/>
    </font>
    <font>
      <sz val="14"/>
      <color rgb="FF3B9BCC"/>
      <name val="Hind Light"/>
    </font>
    <font>
      <sz val="9"/>
      <color theme="1"/>
      <name val="Hind Light"/>
    </font>
    <font>
      <sz val="11"/>
      <color theme="1"/>
      <name val="Hind Light"/>
    </font>
    <font>
      <sz val="10"/>
      <color theme="1" tint="0.39988402966399123"/>
      <name val="Montserrat Medium"/>
    </font>
    <font>
      <sz val="14"/>
      <color theme="1"/>
      <name val="Hind Light"/>
    </font>
    <font>
      <b/>
      <sz val="14"/>
      <color theme="5"/>
      <name val="Hind Light"/>
    </font>
    <font>
      <i/>
      <sz val="9"/>
      <name val="Montserrat Light"/>
    </font>
    <font>
      <sz val="18"/>
      <color theme="8"/>
      <name val="Montserrat Light"/>
    </font>
    <font>
      <sz val="12"/>
      <color theme="8"/>
      <name val="Montserrat Light"/>
    </font>
    <font>
      <sz val="11"/>
      <color theme="1" tint="0.39988402966399123"/>
      <name val="Montserrat Medium"/>
    </font>
    <font>
      <sz val="11"/>
      <color rgb="FF003959"/>
      <name val="Montserrat Light"/>
    </font>
    <font>
      <sz val="9"/>
      <color theme="1"/>
      <name val="Montserrat Medium"/>
    </font>
    <font>
      <b/>
      <sz val="9"/>
      <color theme="5"/>
      <name val="Montserrat Medium"/>
    </font>
    <font>
      <i/>
      <sz val="11"/>
      <color theme="1" tint="0.39988402966399123"/>
      <name val="Montserrat Medium"/>
    </font>
    <font>
      <i/>
      <sz val="11"/>
      <color theme="1" tint="0.39988402966399123"/>
      <name val="Montserrat Light"/>
    </font>
    <font>
      <sz val="12"/>
      <color theme="4"/>
      <name val="Hind Light"/>
    </font>
    <font>
      <vertAlign val="superscript"/>
      <sz val="14"/>
      <color theme="6"/>
      <name val="Montserrat SemiBold"/>
    </font>
    <font>
      <vertAlign val="superscript"/>
      <sz val="11"/>
      <color theme="6"/>
      <name val="Montserrat SemiBold"/>
    </font>
    <font>
      <sz val="11"/>
      <color theme="1" tint="0.59987182226020086"/>
      <name val="Montserrat Light"/>
    </font>
    <font>
      <sz val="12"/>
      <color theme="1"/>
      <name val="Montserrat Medium"/>
    </font>
    <font>
      <b/>
      <sz val="12"/>
      <color theme="5"/>
      <name val="Montserrat Medium"/>
    </font>
    <font>
      <i/>
      <sz val="11"/>
      <color theme="1"/>
      <name val="Montserrat Light"/>
    </font>
    <font>
      <sz val="8"/>
      <color theme="1"/>
      <name val="Montserrat Light"/>
    </font>
    <font>
      <sz val="48"/>
      <color theme="9"/>
      <name val="Hind Light"/>
    </font>
    <font>
      <i/>
      <sz val="11"/>
      <color theme="1"/>
      <name val="Hind Light"/>
    </font>
    <font>
      <sz val="9"/>
      <color rgb="FF003959"/>
      <name val="Montserrat Light"/>
    </font>
    <font>
      <b/>
      <sz val="14"/>
      <color theme="5"/>
      <name val="Montserrat Light"/>
    </font>
    <font>
      <sz val="14"/>
      <color theme="1"/>
      <name val="Montserrat Light"/>
    </font>
    <font>
      <b/>
      <sz val="10"/>
      <color theme="5"/>
      <name val="Montserrat Light"/>
    </font>
    <font>
      <sz val="10"/>
      <color theme="1"/>
      <name val="Montserrat Light"/>
    </font>
    <font>
      <sz val="10"/>
      <color theme="6"/>
      <name val="Montserrat SemiBold"/>
    </font>
    <font>
      <i/>
      <sz val="10"/>
      <color theme="6"/>
      <name val="Montserrat Light"/>
    </font>
    <font>
      <i/>
      <sz val="10"/>
      <color theme="1"/>
      <name val="Montserrat Light"/>
    </font>
    <font>
      <sz val="48"/>
      <color theme="8" tint="0.59987182226020086"/>
      <name val="Hind Light"/>
    </font>
    <font>
      <sz val="8"/>
      <color theme="3" tint="0.39988402966399123"/>
      <name val="Montserrat"/>
    </font>
    <font>
      <sz val="11"/>
      <color theme="4"/>
      <name val="Hind Light"/>
    </font>
    <font>
      <i/>
      <sz val="9"/>
      <color theme="1" tint="0.39988402966399123"/>
      <name val="Montserrat Light"/>
    </font>
    <font>
      <i/>
      <sz val="10"/>
      <color theme="1" tint="0.39988402966399123"/>
      <name val="Montserrat Light"/>
    </font>
    <font>
      <sz val="11"/>
      <color theme="6"/>
      <name val="Montserrat Medium"/>
    </font>
    <font>
      <i/>
      <sz val="11"/>
      <color theme="6"/>
      <name val="Montserrat Light"/>
    </font>
    <font>
      <u/>
      <sz val="14"/>
      <color theme="10"/>
      <name val="Calibri"/>
      <family val="2"/>
    </font>
    <font>
      <b/>
      <sz val="9"/>
      <color theme="1"/>
      <name val="Montserrat Light"/>
    </font>
    <font>
      <u/>
      <sz val="11"/>
      <color theme="10"/>
      <name val="Montserrat Regular"/>
      <charset val="1"/>
    </font>
    <font>
      <sz val="11"/>
      <color rgb="FF414141"/>
      <name val="Montserrat Medium"/>
    </font>
    <font>
      <sz val="11"/>
      <color rgb="FF414141"/>
      <name val="Montserrat Light"/>
    </font>
    <font>
      <sz val="12"/>
      <color theme="6"/>
      <name val="Hind Light"/>
    </font>
    <font>
      <b/>
      <sz val="11"/>
      <color theme="3"/>
      <name val="Montserrat Medium"/>
    </font>
    <font>
      <b/>
      <sz val="11"/>
      <color theme="1"/>
      <name val="Montserrat Medium"/>
    </font>
    <font>
      <b/>
      <sz val="11"/>
      <color theme="3"/>
      <name val="Montserrat Light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F1F5"/>
        <bgColor rgb="FFF7F7F7"/>
      </patternFill>
    </fill>
    <fill>
      <patternFill patternType="solid">
        <fgColor theme="6" tint="0.79989013336588644"/>
        <bgColor rgb="FFFFE6CE"/>
      </patternFill>
    </fill>
    <fill>
      <patternFill patternType="solid">
        <fgColor rgb="FFFFFFFF"/>
        <bgColor rgb="FFFAFEFE"/>
      </patternFill>
    </fill>
    <fill>
      <patternFill patternType="solid">
        <fgColor rgb="FFF7F7F7"/>
        <bgColor rgb="FFFAFEFE"/>
      </patternFill>
    </fill>
    <fill>
      <patternFill patternType="solid">
        <fgColor theme="0"/>
        <bgColor rgb="FFFFFFFF"/>
      </patternFill>
    </fill>
    <fill>
      <patternFill patternType="solid">
        <fgColor rgb="FFFFE6CE"/>
        <bgColor rgb="FFFFE5CF"/>
      </patternFill>
    </fill>
  </fills>
  <borders count="22">
    <border>
      <left/>
      <right/>
      <top/>
      <bottom/>
      <diagonal/>
    </border>
    <border>
      <left style="hair">
        <color theme="4"/>
      </left>
      <right/>
      <top/>
      <bottom/>
      <diagonal/>
    </border>
    <border>
      <left/>
      <right/>
      <top/>
      <bottom style="hair">
        <color theme="4"/>
      </bottom>
      <diagonal/>
    </border>
    <border>
      <left style="hair">
        <color theme="6" tint="0.39988402966399123"/>
      </left>
      <right style="hair">
        <color theme="6" tint="0.39988402966399123"/>
      </right>
      <top/>
      <bottom style="hair">
        <color theme="6" tint="0.39988402966399123"/>
      </bottom>
      <diagonal/>
    </border>
    <border>
      <left/>
      <right/>
      <top style="hair">
        <color theme="4"/>
      </top>
      <bottom/>
      <diagonal/>
    </border>
    <border>
      <left/>
      <right style="hair">
        <color theme="6" tint="0.39988402966399123"/>
      </right>
      <top/>
      <bottom/>
      <diagonal/>
    </border>
    <border>
      <left style="hair">
        <color theme="6" tint="0.39988402966399123"/>
      </left>
      <right style="hair">
        <color theme="6" tint="0.39988402966399123"/>
      </right>
      <top style="hair">
        <color theme="6" tint="0.39988402966399123"/>
      </top>
      <bottom/>
      <diagonal/>
    </border>
    <border>
      <left/>
      <right/>
      <top style="hair">
        <color theme="4"/>
      </top>
      <bottom style="hair">
        <color theme="4"/>
      </bottom>
      <diagonal/>
    </border>
    <border>
      <left style="hair">
        <color theme="6" tint="0.39988402966399123"/>
      </left>
      <right style="hair">
        <color theme="6" tint="0.39988402966399123"/>
      </right>
      <top style="hair">
        <color theme="6" tint="0.39988402966399123"/>
      </top>
      <bottom style="hair">
        <color theme="4"/>
      </bottom>
      <diagonal/>
    </border>
    <border>
      <left/>
      <right/>
      <top/>
      <bottom style="hair">
        <color theme="6" tint="0.39988402966399123"/>
      </bottom>
      <diagonal/>
    </border>
    <border>
      <left style="hair">
        <color theme="6" tint="0.39988402966399123"/>
      </left>
      <right style="hair">
        <color theme="6" tint="0.39988402966399123"/>
      </right>
      <top style="hair">
        <color theme="6" tint="0.39988402966399123"/>
      </top>
      <bottom style="hair">
        <color theme="6" tint="0.39988402966399123"/>
      </bottom>
      <diagonal/>
    </border>
    <border>
      <left style="hair">
        <color theme="6" tint="0.39988402966399123"/>
      </left>
      <right/>
      <top style="hair">
        <color theme="6" tint="0.39988402966399123"/>
      </top>
      <bottom style="hair">
        <color theme="6" tint="0.39988402966399123"/>
      </bottom>
      <diagonal/>
    </border>
    <border>
      <left style="hair">
        <color theme="6" tint="0.39988402966399123"/>
      </left>
      <right/>
      <top style="hair">
        <color theme="6" tint="0.39988402966399123"/>
      </top>
      <bottom style="hair">
        <color theme="4"/>
      </bottom>
      <diagonal/>
    </border>
    <border>
      <left/>
      <right style="hair">
        <color theme="6" tint="0.39988402966399123"/>
      </right>
      <top/>
      <bottom style="hair">
        <color theme="4"/>
      </bottom>
      <diagonal/>
    </border>
    <border>
      <left/>
      <right style="hair">
        <color theme="4"/>
      </right>
      <top/>
      <bottom style="hair">
        <color theme="4"/>
      </bottom>
      <diagonal/>
    </border>
    <border>
      <left/>
      <right/>
      <top style="hair">
        <color theme="4"/>
      </top>
      <bottom style="hair">
        <color theme="4" tint="0.59987182226020086"/>
      </bottom>
      <diagonal/>
    </border>
    <border>
      <left/>
      <right/>
      <top style="hair">
        <color theme="4" tint="0.59987182226020086"/>
      </top>
      <bottom style="hair">
        <color theme="4" tint="0.59987182226020086"/>
      </bottom>
      <diagonal/>
    </border>
    <border>
      <left/>
      <right/>
      <top style="hair">
        <color theme="4"/>
      </top>
      <bottom style="hair">
        <color theme="6" tint="0.39988402966399123"/>
      </bottom>
      <diagonal/>
    </border>
    <border>
      <left/>
      <right style="hair">
        <color theme="6" tint="0.39988402966399123"/>
      </right>
      <top style="hair">
        <color theme="4"/>
      </top>
      <bottom style="hair">
        <color theme="4"/>
      </bottom>
      <diagonal/>
    </border>
    <border>
      <left/>
      <right/>
      <top style="hair">
        <color theme="4" tint="0.59987182226020086"/>
      </top>
      <bottom style="hair">
        <color theme="4"/>
      </bottom>
      <diagonal/>
    </border>
    <border>
      <left style="hair">
        <color theme="6" tint="0.39988402966399123"/>
      </left>
      <right style="hair">
        <color theme="6" tint="0.39988402966399123"/>
      </right>
      <top/>
      <bottom/>
      <diagonal/>
    </border>
    <border>
      <left/>
      <right style="hair">
        <color theme="4"/>
      </right>
      <top/>
      <bottom/>
      <diagonal/>
    </border>
  </borders>
  <cellStyleXfs count="5">
    <xf numFmtId="0" fontId="0" fillId="0" borderId="0"/>
    <xf numFmtId="166" fontId="83" fillId="0" borderId="0" applyBorder="0"/>
    <xf numFmtId="168" fontId="83" fillId="0" borderId="0" applyBorder="0"/>
    <xf numFmtId="9" fontId="83" fillId="0" borderId="0" applyBorder="0"/>
    <xf numFmtId="0" fontId="6" fillId="0" borderId="0" applyBorder="0"/>
  </cellStyleXfs>
  <cellXfs count="1059">
    <xf numFmtId="0" fontId="0" fillId="0" borderId="0" xfId="0"/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right" vertical="center"/>
    </xf>
    <xf numFmtId="0" fontId="67" fillId="0" borderId="0" xfId="4" applyFont="1" applyBorder="1" applyAlignment="1">
      <alignment horizontal="left" vertical="top" indent="1"/>
    </xf>
    <xf numFmtId="0" fontId="8" fillId="0" borderId="0" xfId="0" applyFont="1" applyAlignment="1">
      <alignment horizontal="left" vertical="top" indent="1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 indent="1"/>
    </xf>
    <xf numFmtId="0" fontId="2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 indent="1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 indent="1"/>
    </xf>
    <xf numFmtId="0" fontId="5" fillId="2" borderId="0" xfId="4" applyFont="1" applyFill="1" applyBorder="1" applyAlignment="1">
      <alignment horizontal="left" vertical="top" indent="1"/>
    </xf>
    <xf numFmtId="0" fontId="6" fillId="2" borderId="0" xfId="4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9" fontId="8" fillId="2" borderId="0" xfId="3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164" fontId="8" fillId="2" borderId="0" xfId="0" applyNumberFormat="1" applyFont="1" applyFill="1" applyAlignment="1">
      <alignment horizontal="right" vertical="center" indent="1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9" fontId="8" fillId="2" borderId="2" xfId="3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164" fontId="8" fillId="2" borderId="2" xfId="0" applyNumberFormat="1" applyFont="1" applyFill="1" applyBorder="1" applyAlignment="1">
      <alignment horizontal="right" vertical="center" indent="1"/>
    </xf>
    <xf numFmtId="0" fontId="8" fillId="2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9" fontId="8" fillId="0" borderId="0" xfId="3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8" fillId="0" borderId="0" xfId="0" applyNumberFormat="1" applyFont="1" applyAlignment="1">
      <alignment horizontal="right" vertical="center" inden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right" indent="1"/>
    </xf>
    <xf numFmtId="0" fontId="12" fillId="0" borderId="0" xfId="0" applyFont="1" applyAlignment="1">
      <alignment horizontal="right"/>
    </xf>
    <xf numFmtId="0" fontId="14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165" fontId="3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left" vertical="top" indent="1"/>
    </xf>
    <xf numFmtId="0" fontId="15" fillId="0" borderId="0" xfId="0" applyFont="1"/>
    <xf numFmtId="0" fontId="1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16" fillId="0" borderId="0" xfId="0" applyNumberFormat="1" applyFont="1" applyAlignment="1">
      <alignment horizontal="right" indent="1"/>
    </xf>
    <xf numFmtId="0" fontId="2" fillId="0" borderId="0" xfId="0" applyFont="1"/>
    <xf numFmtId="165" fontId="3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left" vertical="top" indent="1"/>
    </xf>
    <xf numFmtId="0" fontId="1" fillId="0" borderId="0" xfId="0" applyFont="1" applyAlignment="1">
      <alignment horizontal="center" vertical="top"/>
    </xf>
    <xf numFmtId="0" fontId="18" fillId="0" borderId="2" xfId="0" applyFont="1" applyBorder="1" applyAlignment="1">
      <alignment horizontal="left" indent="1"/>
    </xf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 wrapText="1"/>
    </xf>
    <xf numFmtId="164" fontId="18" fillId="0" borderId="2" xfId="0" applyNumberFormat="1" applyFont="1" applyBorder="1" applyAlignment="1">
      <alignment horizontal="right" indent="1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vertical="center"/>
    </xf>
    <xf numFmtId="0" fontId="20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167" fontId="3" fillId="2" borderId="0" xfId="1" applyNumberFormat="1" applyFont="1" applyFill="1" applyBorder="1" applyAlignment="1">
      <alignment horizontal="right" vertical="center"/>
    </xf>
    <xf numFmtId="169" fontId="3" fillId="2" borderId="0" xfId="2" applyNumberFormat="1" applyFont="1" applyFill="1" applyBorder="1" applyAlignment="1">
      <alignment horizontal="right" vertical="center"/>
    </xf>
    <xf numFmtId="0" fontId="21" fillId="3" borderId="3" xfId="0" applyFont="1" applyFill="1" applyBorder="1" applyAlignment="1" applyProtection="1">
      <alignment horizontal="center" vertical="center"/>
      <protection locked="0"/>
    </xf>
    <xf numFmtId="164" fontId="22" fillId="2" borderId="0" xfId="2" applyNumberFormat="1" applyFont="1" applyFill="1" applyBorder="1" applyAlignment="1">
      <alignment horizontal="right" vertical="center" indent="1"/>
    </xf>
    <xf numFmtId="0" fontId="20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167" fontId="3" fillId="0" borderId="0" xfId="1" applyNumberFormat="1" applyFont="1" applyBorder="1" applyAlignment="1">
      <alignment horizontal="right" vertical="center"/>
    </xf>
    <xf numFmtId="169" fontId="3" fillId="0" borderId="0" xfId="2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164" fontId="22" fillId="0" borderId="0" xfId="2" applyNumberFormat="1" applyFont="1" applyBorder="1" applyAlignment="1">
      <alignment horizontal="right" vertical="center" indent="1"/>
    </xf>
    <xf numFmtId="0" fontId="23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center" vertical="center"/>
    </xf>
    <xf numFmtId="167" fontId="24" fillId="0" borderId="4" xfId="0" applyNumberFormat="1" applyFont="1" applyBorder="1" applyAlignment="1">
      <alignment horizontal="right" vertical="center"/>
    </xf>
    <xf numFmtId="164" fontId="24" fillId="0" borderId="4" xfId="2" applyNumberFormat="1" applyFont="1" applyBorder="1" applyAlignment="1">
      <alignment horizontal="right" vertical="center" indent="1"/>
    </xf>
    <xf numFmtId="0" fontId="25" fillId="0" borderId="0" xfId="0" applyFont="1" applyAlignment="1">
      <alignment vertical="center"/>
    </xf>
    <xf numFmtId="165" fontId="25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168" fontId="27" fillId="0" borderId="0" xfId="2" applyFont="1" applyBorder="1" applyAlignment="1">
      <alignment horizontal="left" vertical="center"/>
    </xf>
    <xf numFmtId="170" fontId="27" fillId="0" borderId="0" xfId="2" applyNumberFormat="1" applyFont="1" applyBorder="1" applyAlignment="1">
      <alignment horizontal="left" vertical="center"/>
    </xf>
    <xf numFmtId="0" fontId="26" fillId="0" borderId="0" xfId="2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right" vertical="center" indent="1"/>
    </xf>
    <xf numFmtId="0" fontId="29" fillId="0" borderId="0" xfId="0" applyFont="1" applyAlignment="1">
      <alignment horizontal="left" vertical="center" indent="1"/>
    </xf>
    <xf numFmtId="0" fontId="29" fillId="0" borderId="0" xfId="0" applyFont="1" applyAlignment="1">
      <alignment horizontal="center" vertical="center"/>
    </xf>
    <xf numFmtId="168" fontId="29" fillId="0" borderId="0" xfId="2" applyFont="1" applyBorder="1" applyAlignment="1">
      <alignment horizontal="left" vertical="center"/>
    </xf>
    <xf numFmtId="170" fontId="29" fillId="0" borderId="0" xfId="2" applyNumberFormat="1" applyFont="1" applyBorder="1" applyAlignment="1">
      <alignment horizontal="left" vertical="center"/>
    </xf>
    <xf numFmtId="164" fontId="16" fillId="0" borderId="0" xfId="2" applyNumberFormat="1" applyFont="1" applyBorder="1" applyAlignment="1">
      <alignment horizontal="right" vertical="center" indent="1"/>
    </xf>
    <xf numFmtId="0" fontId="15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 indent="1"/>
    </xf>
    <xf numFmtId="0" fontId="30" fillId="0" borderId="0" xfId="0" applyFont="1" applyAlignment="1">
      <alignment horizontal="center"/>
    </xf>
    <xf numFmtId="0" fontId="3" fillId="2" borderId="0" xfId="1" applyNumberFormat="1" applyFont="1" applyFill="1" applyBorder="1" applyAlignment="1">
      <alignment horizontal="center" vertical="center"/>
    </xf>
    <xf numFmtId="171" fontId="3" fillId="0" borderId="0" xfId="3" applyNumberFormat="1" applyFont="1" applyBorder="1" applyAlignment="1">
      <alignment vertical="center"/>
    </xf>
    <xf numFmtId="9" fontId="3" fillId="0" borderId="0" xfId="3" applyFont="1" applyBorder="1" applyAlignment="1">
      <alignment vertical="center"/>
    </xf>
    <xf numFmtId="0" fontId="3" fillId="0" borderId="0" xfId="1" applyNumberFormat="1" applyFont="1" applyBorder="1" applyAlignment="1">
      <alignment horizontal="center" vertical="center"/>
    </xf>
    <xf numFmtId="172" fontId="3" fillId="0" borderId="0" xfId="0" applyNumberFormat="1" applyFont="1" applyAlignment="1">
      <alignment vertical="center"/>
    </xf>
    <xf numFmtId="0" fontId="31" fillId="0" borderId="0" xfId="0" applyFont="1"/>
    <xf numFmtId="0" fontId="32" fillId="0" borderId="4" xfId="0" applyFont="1" applyBorder="1" applyAlignment="1">
      <alignment horizontal="center" vertical="center"/>
    </xf>
    <xf numFmtId="164" fontId="24" fillId="0" borderId="4" xfId="0" applyNumberFormat="1" applyFont="1" applyBorder="1" applyAlignment="1">
      <alignment horizontal="right" vertical="center" indent="1"/>
    </xf>
    <xf numFmtId="165" fontId="26" fillId="0" borderId="0" xfId="0" applyNumberFormat="1" applyFont="1" applyAlignment="1">
      <alignment horizontal="right" vertical="center" indent="1"/>
    </xf>
    <xf numFmtId="173" fontId="16" fillId="0" borderId="0" xfId="2" applyNumberFormat="1" applyFont="1" applyBorder="1" applyAlignment="1">
      <alignment horizontal="right" vertical="center" indent="1"/>
    </xf>
    <xf numFmtId="0" fontId="2" fillId="0" borderId="0" xfId="0" applyFont="1" applyAlignment="1">
      <alignment horizontal="right" vertical="top" indent="1"/>
    </xf>
    <xf numFmtId="0" fontId="2" fillId="0" borderId="0" xfId="0" applyFont="1" applyAlignment="1">
      <alignment horizontal="right" vertical="center" indent="1"/>
    </xf>
    <xf numFmtId="0" fontId="33" fillId="0" borderId="2" xfId="0" applyFont="1" applyBorder="1" applyAlignment="1">
      <alignment horizontal="center"/>
    </xf>
    <xf numFmtId="0" fontId="33" fillId="0" borderId="2" xfId="0" applyFont="1" applyBorder="1" applyAlignment="1">
      <alignment horizontal="right" vertical="center"/>
    </xf>
    <xf numFmtId="0" fontId="34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2" borderId="0" xfId="0" applyFont="1" applyFill="1" applyAlignment="1">
      <alignment horizontal="left" vertical="center" indent="1"/>
    </xf>
    <xf numFmtId="173" fontId="22" fillId="2" borderId="0" xfId="2" applyNumberFormat="1" applyFont="1" applyFill="1" applyBorder="1" applyAlignment="1">
      <alignment horizontal="right" vertical="center" indent="1"/>
    </xf>
    <xf numFmtId="0" fontId="36" fillId="0" borderId="0" xfId="0" applyFont="1" applyAlignment="1">
      <alignment horizontal="left" vertical="center" indent="1"/>
    </xf>
    <xf numFmtId="173" fontId="22" fillId="0" borderId="0" xfId="2" applyNumberFormat="1" applyFont="1" applyBorder="1" applyAlignment="1">
      <alignment horizontal="right" vertical="center" indent="1"/>
    </xf>
    <xf numFmtId="168" fontId="3" fillId="2" borderId="0" xfId="2" applyFont="1" applyFill="1" applyBorder="1" applyAlignment="1">
      <alignment horizontal="right" vertical="center"/>
    </xf>
    <xf numFmtId="165" fontId="24" fillId="0" borderId="4" xfId="0" applyNumberFormat="1" applyFont="1" applyBorder="1" applyAlignment="1">
      <alignment horizontal="right" vertical="center" indent="1"/>
    </xf>
    <xf numFmtId="0" fontId="27" fillId="0" borderId="0" xfId="0" applyFont="1" applyAlignment="1">
      <alignment horizontal="left" vertical="center"/>
    </xf>
    <xf numFmtId="165" fontId="26" fillId="0" borderId="0" xfId="0" applyNumberFormat="1" applyFont="1" applyAlignment="1">
      <alignment horizontal="right" vertical="center"/>
    </xf>
    <xf numFmtId="167" fontId="18" fillId="0" borderId="2" xfId="1" applyNumberFormat="1" applyFont="1" applyBorder="1" applyAlignment="1">
      <alignment horizontal="right"/>
    </xf>
    <xf numFmtId="0" fontId="18" fillId="0" borderId="2" xfId="0" applyFont="1" applyBorder="1" applyAlignment="1">
      <alignment horizontal="right"/>
    </xf>
    <xf numFmtId="0" fontId="37" fillId="0" borderId="0" xfId="0" applyFont="1"/>
    <xf numFmtId="0" fontId="38" fillId="0" borderId="0" xfId="0" applyFont="1" applyAlignment="1">
      <alignment horizontal="center"/>
    </xf>
    <xf numFmtId="0" fontId="3" fillId="2" borderId="0" xfId="0" applyFont="1" applyFill="1" applyAlignment="1">
      <alignment horizontal="right" vertical="center"/>
    </xf>
    <xf numFmtId="168" fontId="3" fillId="2" borderId="0" xfId="2" applyFont="1" applyFill="1" applyBorder="1" applyAlignment="1">
      <alignment horizontal="center" vertical="center"/>
    </xf>
    <xf numFmtId="170" fontId="3" fillId="2" borderId="0" xfId="2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168" fontId="3" fillId="0" borderId="0" xfId="2" applyFont="1" applyBorder="1" applyAlignment="1">
      <alignment horizontal="center" vertical="center"/>
    </xf>
    <xf numFmtId="170" fontId="3" fillId="0" borderId="0" xfId="2" applyNumberFormat="1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3" fillId="0" borderId="0" xfId="0" applyFont="1"/>
    <xf numFmtId="164" fontId="3" fillId="0" borderId="0" xfId="0" applyNumberFormat="1" applyFont="1" applyAlignment="1">
      <alignment horizontal="right" indent="1"/>
    </xf>
    <xf numFmtId="0" fontId="40" fillId="0" borderId="0" xfId="0" applyFont="1"/>
    <xf numFmtId="0" fontId="3" fillId="2" borderId="0" xfId="2" applyNumberFormat="1" applyFont="1" applyFill="1" applyBorder="1" applyAlignment="1">
      <alignment horizontal="center" vertical="center"/>
    </xf>
    <xf numFmtId="167" fontId="3" fillId="2" borderId="4" xfId="1" applyNumberFormat="1" applyFont="1" applyFill="1" applyBorder="1" applyAlignment="1">
      <alignment horizontal="center" vertical="center"/>
    </xf>
    <xf numFmtId="168" fontId="3" fillId="2" borderId="0" xfId="2" applyFont="1" applyFill="1" applyBorder="1" applyAlignment="1">
      <alignment horizontal="left" vertical="center"/>
    </xf>
    <xf numFmtId="0" fontId="3" fillId="0" borderId="0" xfId="2" applyNumberFormat="1" applyFont="1" applyBorder="1" applyAlignment="1">
      <alignment horizontal="center" vertical="center"/>
    </xf>
    <xf numFmtId="167" fontId="3" fillId="0" borderId="0" xfId="1" applyNumberFormat="1" applyFont="1" applyBorder="1" applyAlignment="1">
      <alignment horizontal="center" vertical="center"/>
    </xf>
    <xf numFmtId="168" fontId="3" fillId="0" borderId="0" xfId="2" applyFont="1" applyBorder="1" applyAlignment="1">
      <alignment horizontal="left" vertical="center"/>
    </xf>
    <xf numFmtId="170" fontId="3" fillId="0" borderId="0" xfId="2" applyNumberFormat="1" applyFont="1" applyBorder="1" applyAlignment="1">
      <alignment horizontal="left" vertical="center"/>
    </xf>
    <xf numFmtId="0" fontId="36" fillId="2" borderId="2" xfId="0" applyFont="1" applyFill="1" applyBorder="1" applyAlignment="1">
      <alignment horizontal="left" vertical="center" indent="1"/>
    </xf>
    <xf numFmtId="0" fontId="3" fillId="2" borderId="2" xfId="2" applyNumberFormat="1" applyFont="1" applyFill="1" applyBorder="1" applyAlignment="1">
      <alignment horizontal="center" vertical="center"/>
    </xf>
    <xf numFmtId="167" fontId="3" fillId="2" borderId="2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72" fontId="41" fillId="0" borderId="0" xfId="0" applyNumberFormat="1" applyFont="1" applyAlignment="1">
      <alignment horizontal="left" vertical="center" indent="1"/>
    </xf>
    <xf numFmtId="172" fontId="41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 indent="1"/>
    </xf>
    <xf numFmtId="0" fontId="3" fillId="0" borderId="0" xfId="0" applyFont="1" applyAlignment="1">
      <alignment horizontal="right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right" vertical="center" indent="1"/>
    </xf>
    <xf numFmtId="0" fontId="37" fillId="0" borderId="0" xfId="0" applyFont="1" applyAlignment="1">
      <alignment vertical="center"/>
    </xf>
    <xf numFmtId="172" fontId="37" fillId="0" borderId="0" xfId="0" applyNumberFormat="1" applyFont="1" applyAlignment="1">
      <alignment vertical="center"/>
    </xf>
    <xf numFmtId="165" fontId="37" fillId="0" borderId="0" xfId="0" applyNumberFormat="1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174" fontId="3" fillId="2" borderId="0" xfId="2" applyNumberFormat="1" applyFont="1" applyFill="1" applyBorder="1" applyAlignment="1">
      <alignment horizontal="center" vertical="center"/>
    </xf>
    <xf numFmtId="174" fontId="3" fillId="2" borderId="0" xfId="2" applyNumberFormat="1" applyFont="1" applyFill="1" applyBorder="1" applyAlignment="1">
      <alignment horizontal="left" vertical="center"/>
    </xf>
    <xf numFmtId="3" fontId="21" fillId="3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 indent="1"/>
    </xf>
    <xf numFmtId="174" fontId="3" fillId="0" borderId="0" xfId="2" applyNumberFormat="1" applyFont="1" applyBorder="1" applyAlignment="1">
      <alignment horizontal="center" vertical="center"/>
    </xf>
    <xf numFmtId="174" fontId="3" fillId="0" borderId="0" xfId="2" applyNumberFormat="1" applyFont="1" applyBorder="1" applyAlignment="1">
      <alignment horizontal="left" vertical="center"/>
    </xf>
    <xf numFmtId="3" fontId="3" fillId="0" borderId="0" xfId="2" applyNumberFormat="1" applyFont="1" applyBorder="1" applyAlignment="1">
      <alignment vertical="center"/>
    </xf>
    <xf numFmtId="3" fontId="21" fillId="3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 indent="1"/>
    </xf>
    <xf numFmtId="0" fontId="41" fillId="0" borderId="0" xfId="0" applyFont="1" applyAlignment="1">
      <alignment horizontal="center" vertical="center"/>
    </xf>
    <xf numFmtId="164" fontId="41" fillId="0" borderId="0" xfId="0" applyNumberFormat="1" applyFont="1" applyAlignment="1">
      <alignment horizontal="right" vertical="center" indent="1"/>
    </xf>
    <xf numFmtId="165" fontId="41" fillId="0" borderId="0" xfId="0" applyNumberFormat="1" applyFont="1" applyAlignment="1">
      <alignment horizontal="right" vertical="center"/>
    </xf>
    <xf numFmtId="165" fontId="41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164" fontId="12" fillId="0" borderId="0" xfId="0" applyNumberFormat="1" applyFont="1" applyAlignment="1">
      <alignment horizontal="right" vertical="top" indent="1"/>
    </xf>
    <xf numFmtId="0" fontId="8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0" borderId="2" xfId="0" applyFont="1" applyBorder="1" applyAlignment="1">
      <alignment horizontal="left"/>
    </xf>
    <xf numFmtId="175" fontId="3" fillId="2" borderId="0" xfId="2" applyNumberFormat="1" applyFont="1" applyFill="1" applyBorder="1" applyAlignment="1">
      <alignment horizontal="right" vertical="center"/>
    </xf>
    <xf numFmtId="168" fontId="3" fillId="2" borderId="0" xfId="2" applyFont="1" applyFill="1" applyBorder="1" applyAlignment="1">
      <alignment vertical="center"/>
    </xf>
    <xf numFmtId="169" fontId="3" fillId="2" borderId="0" xfId="2" applyNumberFormat="1" applyFont="1" applyFill="1" applyBorder="1" applyAlignment="1">
      <alignment vertical="center"/>
    </xf>
    <xf numFmtId="3" fontId="21" fillId="3" borderId="3" xfId="0" applyNumberFormat="1" applyFont="1" applyFill="1" applyBorder="1" applyAlignment="1" applyProtection="1">
      <alignment horizontal="center" vertical="center"/>
      <protection locked="0"/>
    </xf>
    <xf numFmtId="0" fontId="43" fillId="2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169" fontId="3" fillId="0" borderId="0" xfId="2" applyNumberFormat="1" applyFont="1" applyBorder="1" applyAlignment="1">
      <alignment horizontal="center" vertical="center"/>
    </xf>
    <xf numFmtId="168" fontId="3" fillId="0" borderId="0" xfId="2" applyFont="1" applyBorder="1" applyAlignment="1">
      <alignment vertical="center"/>
    </xf>
    <xf numFmtId="3" fontId="21" fillId="3" borderId="6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14" fillId="2" borderId="2" xfId="0" applyFont="1" applyFill="1" applyBorder="1" applyAlignment="1">
      <alignment horizontal="left" vertical="center" indent="1"/>
    </xf>
    <xf numFmtId="0" fontId="14" fillId="2" borderId="2" xfId="0" applyFont="1" applyFill="1" applyBorder="1" applyAlignment="1">
      <alignment vertical="center"/>
    </xf>
    <xf numFmtId="175" fontId="3" fillId="2" borderId="2" xfId="2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 indent="1"/>
    </xf>
    <xf numFmtId="0" fontId="46" fillId="4" borderId="0" xfId="0" applyFont="1" applyFill="1" applyAlignment="1">
      <alignment horizontal="left" vertical="center" indent="1"/>
    </xf>
    <xf numFmtId="0" fontId="47" fillId="4" borderId="0" xfId="0" applyFont="1" applyFill="1" applyAlignment="1">
      <alignment horizontal="left" vertical="center"/>
    </xf>
    <xf numFmtId="0" fontId="46" fillId="5" borderId="0" xfId="0" applyFont="1" applyFill="1" applyAlignment="1">
      <alignment horizontal="left" vertical="center" indent="1"/>
    </xf>
    <xf numFmtId="0" fontId="47" fillId="5" borderId="0" xfId="0" applyFont="1" applyFill="1" applyAlignment="1">
      <alignment horizontal="left" vertical="center"/>
    </xf>
    <xf numFmtId="0" fontId="46" fillId="4" borderId="2" xfId="0" applyFont="1" applyFill="1" applyBorder="1" applyAlignment="1">
      <alignment horizontal="left" vertical="center" indent="1"/>
    </xf>
    <xf numFmtId="0" fontId="47" fillId="4" borderId="2" xfId="0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 indent="1"/>
    </xf>
    <xf numFmtId="0" fontId="41" fillId="0" borderId="0" xfId="0" applyFont="1" applyAlignment="1">
      <alignment horizontal="left" vertical="center"/>
    </xf>
    <xf numFmtId="168" fontId="41" fillId="0" borderId="0" xfId="2" applyFont="1" applyBorder="1" applyAlignment="1">
      <alignment horizontal="left" vertical="center"/>
    </xf>
    <xf numFmtId="170" fontId="41" fillId="0" borderId="0" xfId="2" applyNumberFormat="1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2" fillId="0" borderId="2" xfId="0" applyFont="1" applyBorder="1" applyAlignment="1">
      <alignment vertical="center"/>
    </xf>
    <xf numFmtId="0" fontId="48" fillId="0" borderId="2" xfId="0" applyFont="1" applyBorder="1" applyAlignment="1">
      <alignment horizontal="center" vertical="center"/>
    </xf>
    <xf numFmtId="176" fontId="51" fillId="2" borderId="0" xfId="0" applyNumberFormat="1" applyFont="1" applyFill="1" applyAlignment="1">
      <alignment horizontal="right" vertical="center"/>
    </xf>
    <xf numFmtId="169" fontId="3" fillId="2" borderId="0" xfId="0" applyNumberFormat="1" applyFont="1" applyFill="1" applyAlignment="1">
      <alignment vertical="center"/>
    </xf>
    <xf numFmtId="176" fontId="51" fillId="2" borderId="9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vertical="center"/>
    </xf>
    <xf numFmtId="3" fontId="21" fillId="3" borderId="10" xfId="0" applyNumberFormat="1" applyFont="1" applyFill="1" applyBorder="1" applyAlignment="1" applyProtection="1">
      <alignment horizontal="center" vertical="center"/>
      <protection locked="0"/>
    </xf>
    <xf numFmtId="9" fontId="21" fillId="3" borderId="11" xfId="3" applyFont="1" applyFill="1" applyBorder="1" applyAlignment="1" applyProtection="1">
      <alignment horizontal="center" vertical="center"/>
      <protection locked="0"/>
    </xf>
    <xf numFmtId="177" fontId="3" fillId="2" borderId="2" xfId="0" applyNumberFormat="1" applyFont="1" applyFill="1" applyBorder="1" applyAlignment="1">
      <alignment horizontal="right" vertical="center"/>
    </xf>
    <xf numFmtId="3" fontId="21" fillId="3" borderId="8" xfId="0" applyNumberFormat="1" applyFont="1" applyFill="1" applyBorder="1" applyAlignment="1" applyProtection="1">
      <alignment horizontal="center" vertical="center"/>
      <protection locked="0"/>
    </xf>
    <xf numFmtId="9" fontId="21" fillId="3" borderId="12" xfId="3" applyFont="1" applyFill="1" applyBorder="1" applyAlignment="1" applyProtection="1">
      <alignment horizontal="center" vertical="center"/>
      <protection locked="0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right" vertical="center" indent="1"/>
    </xf>
    <xf numFmtId="0" fontId="54" fillId="0" borderId="0" xfId="0" applyFont="1" applyAlignment="1">
      <alignment vertical="center"/>
    </xf>
    <xf numFmtId="0" fontId="8" fillId="0" borderId="0" xfId="0" applyFont="1"/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indent="1"/>
    </xf>
    <xf numFmtId="0" fontId="14" fillId="2" borderId="0" xfId="0" applyFont="1" applyFill="1" applyAlignment="1">
      <alignment horizontal="left" vertical="center"/>
    </xf>
    <xf numFmtId="176" fontId="3" fillId="2" borderId="0" xfId="0" applyNumberFormat="1" applyFont="1" applyFill="1" applyAlignment="1">
      <alignment horizontal="left" vertical="center"/>
    </xf>
    <xf numFmtId="164" fontId="3" fillId="2" borderId="0" xfId="2" applyNumberFormat="1" applyFont="1" applyFill="1" applyBorder="1" applyAlignment="1">
      <alignment horizontal="right" vertical="center" indent="1"/>
    </xf>
    <xf numFmtId="0" fontId="14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176" fontId="32" fillId="0" borderId="0" xfId="0" applyNumberFormat="1" applyFont="1" applyAlignment="1">
      <alignment horizontal="left" vertical="center"/>
    </xf>
    <xf numFmtId="164" fontId="3" fillId="0" borderId="0" xfId="2" applyNumberFormat="1" applyFont="1" applyBorder="1" applyAlignment="1">
      <alignment horizontal="right" vertical="center" indent="1"/>
    </xf>
    <xf numFmtId="0" fontId="55" fillId="2" borderId="0" xfId="0" applyFont="1" applyFill="1" applyAlignment="1">
      <alignment horizontal="left" vertical="center"/>
    </xf>
    <xf numFmtId="178" fontId="3" fillId="2" borderId="0" xfId="0" applyNumberFormat="1" applyFont="1" applyFill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32" fillId="2" borderId="0" xfId="0" applyNumberFormat="1" applyFont="1" applyFill="1" applyAlignment="1">
      <alignment horizontal="left" vertical="center"/>
    </xf>
    <xf numFmtId="0" fontId="2" fillId="0" borderId="4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64" fontId="2" fillId="0" borderId="4" xfId="0" applyNumberFormat="1" applyFont="1" applyBorder="1" applyAlignment="1">
      <alignment horizontal="right" vertical="center" indent="1"/>
    </xf>
    <xf numFmtId="0" fontId="2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left" vertical="center" indent="1"/>
    </xf>
    <xf numFmtId="0" fontId="1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178" fontId="3" fillId="0" borderId="4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horizontal="right" vertical="center" indent="1"/>
    </xf>
    <xf numFmtId="178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0" fontId="42" fillId="2" borderId="0" xfId="0" applyFont="1" applyFill="1" applyAlignment="1">
      <alignment horizontal="left" vertical="center" indent="1"/>
    </xf>
    <xf numFmtId="0" fontId="3" fillId="0" borderId="4" xfId="0" applyFont="1" applyBorder="1" applyAlignment="1">
      <alignment horizontal="left" vertical="center"/>
    </xf>
    <xf numFmtId="172" fontId="3" fillId="0" borderId="0" xfId="0" applyNumberFormat="1" applyFont="1" applyAlignment="1">
      <alignment horizontal="right" vertical="center"/>
    </xf>
    <xf numFmtId="0" fontId="54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164" fontId="34" fillId="0" borderId="0" xfId="0" applyNumberFormat="1" applyFont="1" applyAlignment="1">
      <alignment horizontal="right" vertical="center" indent="1"/>
    </xf>
    <xf numFmtId="176" fontId="3" fillId="0" borderId="4" xfId="0" applyNumberFormat="1" applyFont="1" applyBorder="1" applyAlignment="1">
      <alignment horizontal="left" vertical="center"/>
    </xf>
    <xf numFmtId="0" fontId="34" fillId="0" borderId="0" xfId="0" applyFont="1" applyAlignment="1">
      <alignment vertical="top"/>
    </xf>
    <xf numFmtId="0" fontId="34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41" fillId="0" borderId="0" xfId="0" applyFont="1" applyAlignment="1">
      <alignment horizontal="center" vertical="top"/>
    </xf>
    <xf numFmtId="165" fontId="41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176" fontId="3" fillId="2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horizontal="left" vertical="center" indent="1"/>
    </xf>
    <xf numFmtId="0" fontId="41" fillId="0" borderId="2" xfId="0" applyFont="1" applyBorder="1" applyAlignment="1">
      <alignment horizontal="left" vertical="center"/>
    </xf>
    <xf numFmtId="168" fontId="41" fillId="0" borderId="2" xfId="2" applyFont="1" applyBorder="1" applyAlignment="1">
      <alignment horizontal="left" vertical="center"/>
    </xf>
    <xf numFmtId="170" fontId="41" fillId="0" borderId="2" xfId="2" applyNumberFormat="1" applyFont="1" applyBorder="1" applyAlignment="1">
      <alignment horizontal="left" vertical="center"/>
    </xf>
    <xf numFmtId="0" fontId="41" fillId="0" borderId="2" xfId="0" applyFont="1" applyBorder="1" applyAlignment="1">
      <alignment horizontal="center" vertical="center"/>
    </xf>
    <xf numFmtId="165" fontId="41" fillId="0" borderId="2" xfId="0" applyNumberFormat="1" applyFont="1" applyBorder="1" applyAlignment="1">
      <alignment horizontal="right" vertical="center"/>
    </xf>
    <xf numFmtId="164" fontId="41" fillId="0" borderId="2" xfId="0" applyNumberFormat="1" applyFont="1" applyBorder="1" applyAlignment="1">
      <alignment horizontal="right" vertical="center" indent="1"/>
    </xf>
    <xf numFmtId="0" fontId="3" fillId="0" borderId="14" xfId="0" applyFont="1" applyBorder="1"/>
    <xf numFmtId="0" fontId="41" fillId="2" borderId="0" xfId="0" applyFont="1" applyFill="1" applyAlignment="1">
      <alignment horizontal="left" vertical="center" indent="1"/>
    </xf>
    <xf numFmtId="0" fontId="41" fillId="2" borderId="0" xfId="0" applyFont="1" applyFill="1" applyAlignment="1">
      <alignment horizontal="left" vertical="center"/>
    </xf>
    <xf numFmtId="168" fontId="41" fillId="2" borderId="0" xfId="2" applyFont="1" applyFill="1" applyBorder="1" applyAlignment="1">
      <alignment horizontal="left" vertical="center"/>
    </xf>
    <xf numFmtId="170" fontId="41" fillId="2" borderId="0" xfId="2" applyNumberFormat="1" applyFont="1" applyFill="1" applyBorder="1" applyAlignment="1">
      <alignment horizontal="left" vertical="center"/>
    </xf>
    <xf numFmtId="0" fontId="41" fillId="2" borderId="0" xfId="0" applyFont="1" applyFill="1" applyAlignment="1">
      <alignment horizontal="center" vertical="center"/>
    </xf>
    <xf numFmtId="165" fontId="41" fillId="2" borderId="0" xfId="0" applyNumberFormat="1" applyFont="1" applyFill="1" applyAlignment="1">
      <alignment horizontal="right" vertical="center"/>
    </xf>
    <xf numFmtId="164" fontId="41" fillId="2" borderId="0" xfId="0" applyNumberFormat="1" applyFont="1" applyFill="1" applyAlignment="1">
      <alignment horizontal="right" vertical="center" indent="1"/>
    </xf>
    <xf numFmtId="0" fontId="8" fillId="2" borderId="0" xfId="0" applyFont="1" applyFill="1" applyAlignment="1">
      <alignment horizontal="left" vertical="top" indent="1"/>
    </xf>
    <xf numFmtId="0" fontId="12" fillId="2" borderId="0" xfId="0" applyFont="1" applyFill="1"/>
    <xf numFmtId="0" fontId="8" fillId="2" borderId="0" xfId="0" applyFont="1" applyFill="1" applyAlignment="1">
      <alignment vertical="top"/>
    </xf>
    <xf numFmtId="0" fontId="13" fillId="2" borderId="0" xfId="0" applyFont="1" applyFill="1" applyAlignment="1">
      <alignment horizontal="left"/>
    </xf>
    <xf numFmtId="0" fontId="12" fillId="2" borderId="0" xfId="0" applyFont="1" applyFill="1" applyAlignment="1">
      <alignment horizontal="right"/>
    </xf>
    <xf numFmtId="164" fontId="12" fillId="2" borderId="0" xfId="0" applyNumberFormat="1" applyFont="1" applyFill="1" applyAlignment="1">
      <alignment horizontal="right" indent="1"/>
    </xf>
    <xf numFmtId="0" fontId="3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top"/>
    </xf>
    <xf numFmtId="0" fontId="37" fillId="2" borderId="0" xfId="0" applyFont="1" applyFill="1"/>
    <xf numFmtId="0" fontId="57" fillId="0" borderId="0" xfId="0" applyFont="1" applyAlignment="1">
      <alignment vertical="center"/>
    </xf>
    <xf numFmtId="0" fontId="18" fillId="2" borderId="2" xfId="0" applyFont="1" applyFill="1" applyBorder="1" applyAlignment="1">
      <alignment horizontal="left" vertical="center" indent="1"/>
    </xf>
    <xf numFmtId="0" fontId="18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horizontal="right" vertical="center" indent="1"/>
    </xf>
    <xf numFmtId="0" fontId="58" fillId="2" borderId="0" xfId="0" applyFont="1" applyFill="1" applyAlignment="1">
      <alignment vertical="center"/>
    </xf>
    <xf numFmtId="0" fontId="14" fillId="2" borderId="15" xfId="0" applyFont="1" applyFill="1" applyBorder="1" applyAlignment="1">
      <alignment horizontal="left" vertical="center" indent="1"/>
    </xf>
    <xf numFmtId="0" fontId="3" fillId="2" borderId="15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left" vertical="center"/>
    </xf>
    <xf numFmtId="3" fontId="3" fillId="2" borderId="15" xfId="0" applyNumberFormat="1" applyFont="1" applyFill="1" applyBorder="1" applyAlignment="1">
      <alignment vertical="center"/>
    </xf>
    <xf numFmtId="172" fontId="3" fillId="2" borderId="15" xfId="0" applyNumberFormat="1" applyFont="1" applyFill="1" applyBorder="1" applyAlignment="1">
      <alignment horizontal="right" vertical="center"/>
    </xf>
    <xf numFmtId="164" fontId="3" fillId="2" borderId="15" xfId="0" applyNumberFormat="1" applyFont="1" applyFill="1" applyBorder="1" applyAlignment="1">
      <alignment horizontal="right" vertical="center"/>
    </xf>
    <xf numFmtId="0" fontId="14" fillId="2" borderId="16" xfId="0" applyFont="1" applyFill="1" applyBorder="1" applyAlignment="1">
      <alignment horizontal="left" vertical="center" indent="1"/>
    </xf>
    <xf numFmtId="0" fontId="3" fillId="2" borderId="16" xfId="0" applyFont="1" applyFill="1" applyBorder="1" applyAlignment="1">
      <alignment vertical="center"/>
    </xf>
    <xf numFmtId="178" fontId="3" fillId="2" borderId="16" xfId="0" applyNumberFormat="1" applyFont="1" applyFill="1" applyBorder="1" applyAlignment="1">
      <alignment vertical="center"/>
    </xf>
    <xf numFmtId="176" fontId="51" fillId="2" borderId="16" xfId="0" applyNumberFormat="1" applyFont="1" applyFill="1" applyBorder="1" applyAlignment="1">
      <alignment horizontal="right" vertical="center"/>
    </xf>
    <xf numFmtId="172" fontId="3" fillId="2" borderId="16" xfId="0" applyNumberFormat="1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left" vertical="center"/>
    </xf>
    <xf numFmtId="164" fontId="3" fillId="2" borderId="16" xfId="0" applyNumberFormat="1" applyFont="1" applyFill="1" applyBorder="1" applyAlignment="1">
      <alignment horizontal="right" vertical="center"/>
    </xf>
    <xf numFmtId="0" fontId="14" fillId="2" borderId="16" xfId="0" applyFont="1" applyFill="1" applyBorder="1" applyAlignment="1">
      <alignment horizontal="left" vertical="center"/>
    </xf>
    <xf numFmtId="178" fontId="3" fillId="2" borderId="16" xfId="0" applyNumberFormat="1" applyFont="1" applyFill="1" applyBorder="1" applyAlignment="1">
      <alignment horizontal="center" vertical="center"/>
    </xf>
    <xf numFmtId="178" fontId="3" fillId="2" borderId="16" xfId="0" applyNumberFormat="1" applyFont="1" applyFill="1" applyBorder="1" applyAlignment="1">
      <alignment horizontal="left" vertical="center"/>
    </xf>
    <xf numFmtId="0" fontId="59" fillId="2" borderId="0" xfId="0" applyFont="1" applyFill="1" applyAlignment="1">
      <alignment horizontal="center"/>
    </xf>
    <xf numFmtId="169" fontId="26" fillId="2" borderId="4" xfId="0" applyNumberFormat="1" applyFont="1" applyFill="1" applyBorder="1" applyAlignment="1">
      <alignment horizontal="left"/>
    </xf>
    <xf numFmtId="169" fontId="26" fillId="2" borderId="4" xfId="0" applyNumberFormat="1" applyFont="1" applyFill="1" applyBorder="1" applyAlignment="1">
      <alignment horizontal="right"/>
    </xf>
    <xf numFmtId="164" fontId="26" fillId="2" borderId="4" xfId="0" applyNumberFormat="1" applyFont="1" applyFill="1" applyBorder="1" applyAlignment="1">
      <alignment horizontal="right"/>
    </xf>
    <xf numFmtId="164" fontId="26" fillId="2" borderId="0" xfId="0" applyNumberFormat="1" applyFont="1" applyFill="1" applyAlignment="1">
      <alignment horizontal="right" indent="1"/>
    </xf>
    <xf numFmtId="0" fontId="60" fillId="2" borderId="0" xfId="0" applyFont="1" applyFill="1"/>
    <xf numFmtId="0" fontId="60" fillId="0" borderId="0" xfId="0" applyFont="1"/>
    <xf numFmtId="0" fontId="26" fillId="2" borderId="0" xfId="0" applyFont="1" applyFill="1" applyAlignment="1">
      <alignment horizontal="left" vertical="center" indent="1"/>
    </xf>
    <xf numFmtId="0" fontId="27" fillId="2" borderId="0" xfId="0" applyFont="1" applyFill="1" applyAlignment="1">
      <alignment horizontal="left" vertical="center"/>
    </xf>
    <xf numFmtId="168" fontId="27" fillId="2" borderId="0" xfId="2" applyFont="1" applyFill="1" applyBorder="1" applyAlignment="1">
      <alignment horizontal="left" vertical="center"/>
    </xf>
    <xf numFmtId="170" fontId="27" fillId="2" borderId="0" xfId="2" applyNumberFormat="1" applyFont="1" applyFill="1" applyBorder="1" applyAlignment="1">
      <alignment horizontal="left" vertical="center"/>
    </xf>
    <xf numFmtId="165" fontId="26" fillId="2" borderId="0" xfId="0" applyNumberFormat="1" applyFont="1" applyFill="1" applyAlignment="1">
      <alignment horizontal="right" vertical="center"/>
    </xf>
    <xf numFmtId="164" fontId="26" fillId="2" borderId="0" xfId="0" applyNumberFormat="1" applyFont="1" applyFill="1" applyAlignment="1">
      <alignment horizontal="right" vertical="center" indent="1"/>
    </xf>
    <xf numFmtId="178" fontId="3" fillId="2" borderId="0" xfId="0" applyNumberFormat="1" applyFont="1" applyFill="1" applyAlignment="1">
      <alignment horizontal="center" vertical="center"/>
    </xf>
    <xf numFmtId="172" fontId="3" fillId="2" borderId="0" xfId="0" applyNumberFormat="1" applyFont="1" applyFill="1" applyAlignment="1">
      <alignment horizontal="right" vertical="center"/>
    </xf>
    <xf numFmtId="172" fontId="3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left" vertical="center"/>
    </xf>
    <xf numFmtId="176" fontId="3" fillId="2" borderId="2" xfId="0" applyNumberFormat="1" applyFont="1" applyFill="1" applyBorder="1" applyAlignment="1">
      <alignment horizontal="right" vertical="center"/>
    </xf>
    <xf numFmtId="172" fontId="3" fillId="2" borderId="2" xfId="0" applyNumberFormat="1" applyFont="1" applyFill="1" applyBorder="1" applyAlignment="1">
      <alignment horizontal="right" vertical="center"/>
    </xf>
    <xf numFmtId="172" fontId="3" fillId="2" borderId="2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right" vertical="center"/>
    </xf>
    <xf numFmtId="0" fontId="2" fillId="2" borderId="14" xfId="0" applyFont="1" applyFill="1" applyBorder="1" applyAlignment="1">
      <alignment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 indent="1"/>
    </xf>
    <xf numFmtId="0" fontId="62" fillId="0" borderId="0" xfId="0" applyFont="1" applyAlignment="1">
      <alignment horizontal="left" vertical="center"/>
    </xf>
    <xf numFmtId="178" fontId="62" fillId="0" borderId="0" xfId="0" applyNumberFormat="1" applyFont="1" applyAlignment="1">
      <alignment horizontal="center" vertical="center"/>
    </xf>
    <xf numFmtId="178" fontId="62" fillId="0" borderId="0" xfId="0" applyNumberFormat="1" applyFont="1" applyAlignment="1">
      <alignment horizontal="left" vertical="center"/>
    </xf>
    <xf numFmtId="176" fontId="62" fillId="0" borderId="0" xfId="0" applyNumberFormat="1" applyFont="1" applyAlignment="1">
      <alignment horizontal="right" vertical="center"/>
    </xf>
    <xf numFmtId="172" fontId="62" fillId="0" borderId="0" xfId="0" applyNumberFormat="1" applyFont="1" applyAlignment="1">
      <alignment horizontal="right" vertical="center"/>
    </xf>
    <xf numFmtId="172" fontId="62" fillId="0" borderId="0" xfId="0" applyNumberFormat="1" applyFont="1" applyAlignment="1">
      <alignment horizontal="left" vertical="center"/>
    </xf>
    <xf numFmtId="165" fontId="62" fillId="0" borderId="0" xfId="0" applyNumberFormat="1" applyFont="1" applyAlignment="1">
      <alignment horizontal="right" vertical="center"/>
    </xf>
    <xf numFmtId="164" fontId="62" fillId="0" borderId="0" xfId="0" applyNumberFormat="1" applyFont="1" applyAlignment="1">
      <alignment horizontal="right" vertical="center" indent="1"/>
    </xf>
    <xf numFmtId="0" fontId="62" fillId="0" borderId="0" xfId="0" applyFont="1" applyAlignment="1">
      <alignment vertical="center"/>
    </xf>
    <xf numFmtId="0" fontId="63" fillId="0" borderId="0" xfId="0" applyFont="1" applyAlignment="1">
      <alignment horizontal="left" vertical="center" indent="2"/>
    </xf>
    <xf numFmtId="168" fontId="62" fillId="0" borderId="0" xfId="2" applyFont="1" applyBorder="1" applyAlignment="1">
      <alignment horizontal="left" vertical="center"/>
    </xf>
    <xf numFmtId="170" fontId="62" fillId="0" borderId="0" xfId="2" applyNumberFormat="1" applyFont="1" applyBorder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62" fillId="0" borderId="0" xfId="0" applyFont="1"/>
    <xf numFmtId="0" fontId="6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right" vertical="center" indent="1"/>
    </xf>
    <xf numFmtId="0" fontId="8" fillId="2" borderId="0" xfId="0" applyFont="1" applyFill="1" applyAlignment="1">
      <alignment horizontal="right" vertical="center" indent="1"/>
    </xf>
    <xf numFmtId="0" fontId="8" fillId="2" borderId="2" xfId="0" applyFont="1" applyFill="1" applyBorder="1" applyAlignment="1">
      <alignment horizontal="right" vertical="center" indent="1"/>
    </xf>
    <xf numFmtId="0" fontId="8" fillId="0" borderId="0" xfId="0" applyFont="1" applyAlignment="1">
      <alignment horizontal="right" vertical="center" indent="1"/>
    </xf>
    <xf numFmtId="0" fontId="12" fillId="0" borderId="0" xfId="0" applyFont="1" applyAlignment="1">
      <alignment horizontal="right" indent="1"/>
    </xf>
    <xf numFmtId="173" fontId="16" fillId="0" borderId="0" xfId="0" applyNumberFormat="1" applyFont="1" applyAlignment="1">
      <alignment horizontal="right" indent="1"/>
    </xf>
    <xf numFmtId="0" fontId="18" fillId="0" borderId="2" xfId="0" applyFont="1" applyBorder="1" applyAlignment="1">
      <alignment horizontal="right" indent="1"/>
    </xf>
    <xf numFmtId="168" fontId="3" fillId="0" borderId="0" xfId="2" applyFont="1" applyBorder="1" applyAlignment="1">
      <alignment horizontal="right" vertical="center"/>
    </xf>
    <xf numFmtId="0" fontId="67" fillId="0" borderId="0" xfId="4" applyFont="1" applyBorder="1" applyAlignment="1">
      <alignment vertical="top"/>
    </xf>
    <xf numFmtId="0" fontId="42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indent="1"/>
    </xf>
    <xf numFmtId="0" fontId="28" fillId="0" borderId="0" xfId="0" applyFont="1" applyAlignment="1">
      <alignment horizontal="right" vertical="center" indent="1"/>
    </xf>
    <xf numFmtId="0" fontId="18" fillId="0" borderId="2" xfId="0" applyFont="1" applyBorder="1" applyAlignment="1">
      <alignment horizontal="right" vertical="center" indent="1"/>
    </xf>
    <xf numFmtId="175" fontId="3" fillId="2" borderId="0" xfId="2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right" vertical="center" indent="1"/>
    </xf>
    <xf numFmtId="175" fontId="3" fillId="0" borderId="0" xfId="2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right" vertical="center" indent="1"/>
    </xf>
    <xf numFmtId="165" fontId="41" fillId="0" borderId="0" xfId="0" applyNumberFormat="1" applyFont="1" applyAlignment="1">
      <alignment horizontal="right" vertical="center" indent="1"/>
    </xf>
    <xf numFmtId="0" fontId="41" fillId="0" borderId="0" xfId="0" applyFont="1" applyAlignment="1">
      <alignment horizontal="right" vertical="center" indent="1"/>
    </xf>
    <xf numFmtId="0" fontId="12" fillId="0" borderId="0" xfId="0" applyFont="1" applyAlignment="1">
      <alignment horizontal="right" vertical="top" indent="1"/>
    </xf>
    <xf numFmtId="172" fontId="3" fillId="2" borderId="4" xfId="0" applyNumberFormat="1" applyFont="1" applyFill="1" applyBorder="1" applyAlignment="1">
      <alignment vertical="center"/>
    </xf>
    <xf numFmtId="170" fontId="3" fillId="2" borderId="0" xfId="2" applyNumberFormat="1" applyFont="1" applyFill="1" applyBorder="1" applyAlignment="1">
      <alignment vertical="center"/>
    </xf>
    <xf numFmtId="173" fontId="3" fillId="2" borderId="0" xfId="0" applyNumberFormat="1" applyFont="1" applyFill="1" applyAlignment="1">
      <alignment horizontal="right" vertical="center" indent="1"/>
    </xf>
    <xf numFmtId="170" fontId="3" fillId="0" borderId="0" xfId="2" applyNumberFormat="1" applyFont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right" vertical="center" indent="1"/>
    </xf>
    <xf numFmtId="172" fontId="3" fillId="2" borderId="0" xfId="0" applyNumberFormat="1" applyFont="1" applyFill="1" applyAlignment="1">
      <alignment vertical="center"/>
    </xf>
    <xf numFmtId="0" fontId="27" fillId="0" borderId="0" xfId="0" applyFont="1" applyAlignment="1">
      <alignment horizontal="right" vertical="center" indent="1"/>
    </xf>
    <xf numFmtId="0" fontId="2" fillId="0" borderId="4" xfId="0" applyFont="1" applyBorder="1" applyAlignment="1">
      <alignment horizontal="right" vertical="center" indent="1"/>
    </xf>
    <xf numFmtId="172" fontId="3" fillId="0" borderId="4" xfId="0" applyNumberFormat="1" applyFont="1" applyBorder="1" applyAlignment="1">
      <alignment horizontal="right" vertical="center" indent="1"/>
    </xf>
    <xf numFmtId="172" fontId="3" fillId="0" borderId="0" xfId="0" applyNumberFormat="1" applyFont="1" applyAlignment="1">
      <alignment horizontal="right" vertical="center" indent="1"/>
    </xf>
    <xf numFmtId="173" fontId="3" fillId="0" borderId="0" xfId="0" applyNumberFormat="1" applyFont="1" applyAlignment="1">
      <alignment horizontal="right" vertical="center" indent="1"/>
    </xf>
    <xf numFmtId="0" fontId="34" fillId="0" borderId="0" xfId="0" applyFont="1" applyAlignment="1">
      <alignment horizontal="right" vertical="center" indent="1"/>
    </xf>
    <xf numFmtId="172" fontId="3" fillId="2" borderId="0" xfId="0" applyNumberFormat="1" applyFont="1" applyFill="1" applyAlignment="1">
      <alignment horizontal="right" vertical="center" indent="1"/>
    </xf>
    <xf numFmtId="0" fontId="2" fillId="0" borderId="0" xfId="0" applyFont="1" applyAlignment="1">
      <alignment horizontal="right" vertical="top"/>
    </xf>
    <xf numFmtId="165" fontId="41" fillId="0" borderId="2" xfId="0" applyNumberFormat="1" applyFont="1" applyBorder="1" applyAlignment="1">
      <alignment horizontal="right" vertical="center" indent="1"/>
    </xf>
    <xf numFmtId="165" fontId="41" fillId="2" borderId="0" xfId="0" applyNumberFormat="1" applyFont="1" applyFill="1" applyAlignment="1">
      <alignment horizontal="right" vertical="center" indent="1"/>
    </xf>
    <xf numFmtId="0" fontId="12" fillId="2" borderId="0" xfId="0" applyFont="1" applyFill="1" applyAlignment="1">
      <alignment horizontal="right" indent="1"/>
    </xf>
    <xf numFmtId="0" fontId="18" fillId="2" borderId="0" xfId="0" applyFont="1" applyFill="1" applyAlignment="1">
      <alignment horizontal="right" vertical="center" indent="1"/>
    </xf>
    <xf numFmtId="165" fontId="3" fillId="2" borderId="15" xfId="0" applyNumberFormat="1" applyFont="1" applyFill="1" applyBorder="1" applyAlignment="1">
      <alignment horizontal="right" vertical="center"/>
    </xf>
    <xf numFmtId="165" fontId="3" fillId="2" borderId="16" xfId="0" applyNumberFormat="1" applyFont="1" applyFill="1" applyBorder="1" applyAlignment="1">
      <alignment horizontal="right" vertical="center"/>
    </xf>
    <xf numFmtId="165" fontId="26" fillId="2" borderId="4" xfId="0" applyNumberFormat="1" applyFont="1" applyFill="1" applyBorder="1" applyAlignment="1">
      <alignment horizontal="left" indent="1"/>
    </xf>
    <xf numFmtId="165" fontId="26" fillId="2" borderId="4" xfId="0" applyNumberFormat="1" applyFont="1" applyFill="1" applyBorder="1"/>
    <xf numFmtId="165" fontId="26" fillId="2" borderId="4" xfId="0" applyNumberFormat="1" applyFont="1" applyFill="1" applyBorder="1" applyAlignment="1">
      <alignment horizontal="right"/>
    </xf>
    <xf numFmtId="165" fontId="26" fillId="2" borderId="0" xfId="0" applyNumberFormat="1" applyFont="1" applyFill="1" applyAlignment="1">
      <alignment horizontal="right" indent="1"/>
    </xf>
    <xf numFmtId="165" fontId="26" fillId="2" borderId="0" xfId="0" applyNumberFormat="1" applyFont="1" applyFill="1" applyAlignment="1">
      <alignment horizontal="right" vertical="center" indent="1"/>
    </xf>
    <xf numFmtId="165" fontId="62" fillId="0" borderId="0" xfId="0" applyNumberFormat="1" applyFont="1" applyAlignment="1">
      <alignment horizontal="right" vertical="center" indent="1"/>
    </xf>
    <xf numFmtId="0" fontId="62" fillId="0" borderId="0" xfId="0" applyFont="1" applyAlignment="1">
      <alignment horizontal="right" vertical="center" indent="1"/>
    </xf>
    <xf numFmtId="0" fontId="69" fillId="0" borderId="0" xfId="0" applyFont="1" applyAlignment="1">
      <alignment horizontal="left" vertical="center" indent="1"/>
    </xf>
    <xf numFmtId="0" fontId="69" fillId="0" borderId="1" xfId="0" applyFont="1" applyBorder="1" applyAlignment="1">
      <alignment horizontal="left" vertical="center" indent="1"/>
    </xf>
    <xf numFmtId="0" fontId="3" fillId="3" borderId="0" xfId="0" applyFont="1" applyFill="1" applyAlignment="1">
      <alignment horizontal="left" vertical="top" indent="1"/>
    </xf>
    <xf numFmtId="0" fontId="15" fillId="6" borderId="0" xfId="0" applyFont="1" applyFill="1" applyAlignment="1">
      <alignment horizontal="left" vertical="top" indent="1"/>
    </xf>
    <xf numFmtId="0" fontId="15" fillId="6" borderId="0" xfId="0" applyFont="1" applyFill="1" applyAlignment="1">
      <alignment vertical="top"/>
    </xf>
    <xf numFmtId="173" fontId="22" fillId="2" borderId="0" xfId="2" applyNumberFormat="1" applyFont="1" applyFill="1" applyBorder="1" applyAlignment="1">
      <alignment horizontal="right" vertical="center" wrapText="1" indent="1"/>
    </xf>
    <xf numFmtId="0" fontId="30" fillId="0" borderId="0" xfId="0" applyFont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165" fontId="26" fillId="2" borderId="4" xfId="0" applyNumberFormat="1" applyFont="1" applyFill="1" applyBorder="1" applyAlignment="1">
      <alignment horizontal="left"/>
    </xf>
    <xf numFmtId="0" fontId="70" fillId="0" borderId="0" xfId="0" applyFont="1" applyAlignment="1">
      <alignment horizontal="left" vertical="center" indent="1"/>
    </xf>
    <xf numFmtId="165" fontId="70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 indent="1" shrinkToFit="1"/>
    </xf>
    <xf numFmtId="0" fontId="2" fillId="2" borderId="0" xfId="0" applyFont="1" applyFill="1" applyAlignment="1">
      <alignment vertical="center" shrinkToFit="1"/>
    </xf>
    <xf numFmtId="0" fontId="2" fillId="2" borderId="0" xfId="0" applyFont="1" applyFill="1" applyAlignment="1">
      <alignment horizontal="right" vertical="center" shrinkToFit="1"/>
    </xf>
    <xf numFmtId="0" fontId="2" fillId="2" borderId="0" xfId="0" applyFont="1" applyFill="1" applyAlignment="1">
      <alignment horizontal="right" vertical="center" indent="1" shrinkToFit="1"/>
    </xf>
    <xf numFmtId="0" fontId="2" fillId="0" borderId="1" xfId="0" applyFont="1" applyBorder="1" applyAlignment="1">
      <alignment vertical="center" shrinkToFit="1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/>
    </xf>
    <xf numFmtId="0" fontId="6" fillId="2" borderId="0" xfId="4" applyFill="1" applyBorder="1" applyAlignment="1">
      <alignment horizontal="left" vertical="top"/>
    </xf>
    <xf numFmtId="0" fontId="8" fillId="2" borderId="0" xfId="0" applyFont="1" applyFill="1" applyAlignment="1">
      <alignment vertical="center" shrinkToFit="1"/>
    </xf>
    <xf numFmtId="9" fontId="8" fillId="2" borderId="0" xfId="3" applyFont="1" applyFill="1" applyBorder="1" applyAlignment="1">
      <alignment horizontal="center" vertical="center" shrinkToFit="1"/>
    </xf>
    <xf numFmtId="0" fontId="9" fillId="2" borderId="0" xfId="0" applyFont="1" applyFill="1" applyAlignment="1">
      <alignment vertical="center" shrinkToFit="1"/>
    </xf>
    <xf numFmtId="0" fontId="8" fillId="2" borderId="0" xfId="0" applyFont="1" applyFill="1" applyAlignment="1">
      <alignment horizontal="right" vertical="center" shrinkToFit="1"/>
    </xf>
    <xf numFmtId="0" fontId="8" fillId="2" borderId="0" xfId="0" applyFont="1" applyFill="1" applyAlignment="1">
      <alignment horizontal="right" vertical="center" indent="1" shrinkToFit="1"/>
    </xf>
    <xf numFmtId="0" fontId="8" fillId="0" borderId="1" xfId="0" applyFont="1" applyBorder="1" applyAlignment="1">
      <alignment vertical="center" shrinkToFit="1"/>
    </xf>
    <xf numFmtId="0" fontId="8" fillId="0" borderId="0" xfId="0" applyFont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9" fontId="8" fillId="2" borderId="2" xfId="3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vertical="center" shrinkToFit="1"/>
    </xf>
    <xf numFmtId="0" fontId="8" fillId="2" borderId="2" xfId="0" applyFont="1" applyFill="1" applyBorder="1" applyAlignment="1">
      <alignment horizontal="right" vertical="center" shrinkToFit="1"/>
    </xf>
    <xf numFmtId="0" fontId="8" fillId="2" borderId="2" xfId="0" applyFont="1" applyFill="1" applyBorder="1" applyAlignment="1">
      <alignment horizontal="right" vertical="center" indent="1" shrinkToFit="1"/>
    </xf>
    <xf numFmtId="0" fontId="8" fillId="2" borderId="14" xfId="0" applyFont="1" applyFill="1" applyBorder="1" applyAlignment="1">
      <alignment vertical="center" shrinkToFit="1"/>
    </xf>
    <xf numFmtId="9" fontId="8" fillId="0" borderId="0" xfId="3" applyFont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8" fillId="0" borderId="0" xfId="0" applyFont="1" applyAlignment="1">
      <alignment horizontal="right" vertical="center" shrinkToFit="1"/>
    </xf>
    <xf numFmtId="0" fontId="8" fillId="0" borderId="0" xfId="0" applyFont="1" applyAlignment="1">
      <alignment horizontal="right" vertical="center" indent="1" shrinkToFit="1"/>
    </xf>
    <xf numFmtId="0" fontId="8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left" indent="2" shrinkToFit="1"/>
    </xf>
    <xf numFmtId="0" fontId="8" fillId="0" borderId="0" xfId="0" applyFont="1" applyAlignment="1">
      <alignment horizontal="left" vertical="top" indent="1" shrinkToFit="1"/>
    </xf>
    <xf numFmtId="0" fontId="12" fillId="0" borderId="0" xfId="0" applyFont="1" applyAlignment="1">
      <alignment shrinkToFit="1"/>
    </xf>
    <xf numFmtId="0" fontId="13" fillId="0" borderId="0" xfId="0" applyFont="1" applyAlignment="1">
      <alignment horizontal="left" shrinkToFit="1"/>
    </xf>
    <xf numFmtId="0" fontId="12" fillId="0" borderId="0" xfId="0" applyFont="1" applyAlignment="1">
      <alignment horizontal="left" shrinkToFit="1"/>
    </xf>
    <xf numFmtId="0" fontId="12" fillId="0" borderId="0" xfId="0" applyFont="1" applyAlignment="1">
      <alignment horizontal="right" shrinkToFit="1"/>
    </xf>
    <xf numFmtId="0" fontId="12" fillId="0" borderId="0" xfId="0" applyFont="1" applyAlignment="1">
      <alignment horizontal="right" indent="1" shrinkToFit="1"/>
    </xf>
    <xf numFmtId="0" fontId="12" fillId="0" borderId="1" xfId="0" applyFont="1" applyBorder="1" applyAlignment="1">
      <alignment vertical="center" shrinkToFit="1"/>
    </xf>
    <xf numFmtId="0" fontId="8" fillId="0" borderId="0" xfId="0" applyFont="1" applyAlignment="1">
      <alignment horizontal="left" vertical="top" shrinkToFit="1"/>
    </xf>
    <xf numFmtId="165" fontId="3" fillId="0" borderId="0" xfId="0" applyNumberFormat="1" applyFont="1" applyAlignment="1">
      <alignment vertical="center" shrinkToFit="1"/>
    </xf>
    <xf numFmtId="0" fontId="3" fillId="0" borderId="0" xfId="0" applyFont="1" applyAlignment="1">
      <alignment shrinkToFit="1"/>
    </xf>
    <xf numFmtId="0" fontId="15" fillId="6" borderId="0" xfId="0" applyFont="1" applyFill="1" applyAlignment="1">
      <alignment horizontal="left" vertical="center" indent="1"/>
    </xf>
    <xf numFmtId="0" fontId="15" fillId="6" borderId="0" xfId="0" applyFont="1" applyFill="1" applyAlignment="1">
      <alignment vertical="center"/>
    </xf>
    <xf numFmtId="0" fontId="2" fillId="0" borderId="0" xfId="0" applyFont="1" applyAlignment="1">
      <alignment horizontal="right" vertical="center" shrinkToFit="1"/>
    </xf>
    <xf numFmtId="0" fontId="34" fillId="0" borderId="0" xfId="0" applyFont="1" applyAlignment="1">
      <alignment shrinkToFit="1"/>
    </xf>
    <xf numFmtId="0" fontId="18" fillId="0" borderId="2" xfId="0" applyFont="1" applyBorder="1" applyAlignment="1">
      <alignment horizontal="center" shrinkToFit="1"/>
    </xf>
    <xf numFmtId="0" fontId="18" fillId="0" borderId="2" xfId="0" applyFont="1" applyBorder="1" applyAlignment="1">
      <alignment horizontal="right" shrinkToFit="1"/>
    </xf>
    <xf numFmtId="0" fontId="18" fillId="0" borderId="2" xfId="0" applyFont="1" applyBorder="1" applyAlignment="1">
      <alignment horizontal="right" wrapText="1" shrinkToFit="1"/>
    </xf>
    <xf numFmtId="0" fontId="19" fillId="0" borderId="2" xfId="0" applyFont="1" applyBorder="1" applyAlignment="1">
      <alignment horizontal="center" wrapText="1" shrinkToFit="1"/>
    </xf>
    <xf numFmtId="0" fontId="34" fillId="0" borderId="1" xfId="0" applyFont="1" applyBorder="1" applyAlignment="1">
      <alignment vertical="center" shrinkToFit="1"/>
    </xf>
    <xf numFmtId="0" fontId="34" fillId="0" borderId="0" xfId="0" applyFont="1" applyAlignment="1">
      <alignment vertical="center" shrinkToFit="1"/>
    </xf>
    <xf numFmtId="0" fontId="35" fillId="0" borderId="0" xfId="0" applyFont="1" applyAlignment="1">
      <alignment vertical="center" shrinkToFit="1"/>
    </xf>
    <xf numFmtId="0" fontId="8" fillId="2" borderId="0" xfId="0" applyFont="1" applyFill="1" applyAlignment="1">
      <alignment horizontal="center" vertical="center" shrinkToFit="1"/>
    </xf>
    <xf numFmtId="169" fontId="8" fillId="2" borderId="0" xfId="2" applyNumberFormat="1" applyFont="1" applyFill="1" applyBorder="1" applyAlignment="1">
      <alignment horizontal="left" vertical="center" shrinkToFit="1"/>
    </xf>
    <xf numFmtId="0" fontId="21" fillId="3" borderId="3" xfId="0" applyFont="1" applyFill="1" applyBorder="1" applyAlignment="1">
      <alignment horizontal="center" vertical="center" shrinkToFit="1"/>
    </xf>
    <xf numFmtId="169" fontId="22" fillId="2" borderId="0" xfId="2" applyNumberFormat="1" applyFont="1" applyFill="1" applyBorder="1" applyAlignment="1">
      <alignment horizontal="right" vertical="center" shrinkToFit="1"/>
    </xf>
    <xf numFmtId="0" fontId="3" fillId="0" borderId="1" xfId="0" applyFont="1" applyBorder="1" applyAlignment="1">
      <alignment vertical="center" shrinkToFit="1"/>
    </xf>
    <xf numFmtId="169" fontId="8" fillId="0" borderId="0" xfId="2" applyNumberFormat="1" applyFont="1" applyBorder="1" applyAlignment="1">
      <alignment horizontal="left" vertical="center" shrinkToFit="1"/>
    </xf>
    <xf numFmtId="169" fontId="22" fillId="0" borderId="0" xfId="2" applyNumberFormat="1" applyFont="1" applyBorder="1" applyAlignment="1">
      <alignment horizontal="right" vertical="center" shrinkToFit="1"/>
    </xf>
    <xf numFmtId="172" fontId="3" fillId="0" borderId="0" xfId="0" applyNumberFormat="1" applyFont="1" applyAlignment="1">
      <alignment vertical="center" shrinkToFit="1"/>
    </xf>
    <xf numFmtId="0" fontId="26" fillId="0" borderId="4" xfId="0" applyFont="1" applyBorder="1" applyAlignment="1">
      <alignment horizontal="left" vertical="center" indent="1"/>
    </xf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right" vertical="center" indent="1"/>
    </xf>
    <xf numFmtId="165" fontId="2" fillId="0" borderId="0" xfId="0" applyNumberFormat="1" applyFont="1" applyAlignment="1">
      <alignment vertical="center" shrinkToFit="1"/>
    </xf>
    <xf numFmtId="0" fontId="27" fillId="0" borderId="0" xfId="0" applyFont="1" applyAlignment="1">
      <alignment horizontal="left" vertical="center" shrinkToFit="1"/>
    </xf>
    <xf numFmtId="168" fontId="27" fillId="0" borderId="0" xfId="2" applyFont="1" applyBorder="1" applyAlignment="1">
      <alignment horizontal="left" vertical="center" shrinkToFit="1"/>
    </xf>
    <xf numFmtId="170" fontId="27" fillId="0" borderId="0" xfId="2" applyNumberFormat="1" applyFont="1" applyBorder="1" applyAlignment="1">
      <alignment horizontal="left" vertical="center" shrinkToFit="1"/>
    </xf>
    <xf numFmtId="165" fontId="26" fillId="0" borderId="0" xfId="0" applyNumberFormat="1" applyFont="1" applyAlignment="1">
      <alignment horizontal="right" vertical="center" shrinkToFit="1"/>
    </xf>
    <xf numFmtId="0" fontId="28" fillId="0" borderId="0" xfId="0" applyFont="1" applyAlignment="1">
      <alignment horizontal="center" vertical="center" shrinkToFit="1"/>
    </xf>
    <xf numFmtId="0" fontId="2" fillId="0" borderId="0" xfId="0" applyFont="1" applyAlignment="1">
      <alignment shrinkToFit="1"/>
    </xf>
    <xf numFmtId="0" fontId="15" fillId="0" borderId="0" xfId="0" applyFont="1" applyAlignment="1">
      <alignment shrinkToFit="1"/>
    </xf>
    <xf numFmtId="0" fontId="15" fillId="0" borderId="0" xfId="0" applyFont="1" applyAlignment="1">
      <alignment horizontal="left" shrinkToFit="1"/>
    </xf>
    <xf numFmtId="0" fontId="2" fillId="0" borderId="0" xfId="0" applyFont="1" applyAlignment="1">
      <alignment horizontal="center" shrinkToFit="1"/>
    </xf>
    <xf numFmtId="173" fontId="16" fillId="0" borderId="0" xfId="0" applyNumberFormat="1" applyFont="1" applyAlignment="1">
      <alignment horizontal="right" shrinkToFit="1"/>
    </xf>
    <xf numFmtId="0" fontId="2" fillId="0" borderId="1" xfId="0" applyFont="1" applyBorder="1" applyAlignment="1">
      <alignment shrinkToFit="1"/>
    </xf>
    <xf numFmtId="165" fontId="3" fillId="0" borderId="0" xfId="0" applyNumberFormat="1" applyFont="1" applyAlignment="1">
      <alignment shrinkToFit="1"/>
    </xf>
    <xf numFmtId="165" fontId="2" fillId="0" borderId="0" xfId="0" applyNumberFormat="1" applyFont="1" applyAlignment="1">
      <alignment shrinkToFit="1"/>
    </xf>
    <xf numFmtId="0" fontId="2" fillId="0" borderId="0" xfId="0" applyFont="1" applyAlignment="1">
      <alignment vertical="top" shrinkToFit="1"/>
    </xf>
    <xf numFmtId="167" fontId="3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shrinkToFit="1"/>
    </xf>
    <xf numFmtId="169" fontId="3" fillId="2" borderId="0" xfId="2" applyNumberFormat="1" applyFont="1" applyFill="1" applyBorder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169" fontId="3" fillId="0" borderId="0" xfId="2" applyNumberFormat="1" applyFont="1" applyBorder="1" applyAlignment="1">
      <alignment horizontal="left" vertical="center" shrinkToFit="1"/>
    </xf>
    <xf numFmtId="0" fontId="26" fillId="0" borderId="4" xfId="2" applyNumberFormat="1" applyFont="1" applyBorder="1" applyAlignment="1">
      <alignment horizontal="center" vertical="center" shrinkToFit="1"/>
    </xf>
    <xf numFmtId="0" fontId="26" fillId="0" borderId="4" xfId="2" applyNumberFormat="1" applyFont="1" applyBorder="1" applyAlignment="1">
      <alignment horizontal="right" vertical="center" shrinkToFit="1"/>
    </xf>
    <xf numFmtId="0" fontId="28" fillId="0" borderId="4" xfId="0" applyFont="1" applyBorder="1" applyAlignment="1">
      <alignment horizontal="center" vertical="center" shrinkToFit="1"/>
    </xf>
    <xf numFmtId="169" fontId="26" fillId="0" borderId="4" xfId="0" applyNumberFormat="1" applyFont="1" applyBorder="1" applyAlignment="1">
      <alignment horizontal="right" vertical="center" shrinkToFit="1"/>
    </xf>
    <xf numFmtId="0" fontId="29" fillId="0" borderId="0" xfId="0" applyFont="1" applyAlignment="1">
      <alignment horizontal="center" vertical="center" shrinkToFit="1"/>
    </xf>
    <xf numFmtId="168" fontId="29" fillId="0" borderId="0" xfId="2" applyFont="1" applyBorder="1" applyAlignment="1">
      <alignment horizontal="left" vertical="center" shrinkToFit="1"/>
    </xf>
    <xf numFmtId="170" fontId="29" fillId="0" borderId="0" xfId="2" applyNumberFormat="1" applyFont="1" applyBorder="1" applyAlignment="1">
      <alignment horizontal="left" vertical="center" shrinkToFit="1"/>
    </xf>
    <xf numFmtId="173" fontId="16" fillId="0" borderId="0" xfId="2" applyNumberFormat="1" applyFont="1" applyBorder="1" applyAlignment="1">
      <alignment horizontal="right" vertical="center" shrinkToFit="1"/>
    </xf>
    <xf numFmtId="173" fontId="16" fillId="0" borderId="0" xfId="2" applyNumberFormat="1" applyFont="1" applyBorder="1" applyAlignment="1">
      <alignment horizontal="right" vertical="center" indent="1" shrinkToFit="1"/>
    </xf>
    <xf numFmtId="0" fontId="15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shrinkToFit="1"/>
    </xf>
    <xf numFmtId="173" fontId="16" fillId="0" borderId="0" xfId="0" applyNumberFormat="1" applyFont="1" applyAlignment="1">
      <alignment horizontal="right" vertical="center" shrinkToFit="1"/>
    </xf>
    <xf numFmtId="173" fontId="16" fillId="0" borderId="0" xfId="0" applyNumberFormat="1" applyFont="1" applyAlignment="1">
      <alignment horizontal="right" vertical="center" indent="1" shrinkToFit="1"/>
    </xf>
    <xf numFmtId="0" fontId="37" fillId="0" borderId="0" xfId="0" applyFont="1" applyAlignment="1">
      <alignment shrinkToFit="1"/>
    </xf>
    <xf numFmtId="0" fontId="18" fillId="0" borderId="2" xfId="0" applyFont="1" applyBorder="1" applyAlignment="1">
      <alignment horizontal="right" indent="1" shrinkToFit="1"/>
    </xf>
    <xf numFmtId="0" fontId="35" fillId="0" borderId="0" xfId="0" applyFont="1" applyAlignment="1">
      <alignment shrinkToFit="1"/>
    </xf>
    <xf numFmtId="0" fontId="35" fillId="0" borderId="1" xfId="0" applyFont="1" applyBorder="1" applyAlignment="1">
      <alignment shrinkToFit="1"/>
    </xf>
    <xf numFmtId="172" fontId="37" fillId="0" borderId="0" xfId="0" applyNumberFormat="1" applyFont="1" applyAlignment="1">
      <alignment shrinkToFit="1"/>
    </xf>
    <xf numFmtId="165" fontId="37" fillId="0" borderId="0" xfId="0" applyNumberFormat="1" applyFont="1" applyAlignment="1">
      <alignment shrinkToFit="1"/>
    </xf>
    <xf numFmtId="169" fontId="22" fillId="2" borderId="0" xfId="2" applyNumberFormat="1" applyFont="1" applyFill="1" applyBorder="1" applyAlignment="1">
      <alignment horizontal="right" vertical="center" indent="1" shrinkToFit="1"/>
    </xf>
    <xf numFmtId="169" fontId="22" fillId="0" borderId="0" xfId="2" applyNumberFormat="1" applyFont="1" applyBorder="1" applyAlignment="1">
      <alignment horizontal="right" vertical="center" indent="1" shrinkToFit="1"/>
    </xf>
    <xf numFmtId="0" fontId="44" fillId="0" borderId="0" xfId="0" applyFont="1" applyAlignment="1">
      <alignment vertical="center" shrinkToFit="1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 shrinkToFit="1"/>
    </xf>
    <xf numFmtId="168" fontId="27" fillId="0" borderId="4" xfId="2" applyFont="1" applyBorder="1" applyAlignment="1">
      <alignment horizontal="left" vertical="center" shrinkToFit="1"/>
    </xf>
    <xf numFmtId="170" fontId="27" fillId="0" borderId="4" xfId="2" applyNumberFormat="1" applyFont="1" applyBorder="1" applyAlignment="1">
      <alignment horizontal="left" vertical="center" shrinkToFit="1"/>
    </xf>
    <xf numFmtId="169" fontId="26" fillId="0" borderId="4" xfId="0" applyNumberFormat="1" applyFont="1" applyBorder="1" applyAlignment="1">
      <alignment horizontal="right" vertical="center" indent="1" shrinkToFit="1"/>
    </xf>
    <xf numFmtId="165" fontId="26" fillId="0" borderId="0" xfId="0" applyNumberFormat="1" applyFont="1" applyAlignment="1">
      <alignment vertical="center" shrinkToFit="1"/>
    </xf>
    <xf numFmtId="0" fontId="44" fillId="0" borderId="1" xfId="0" applyFont="1" applyBorder="1" applyAlignment="1">
      <alignment vertical="center" shrinkToFit="1"/>
    </xf>
    <xf numFmtId="0" fontId="14" fillId="0" borderId="0" xfId="0" applyFont="1" applyAlignment="1">
      <alignment vertical="center" shrinkToFit="1"/>
    </xf>
    <xf numFmtId="165" fontId="14" fillId="0" borderId="0" xfId="0" applyNumberFormat="1" applyFont="1" applyAlignment="1">
      <alignment vertical="center" shrinkToFit="1"/>
    </xf>
    <xf numFmtId="165" fontId="44" fillId="0" borderId="0" xfId="0" applyNumberFormat="1" applyFont="1" applyAlignment="1">
      <alignment vertical="center" shrinkToFit="1"/>
    </xf>
    <xf numFmtId="0" fontId="39" fillId="0" borderId="0" xfId="0" applyFont="1" applyAlignment="1">
      <alignment horizontal="left" vertical="center" shrinkToFit="1"/>
    </xf>
    <xf numFmtId="0" fontId="3" fillId="0" borderId="0" xfId="0" applyFont="1" applyAlignment="1">
      <alignment horizontal="right" shrinkToFit="1"/>
    </xf>
    <xf numFmtId="0" fontId="3" fillId="0" borderId="0" xfId="0" applyFont="1" applyAlignment="1">
      <alignment horizontal="right" indent="1" shrinkToFit="1"/>
    </xf>
    <xf numFmtId="0" fontId="40" fillId="0" borderId="0" xfId="0" applyFont="1" applyAlignment="1">
      <alignment shrinkToFit="1"/>
    </xf>
    <xf numFmtId="0" fontId="14" fillId="2" borderId="0" xfId="0" applyFont="1" applyFill="1" applyAlignment="1">
      <alignment horizontal="left" vertical="center" indent="1"/>
    </xf>
    <xf numFmtId="0" fontId="3" fillId="2" borderId="4" xfId="0" applyFont="1" applyFill="1" applyBorder="1" applyAlignment="1">
      <alignment vertical="center" shrinkToFit="1"/>
    </xf>
    <xf numFmtId="0" fontId="14" fillId="0" borderId="0" xfId="0" applyFont="1" applyAlignment="1">
      <alignment horizontal="left" vertical="center" indent="1"/>
    </xf>
    <xf numFmtId="0" fontId="3" fillId="0" borderId="0" xfId="2" applyNumberFormat="1" applyFont="1" applyBorder="1" applyAlignment="1">
      <alignment vertical="center" shrinkToFit="1"/>
    </xf>
    <xf numFmtId="0" fontId="3" fillId="2" borderId="2" xfId="2" applyNumberFormat="1" applyFont="1" applyFill="1" applyBorder="1" applyAlignment="1">
      <alignment vertical="center" shrinkToFit="1"/>
    </xf>
    <xf numFmtId="169" fontId="3" fillId="2" borderId="2" xfId="2" applyNumberFormat="1" applyFont="1" applyFill="1" applyBorder="1" applyAlignment="1">
      <alignment horizontal="left" vertical="center" shrinkToFit="1"/>
    </xf>
    <xf numFmtId="169" fontId="3" fillId="2" borderId="13" xfId="2" applyNumberFormat="1" applyFont="1" applyFill="1" applyBorder="1" applyAlignment="1">
      <alignment horizontal="left" vertical="center" shrinkToFit="1"/>
    </xf>
    <xf numFmtId="0" fontId="14" fillId="0" borderId="0" xfId="0" applyFont="1" applyAlignment="1">
      <alignment shrinkToFit="1"/>
    </xf>
    <xf numFmtId="0" fontId="14" fillId="0" borderId="1" xfId="0" applyFont="1" applyBorder="1" applyAlignment="1">
      <alignment vertical="center" shrinkToFit="1"/>
    </xf>
    <xf numFmtId="172" fontId="41" fillId="0" borderId="0" xfId="0" applyNumberFormat="1" applyFont="1" applyAlignment="1">
      <alignment horizontal="center" vertical="center" shrinkToFit="1"/>
    </xf>
    <xf numFmtId="0" fontId="26" fillId="0" borderId="0" xfId="2" applyNumberFormat="1" applyFont="1" applyBorder="1" applyAlignment="1">
      <alignment horizontal="center" vertical="center" shrinkToFit="1"/>
    </xf>
    <xf numFmtId="165" fontId="26" fillId="0" borderId="0" xfId="0" applyNumberFormat="1" applyFont="1" applyAlignment="1">
      <alignment horizontal="right" vertical="center" indent="1" shrinkToFit="1"/>
    </xf>
    <xf numFmtId="0" fontId="37" fillId="0" borderId="0" xfId="0" applyFont="1" applyAlignment="1">
      <alignment vertical="center" shrinkToFit="1"/>
    </xf>
    <xf numFmtId="0" fontId="18" fillId="0" borderId="2" xfId="0" applyFont="1" applyBorder="1" applyAlignment="1">
      <alignment horizontal="right" vertical="center" shrinkToFit="1"/>
    </xf>
    <xf numFmtId="0" fontId="18" fillId="0" borderId="2" xfId="0" applyFont="1" applyBorder="1" applyAlignment="1">
      <alignment vertical="center" shrinkToFit="1"/>
    </xf>
    <xf numFmtId="0" fontId="19" fillId="0" borderId="2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right" vertical="center" indent="1" shrinkToFit="1"/>
    </xf>
    <xf numFmtId="0" fontId="35" fillId="0" borderId="1" xfId="0" applyFont="1" applyBorder="1" applyAlignment="1">
      <alignment vertical="center" shrinkToFit="1"/>
    </xf>
    <xf numFmtId="172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179" fontId="3" fillId="2" borderId="0" xfId="2" applyNumberFormat="1" applyFont="1" applyFill="1" applyBorder="1" applyAlignment="1">
      <alignment horizontal="center" vertical="center"/>
    </xf>
    <xf numFmtId="3" fontId="32" fillId="2" borderId="4" xfId="0" applyNumberFormat="1" applyFont="1" applyFill="1" applyBorder="1" applyAlignment="1">
      <alignment vertical="center" shrinkToFit="1"/>
    </xf>
    <xf numFmtId="3" fontId="21" fillId="3" borderId="5" xfId="0" applyNumberFormat="1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left" vertical="center" shrinkToFit="1"/>
    </xf>
    <xf numFmtId="169" fontId="3" fillId="2" borderId="0" xfId="0" applyNumberFormat="1" applyFont="1" applyFill="1" applyAlignment="1">
      <alignment horizontal="right" vertical="center" indent="1" shrinkToFit="1"/>
    </xf>
    <xf numFmtId="179" fontId="3" fillId="0" borderId="0" xfId="2" applyNumberFormat="1" applyFont="1" applyBorder="1" applyAlignment="1">
      <alignment horizontal="center" vertical="center"/>
    </xf>
    <xf numFmtId="3" fontId="3" fillId="0" borderId="0" xfId="2" applyNumberFormat="1" applyFont="1" applyBorder="1" applyAlignment="1">
      <alignment vertical="center" shrinkToFit="1"/>
    </xf>
    <xf numFmtId="3" fontId="21" fillId="3" borderId="0" xfId="0" applyNumberFormat="1" applyFont="1" applyFill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169" fontId="3" fillId="0" borderId="0" xfId="0" applyNumberFormat="1" applyFont="1" applyAlignment="1">
      <alignment horizontal="right" vertical="center" indent="1" shrinkToFit="1"/>
    </xf>
    <xf numFmtId="181" fontId="26" fillId="0" borderId="4" xfId="1" applyNumberFormat="1" applyFont="1" applyBorder="1" applyAlignment="1">
      <alignment horizontal="center" vertical="center" shrinkToFit="1"/>
    </xf>
    <xf numFmtId="165" fontId="26" fillId="0" borderId="4" xfId="0" applyNumberFormat="1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0" xfId="0" applyFont="1" applyAlignment="1">
      <alignment vertical="center" shrinkToFit="1"/>
    </xf>
    <xf numFmtId="165" fontId="41" fillId="0" borderId="0" xfId="0" applyNumberFormat="1" applyFont="1" applyAlignment="1">
      <alignment horizontal="center" vertical="center" shrinkToFit="1"/>
    </xf>
    <xf numFmtId="165" fontId="41" fillId="0" borderId="0" xfId="0" applyNumberFormat="1" applyFont="1" applyAlignment="1">
      <alignment horizontal="right" vertical="center" indent="1" shrinkToFit="1"/>
    </xf>
    <xf numFmtId="172" fontId="41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top" shrinkToFit="1"/>
    </xf>
    <xf numFmtId="0" fontId="12" fillId="0" borderId="0" xfId="0" applyFont="1" applyAlignment="1">
      <alignment vertical="top" shrinkToFit="1"/>
    </xf>
    <xf numFmtId="0" fontId="13" fillId="0" borderId="0" xfId="0" applyFont="1" applyAlignment="1">
      <alignment horizontal="left" vertical="top" shrinkToFit="1"/>
    </xf>
    <xf numFmtId="0" fontId="12" fillId="0" borderId="0" xfId="0" applyFont="1" applyAlignment="1">
      <alignment horizontal="left" vertical="top" shrinkToFit="1"/>
    </xf>
    <xf numFmtId="0" fontId="12" fillId="0" borderId="0" xfId="0" applyFont="1" applyAlignment="1">
      <alignment horizontal="center" vertical="top" shrinkToFit="1"/>
    </xf>
    <xf numFmtId="0" fontId="12" fillId="0" borderId="0" xfId="0" applyFont="1" applyAlignment="1">
      <alignment horizontal="right" vertical="top" indent="1" shrinkToFit="1"/>
    </xf>
    <xf numFmtId="0" fontId="12" fillId="0" borderId="1" xfId="0" applyFont="1" applyBorder="1" applyAlignment="1">
      <alignment vertical="top" shrinkToFit="1"/>
    </xf>
    <xf numFmtId="0" fontId="14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 shrinkToFit="1"/>
    </xf>
    <xf numFmtId="169" fontId="18" fillId="0" borderId="2" xfId="0" applyNumberFormat="1" applyFont="1" applyBorder="1" applyAlignment="1">
      <alignment horizontal="right" vertical="center" indent="1" shrinkToFit="1"/>
    </xf>
    <xf numFmtId="169" fontId="3" fillId="2" borderId="2" xfId="2" applyNumberFormat="1" applyFont="1" applyFill="1" applyBorder="1" applyAlignment="1">
      <alignment horizontal="right" vertical="center"/>
    </xf>
    <xf numFmtId="169" fontId="3" fillId="2" borderId="7" xfId="2" applyNumberFormat="1" applyFont="1" applyFill="1" applyBorder="1" applyAlignment="1">
      <alignment vertical="center" shrinkToFit="1"/>
    </xf>
    <xf numFmtId="168" fontId="3" fillId="2" borderId="7" xfId="2" applyFont="1" applyFill="1" applyBorder="1" applyAlignment="1">
      <alignment vertical="center" shrinkToFit="1"/>
    </xf>
    <xf numFmtId="3" fontId="21" fillId="3" borderId="8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left" vertical="center" indent="2" shrinkToFit="1"/>
    </xf>
    <xf numFmtId="0" fontId="43" fillId="2" borderId="2" xfId="0" applyFont="1" applyFill="1" applyBorder="1" applyAlignment="1">
      <alignment horizontal="center" vertical="center" shrinkToFit="1"/>
    </xf>
    <xf numFmtId="169" fontId="3" fillId="2" borderId="2" xfId="0" applyNumberFormat="1" applyFont="1" applyFill="1" applyBorder="1" applyAlignment="1">
      <alignment horizontal="right" vertical="center" indent="1"/>
    </xf>
    <xf numFmtId="0" fontId="18" fillId="0" borderId="0" xfId="0" applyFont="1" applyAlignment="1">
      <alignment horizontal="right" vertical="center" shrinkToFit="1"/>
    </xf>
    <xf numFmtId="170" fontId="47" fillId="4" borderId="4" xfId="2" applyNumberFormat="1" applyFont="1" applyFill="1" applyBorder="1" applyAlignment="1">
      <alignment horizontal="right" vertical="center" shrinkToFit="1"/>
    </xf>
    <xf numFmtId="169" fontId="47" fillId="4" borderId="4" xfId="2" applyNumberFormat="1" applyFont="1" applyFill="1" applyBorder="1" applyAlignment="1">
      <alignment horizontal="right" vertical="center" indent="1" shrinkToFit="1"/>
    </xf>
    <xf numFmtId="170" fontId="47" fillId="5" borderId="0" xfId="2" applyNumberFormat="1" applyFont="1" applyFill="1" applyBorder="1" applyAlignment="1">
      <alignment horizontal="right" vertical="center" shrinkToFit="1"/>
    </xf>
    <xf numFmtId="169" fontId="47" fillId="5" borderId="0" xfId="2" applyNumberFormat="1" applyFont="1" applyFill="1" applyBorder="1" applyAlignment="1">
      <alignment horizontal="right" vertical="center" indent="1" shrinkToFit="1"/>
    </xf>
    <xf numFmtId="170" fontId="47" fillId="4" borderId="0" xfId="2" applyNumberFormat="1" applyFont="1" applyFill="1" applyBorder="1" applyAlignment="1">
      <alignment horizontal="right" vertical="center" shrinkToFit="1"/>
    </xf>
    <xf numFmtId="169" fontId="47" fillId="4" borderId="0" xfId="2" applyNumberFormat="1" applyFont="1" applyFill="1" applyBorder="1" applyAlignment="1">
      <alignment horizontal="right" vertical="center" indent="1" shrinkToFit="1"/>
    </xf>
    <xf numFmtId="0" fontId="47" fillId="4" borderId="2" xfId="0" applyFont="1" applyFill="1" applyBorder="1" applyAlignment="1">
      <alignment horizontal="right" vertical="center" shrinkToFit="1"/>
    </xf>
    <xf numFmtId="169" fontId="47" fillId="4" borderId="2" xfId="0" applyNumberFormat="1" applyFont="1" applyFill="1" applyBorder="1" applyAlignment="1">
      <alignment horizontal="right" vertical="center" indent="1" shrinkToFit="1"/>
    </xf>
    <xf numFmtId="0" fontId="26" fillId="0" borderId="0" xfId="0" applyFont="1" applyAlignment="1">
      <alignment horizontal="left" vertical="center"/>
    </xf>
    <xf numFmtId="169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shrinkToFit="1"/>
    </xf>
    <xf numFmtId="169" fontId="29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vertical="center" shrinkToFit="1"/>
    </xf>
    <xf numFmtId="169" fontId="26" fillId="0" borderId="0" xfId="0" applyNumberFormat="1" applyFont="1" applyAlignment="1">
      <alignment horizontal="right" vertical="center" indent="1" shrinkToFit="1"/>
    </xf>
    <xf numFmtId="0" fontId="37" fillId="0" borderId="1" xfId="0" applyFont="1" applyBorder="1" applyAlignment="1">
      <alignment vertical="center" shrinkToFit="1"/>
    </xf>
    <xf numFmtId="168" fontId="41" fillId="0" borderId="0" xfId="2" applyFont="1" applyBorder="1" applyAlignment="1">
      <alignment horizontal="left" vertical="center" shrinkToFit="1"/>
    </xf>
    <xf numFmtId="170" fontId="41" fillId="0" borderId="0" xfId="2" applyNumberFormat="1" applyFont="1" applyBorder="1" applyAlignment="1">
      <alignment horizontal="left" vertical="center" shrinkToFit="1"/>
    </xf>
    <xf numFmtId="165" fontId="41" fillId="0" borderId="0" xfId="0" applyNumberFormat="1" applyFont="1" applyAlignment="1">
      <alignment horizontal="right" vertical="center" shrinkToFit="1"/>
    </xf>
    <xf numFmtId="0" fontId="18" fillId="0" borderId="2" xfId="0" applyFont="1" applyBorder="1" applyAlignment="1">
      <alignment horizontal="center" vertical="center" shrinkToFit="1"/>
    </xf>
    <xf numFmtId="0" fontId="14" fillId="2" borderId="0" xfId="0" applyFont="1" applyFill="1" applyAlignment="1">
      <alignment horizontal="left" vertical="center" indent="1" shrinkToFit="1"/>
    </xf>
    <xf numFmtId="176" fontId="51" fillId="2" borderId="0" xfId="0" applyNumberFormat="1" applyFont="1" applyFill="1" applyAlignment="1">
      <alignment horizontal="left" vertical="center" indent="1"/>
    </xf>
    <xf numFmtId="3" fontId="21" fillId="3" borderId="3" xfId="0" applyNumberFormat="1" applyFont="1" applyFill="1" applyBorder="1" applyAlignment="1">
      <alignment horizontal="center" vertical="center" shrinkToFit="1"/>
    </xf>
    <xf numFmtId="176" fontId="51" fillId="2" borderId="0" xfId="0" applyNumberFormat="1" applyFont="1" applyFill="1" applyAlignment="1">
      <alignment horizontal="center" vertical="center" shrinkToFit="1"/>
    </xf>
    <xf numFmtId="0" fontId="14" fillId="0" borderId="0" xfId="0" applyFont="1" applyAlignment="1">
      <alignment horizontal="left" vertical="center" indent="1" shrinkToFit="1"/>
    </xf>
    <xf numFmtId="169" fontId="3" fillId="0" borderId="0" xfId="0" applyNumberFormat="1" applyFont="1" applyAlignment="1">
      <alignment horizontal="left" vertical="center" indent="1"/>
    </xf>
    <xf numFmtId="176" fontId="51" fillId="0" borderId="0" xfId="0" applyNumberFormat="1" applyFont="1" applyAlignment="1">
      <alignment horizontal="right" vertical="center"/>
    </xf>
    <xf numFmtId="3" fontId="21" fillId="3" borderId="10" xfId="0" applyNumberFormat="1" applyFont="1" applyFill="1" applyBorder="1" applyAlignment="1">
      <alignment horizontal="center" vertical="center" shrinkToFit="1"/>
    </xf>
    <xf numFmtId="0" fontId="52" fillId="0" borderId="0" xfId="0" applyFont="1" applyAlignment="1">
      <alignment vertical="center" shrinkToFit="1"/>
    </xf>
    <xf numFmtId="0" fontId="14" fillId="2" borderId="2" xfId="0" applyFont="1" applyFill="1" applyBorder="1" applyAlignment="1">
      <alignment horizontal="left" vertical="center" indent="1" shrinkToFit="1"/>
    </xf>
    <xf numFmtId="169" fontId="3" fillId="2" borderId="2" xfId="0" applyNumberFormat="1" applyFont="1" applyFill="1" applyBorder="1" applyAlignment="1">
      <alignment horizontal="left" vertical="center" indent="1"/>
    </xf>
    <xf numFmtId="176" fontId="51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 shrinkToFit="1"/>
    </xf>
    <xf numFmtId="169" fontId="3" fillId="2" borderId="2" xfId="0" applyNumberFormat="1" applyFont="1" applyFill="1" applyBorder="1" applyAlignment="1">
      <alignment horizontal="right" vertical="center" indent="1" shrinkToFit="1"/>
    </xf>
    <xf numFmtId="0" fontId="52" fillId="0" borderId="1" xfId="0" applyFont="1" applyBorder="1" applyAlignment="1">
      <alignment vertical="center" shrinkToFit="1"/>
    </xf>
    <xf numFmtId="0" fontId="54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18" fillId="0" borderId="2" xfId="0" applyFont="1" applyBorder="1" applyAlignment="1">
      <alignment horizontal="left" vertical="center" shrinkToFit="1"/>
    </xf>
    <xf numFmtId="0" fontId="34" fillId="0" borderId="0" xfId="0" applyFont="1" applyAlignment="1">
      <alignment horizontal="center" vertical="center" shrinkToFit="1"/>
    </xf>
    <xf numFmtId="176" fontId="3" fillId="2" borderId="0" xfId="0" applyNumberFormat="1" applyFont="1" applyFill="1" applyAlignment="1">
      <alignment horizontal="right" vertical="center" shrinkToFit="1"/>
    </xf>
    <xf numFmtId="176" fontId="3" fillId="2" borderId="0" xfId="0" applyNumberFormat="1" applyFont="1" applyFill="1" applyAlignment="1">
      <alignment horizontal="left" vertical="center" shrinkToFit="1"/>
    </xf>
    <xf numFmtId="178" fontId="3" fillId="0" borderId="0" xfId="0" applyNumberFormat="1" applyFont="1" applyAlignment="1">
      <alignment horizontal="left" vertical="center" shrinkToFit="1"/>
    </xf>
    <xf numFmtId="176" fontId="3" fillId="0" borderId="0" xfId="0" applyNumberFormat="1" applyFont="1" applyAlignment="1">
      <alignment horizontal="right" vertical="center" shrinkToFit="1"/>
    </xf>
    <xf numFmtId="176" fontId="32" fillId="0" borderId="0" xfId="0" applyNumberFormat="1" applyFont="1" applyAlignment="1">
      <alignment horizontal="left" vertical="center" shrinkToFit="1"/>
    </xf>
    <xf numFmtId="178" fontId="3" fillId="2" borderId="0" xfId="0" applyNumberFormat="1" applyFont="1" applyFill="1" applyAlignment="1">
      <alignment horizontal="left" vertical="center" shrinkToFit="1"/>
    </xf>
    <xf numFmtId="176" fontId="32" fillId="0" borderId="0" xfId="0" applyNumberFormat="1" applyFont="1" applyAlignment="1">
      <alignment horizontal="right" vertical="center" shrinkToFit="1"/>
    </xf>
    <xf numFmtId="176" fontId="3" fillId="0" borderId="0" xfId="0" applyNumberFormat="1" applyFont="1" applyAlignment="1">
      <alignment horizontal="left" vertical="center" shrinkToFi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horizontal="left" vertical="center" shrinkToFit="1"/>
    </xf>
    <xf numFmtId="0" fontId="34" fillId="0" borderId="0" xfId="0" applyFont="1" applyAlignment="1">
      <alignment horizontal="left" vertical="center" shrinkToFit="1"/>
    </xf>
    <xf numFmtId="176" fontId="32" fillId="2" borderId="0" xfId="0" applyNumberFormat="1" applyFont="1" applyFill="1" applyAlignment="1">
      <alignment horizontal="left" vertical="center" shrinkToFit="1"/>
    </xf>
    <xf numFmtId="178" fontId="3" fillId="0" borderId="4" xfId="0" applyNumberFormat="1" applyFont="1" applyBorder="1" applyAlignment="1">
      <alignment horizontal="left" vertical="center" shrinkToFit="1"/>
    </xf>
    <xf numFmtId="176" fontId="3" fillId="0" borderId="4" xfId="0" applyNumberFormat="1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172" fontId="3" fillId="0" borderId="0" xfId="0" applyNumberFormat="1" applyFont="1" applyAlignment="1">
      <alignment horizontal="right" vertical="center" shrinkToFit="1"/>
    </xf>
    <xf numFmtId="0" fontId="41" fillId="0" borderId="0" xfId="0" applyFont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172" fontId="3" fillId="0" borderId="4" xfId="0" applyNumberFormat="1" applyFont="1" applyBorder="1" applyAlignment="1">
      <alignment horizontal="right" vertical="center" shrinkToFit="1"/>
    </xf>
    <xf numFmtId="172" fontId="3" fillId="0" borderId="4" xfId="0" applyNumberFormat="1" applyFont="1" applyBorder="1" applyAlignment="1">
      <alignment horizontal="right" vertical="center" indent="1" shrinkToFit="1"/>
    </xf>
    <xf numFmtId="0" fontId="2" fillId="0" borderId="2" xfId="0" applyFont="1" applyBorder="1" applyAlignment="1">
      <alignment vertical="center" shrinkToFit="1"/>
    </xf>
    <xf numFmtId="0" fontId="54" fillId="0" borderId="2" xfId="0" applyFont="1" applyBorder="1" applyAlignment="1">
      <alignment vertical="center"/>
    </xf>
    <xf numFmtId="168" fontId="41" fillId="0" borderId="2" xfId="2" applyFont="1" applyBorder="1" applyAlignment="1">
      <alignment horizontal="left" vertical="center" shrinkToFit="1"/>
    </xf>
    <xf numFmtId="170" fontId="41" fillId="0" borderId="2" xfId="2" applyNumberFormat="1" applyFont="1" applyBorder="1" applyAlignment="1">
      <alignment horizontal="left" vertical="center" shrinkToFit="1"/>
    </xf>
    <xf numFmtId="0" fontId="41" fillId="0" borderId="2" xfId="0" applyFont="1" applyBorder="1" applyAlignment="1">
      <alignment horizontal="center" vertical="center" shrinkToFit="1"/>
    </xf>
    <xf numFmtId="165" fontId="41" fillId="0" borderId="2" xfId="0" applyNumberFormat="1" applyFont="1" applyBorder="1" applyAlignment="1">
      <alignment horizontal="right" vertical="center" shrinkToFit="1"/>
    </xf>
    <xf numFmtId="165" fontId="41" fillId="0" borderId="2" xfId="0" applyNumberFormat="1" applyFont="1" applyBorder="1" applyAlignment="1">
      <alignment horizontal="right" vertical="center" indent="1" shrinkToFit="1"/>
    </xf>
    <xf numFmtId="0" fontId="3" fillId="0" borderId="14" xfId="0" applyFont="1" applyBorder="1" applyAlignment="1">
      <alignment shrinkToFit="1"/>
    </xf>
    <xf numFmtId="168" fontId="41" fillId="2" borderId="0" xfId="2" applyFont="1" applyFill="1" applyBorder="1" applyAlignment="1">
      <alignment horizontal="left" vertical="center" shrinkToFit="1"/>
    </xf>
    <xf numFmtId="170" fontId="41" fillId="2" borderId="0" xfId="2" applyNumberFormat="1" applyFont="1" applyFill="1" applyBorder="1" applyAlignment="1">
      <alignment horizontal="left" vertical="center" shrinkToFit="1"/>
    </xf>
    <xf numFmtId="0" fontId="41" fillId="2" borderId="0" xfId="0" applyFont="1" applyFill="1" applyAlignment="1">
      <alignment horizontal="center" vertical="center" shrinkToFit="1"/>
    </xf>
    <xf numFmtId="165" fontId="41" fillId="2" borderId="0" xfId="0" applyNumberFormat="1" applyFont="1" applyFill="1" applyAlignment="1">
      <alignment horizontal="right" vertical="center" shrinkToFit="1"/>
    </xf>
    <xf numFmtId="165" fontId="41" fillId="2" borderId="0" xfId="0" applyNumberFormat="1" applyFont="1" applyFill="1" applyAlignment="1">
      <alignment horizontal="right" vertical="center" indent="1" shrinkToFit="1"/>
    </xf>
    <xf numFmtId="0" fontId="12" fillId="2" borderId="0" xfId="0" applyFont="1" applyFill="1" applyAlignment="1">
      <alignment shrinkToFit="1"/>
    </xf>
    <xf numFmtId="0" fontId="8" fillId="2" borderId="0" xfId="0" applyFont="1" applyFill="1" applyAlignment="1">
      <alignment horizontal="left" vertical="center" shrinkToFit="1"/>
    </xf>
    <xf numFmtId="0" fontId="73" fillId="2" borderId="0" xfId="4" applyFont="1" applyFill="1" applyBorder="1" applyAlignment="1">
      <alignment horizontal="left" vertical="top" indent="1"/>
    </xf>
    <xf numFmtId="0" fontId="8" fillId="2" borderId="0" xfId="0" applyFont="1" applyFill="1" applyAlignment="1">
      <alignment vertical="top" shrinkToFit="1"/>
    </xf>
    <xf numFmtId="0" fontId="13" fillId="2" borderId="0" xfId="0" applyFont="1" applyFill="1" applyAlignment="1">
      <alignment horizontal="left" shrinkToFit="1"/>
    </xf>
    <xf numFmtId="0" fontId="12" fillId="2" borderId="0" xfId="0" applyFont="1" applyFill="1" applyAlignment="1">
      <alignment horizontal="center" shrinkToFit="1"/>
    </xf>
    <xf numFmtId="0" fontId="12" fillId="2" borderId="0" xfId="0" applyFont="1" applyFill="1" applyAlignment="1">
      <alignment horizontal="right" shrinkToFit="1"/>
    </xf>
    <xf numFmtId="0" fontId="12" fillId="2" borderId="0" xfId="0" applyFont="1" applyFill="1" applyAlignment="1">
      <alignment horizontal="right" indent="1" shrinkToFit="1"/>
    </xf>
    <xf numFmtId="0" fontId="37" fillId="2" borderId="0" xfId="0" applyFont="1" applyFill="1" applyAlignment="1">
      <alignment shrinkToFit="1"/>
    </xf>
    <xf numFmtId="0" fontId="8" fillId="2" borderId="0" xfId="0" applyFont="1" applyFill="1" applyAlignment="1">
      <alignment horizontal="left" vertical="top" shrinkToFit="1"/>
    </xf>
    <xf numFmtId="0" fontId="57" fillId="0" borderId="0" xfId="0" applyFont="1" applyAlignment="1">
      <alignment vertical="center" shrinkToFit="1"/>
    </xf>
    <xf numFmtId="0" fontId="18" fillId="2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right" vertical="center" shrinkToFit="1"/>
    </xf>
    <xf numFmtId="0" fontId="18" fillId="2" borderId="2" xfId="0" applyFont="1" applyFill="1" applyBorder="1" applyAlignment="1">
      <alignment vertical="center" shrinkToFit="1"/>
    </xf>
    <xf numFmtId="0" fontId="18" fillId="2" borderId="0" xfId="0" applyFont="1" applyFill="1" applyAlignment="1">
      <alignment horizontal="right" vertical="center" indent="1" shrinkToFit="1"/>
    </xf>
    <xf numFmtId="0" fontId="58" fillId="2" borderId="0" xfId="0" applyFont="1" applyFill="1" applyAlignment="1">
      <alignment vertical="center" shrinkToFit="1"/>
    </xf>
    <xf numFmtId="0" fontId="14" fillId="2" borderId="15" xfId="0" applyFont="1" applyFill="1" applyBorder="1" applyAlignment="1">
      <alignment vertical="center" shrinkToFit="1"/>
    </xf>
    <xf numFmtId="0" fontId="3" fillId="2" borderId="15" xfId="0" applyFont="1" applyFill="1" applyBorder="1" applyAlignment="1">
      <alignment horizontal="center" vertical="center" shrinkToFit="1"/>
    </xf>
    <xf numFmtId="172" fontId="3" fillId="2" borderId="15" xfId="0" applyNumberFormat="1" applyFont="1" applyFill="1" applyBorder="1" applyAlignment="1">
      <alignment horizontal="right" vertical="center" shrinkToFit="1"/>
    </xf>
    <xf numFmtId="0" fontId="3" fillId="2" borderId="15" xfId="0" applyFont="1" applyFill="1" applyBorder="1" applyAlignment="1">
      <alignment horizontal="left" vertical="center" shrinkToFit="1"/>
    </xf>
    <xf numFmtId="169" fontId="3" fillId="2" borderId="15" xfId="0" applyNumberFormat="1" applyFont="1" applyFill="1" applyBorder="1" applyAlignment="1">
      <alignment horizontal="right" vertical="center" shrinkToFit="1"/>
    </xf>
    <xf numFmtId="165" fontId="3" fillId="2" borderId="0" xfId="0" applyNumberFormat="1" applyFont="1" applyFill="1" applyAlignment="1">
      <alignment horizontal="right" vertical="center" indent="1" shrinkToFit="1"/>
    </xf>
    <xf numFmtId="0" fontId="14" fillId="2" borderId="16" xfId="0" applyFont="1" applyFill="1" applyBorder="1" applyAlignment="1">
      <alignment vertical="center" shrinkToFit="1"/>
    </xf>
    <xf numFmtId="176" fontId="51" fillId="2" borderId="16" xfId="0" applyNumberFormat="1" applyFont="1" applyFill="1" applyBorder="1" applyAlignment="1">
      <alignment horizontal="right" vertical="center" shrinkToFit="1"/>
    </xf>
    <xf numFmtId="172" fontId="3" fillId="2" borderId="16" xfId="0" applyNumberFormat="1" applyFont="1" applyFill="1" applyBorder="1" applyAlignment="1">
      <alignment horizontal="right" vertical="center" shrinkToFit="1"/>
    </xf>
    <xf numFmtId="0" fontId="3" fillId="2" borderId="16" xfId="0" applyFont="1" applyFill="1" applyBorder="1" applyAlignment="1">
      <alignment horizontal="left" vertical="center" shrinkToFit="1"/>
    </xf>
    <xf numFmtId="169" fontId="3" fillId="2" borderId="16" xfId="0" applyNumberFormat="1" applyFont="1" applyFill="1" applyBorder="1" applyAlignment="1">
      <alignment horizontal="right" vertical="center" shrinkToFit="1"/>
    </xf>
    <xf numFmtId="0" fontId="28" fillId="2" borderId="0" xfId="0" applyFont="1" applyFill="1" applyAlignment="1">
      <alignment vertical="center" shrinkToFit="1"/>
    </xf>
    <xf numFmtId="0" fontId="14" fillId="2" borderId="2" xfId="0" applyFont="1" applyFill="1" applyBorder="1" applyAlignment="1">
      <alignment vertical="center" shrinkToFit="1"/>
    </xf>
    <xf numFmtId="176" fontId="51" fillId="2" borderId="2" xfId="0" applyNumberFormat="1" applyFont="1" applyFill="1" applyBorder="1" applyAlignment="1">
      <alignment horizontal="right" vertical="center" shrinkToFit="1"/>
    </xf>
    <xf numFmtId="172" fontId="3" fillId="2" borderId="2" xfId="0" applyNumberFormat="1" applyFont="1" applyFill="1" applyBorder="1" applyAlignment="1">
      <alignment horizontal="right" vertical="center" shrinkToFit="1"/>
    </xf>
    <xf numFmtId="169" fontId="3" fillId="2" borderId="2" xfId="0" applyNumberFormat="1" applyFont="1" applyFill="1" applyBorder="1" applyAlignment="1">
      <alignment horizontal="right" vertical="center" shrinkToFit="1"/>
    </xf>
    <xf numFmtId="0" fontId="28" fillId="0" borderId="1" xfId="0" applyFont="1" applyBorder="1" applyAlignment="1">
      <alignment vertical="center" shrinkToFit="1"/>
    </xf>
    <xf numFmtId="0" fontId="28" fillId="0" borderId="0" xfId="0" applyFont="1" applyAlignment="1">
      <alignment vertical="center" shrinkToFit="1"/>
    </xf>
    <xf numFmtId="168" fontId="27" fillId="2" borderId="0" xfId="2" applyFont="1" applyFill="1" applyBorder="1" applyAlignment="1">
      <alignment horizontal="left" vertical="center" shrinkToFit="1"/>
    </xf>
    <xf numFmtId="170" fontId="27" fillId="2" borderId="0" xfId="2" applyNumberFormat="1" applyFont="1" applyFill="1" applyBorder="1" applyAlignment="1">
      <alignment horizontal="left" vertical="center" shrinkToFit="1"/>
    </xf>
    <xf numFmtId="169" fontId="26" fillId="2" borderId="4" xfId="0" applyNumberFormat="1" applyFont="1" applyFill="1" applyBorder="1" applyAlignment="1">
      <alignment horizontal="right" vertical="center" indent="1" shrinkToFit="1"/>
    </xf>
    <xf numFmtId="165" fontId="26" fillId="2" borderId="0" xfId="0" applyNumberFormat="1" applyFont="1" applyFill="1" applyAlignment="1">
      <alignment horizontal="right" vertical="center" indent="1" shrinkToFit="1"/>
    </xf>
    <xf numFmtId="0" fontId="26" fillId="2" borderId="0" xfId="0" applyFont="1" applyFill="1" applyAlignment="1">
      <alignment horizontal="left" vertical="center"/>
    </xf>
    <xf numFmtId="165" fontId="26" fillId="2" borderId="0" xfId="0" applyNumberFormat="1" applyFont="1" applyFill="1" applyAlignment="1">
      <alignment horizontal="right" vertical="center" shrinkToFit="1"/>
    </xf>
    <xf numFmtId="172" fontId="3" fillId="2" borderId="0" xfId="0" applyNumberFormat="1" applyFont="1" applyFill="1" applyAlignment="1">
      <alignment horizontal="right" vertical="center" shrinkToFit="1"/>
    </xf>
    <xf numFmtId="172" fontId="3" fillId="2" borderId="0" xfId="0" applyNumberFormat="1" applyFont="1" applyFill="1" applyAlignment="1">
      <alignment horizontal="left" vertical="center" shrinkToFit="1"/>
    </xf>
    <xf numFmtId="165" fontId="3" fillId="2" borderId="0" xfId="0" applyNumberFormat="1" applyFont="1" applyFill="1" applyAlignment="1">
      <alignment horizontal="right" vertical="center" shrinkToFit="1"/>
    </xf>
    <xf numFmtId="0" fontId="2" fillId="2" borderId="2" xfId="0" applyFont="1" applyFill="1" applyBorder="1" applyAlignment="1">
      <alignment vertical="center" shrinkToFit="1"/>
    </xf>
    <xf numFmtId="176" fontId="3" fillId="2" borderId="2" xfId="0" applyNumberFormat="1" applyFont="1" applyFill="1" applyBorder="1" applyAlignment="1">
      <alignment horizontal="right" vertical="center" shrinkToFit="1"/>
    </xf>
    <xf numFmtId="172" fontId="3" fillId="2" borderId="2" xfId="0" applyNumberFormat="1" applyFont="1" applyFill="1" applyBorder="1" applyAlignment="1">
      <alignment horizontal="left" vertical="center" shrinkToFit="1"/>
    </xf>
    <xf numFmtId="165" fontId="3" fillId="2" borderId="2" xfId="0" applyNumberFormat="1" applyFont="1" applyFill="1" applyBorder="1" applyAlignment="1">
      <alignment horizontal="right" vertical="center" shrinkToFit="1"/>
    </xf>
    <xf numFmtId="165" fontId="3" fillId="2" borderId="2" xfId="0" applyNumberFormat="1" applyFont="1" applyFill="1" applyBorder="1" applyAlignment="1">
      <alignment horizontal="right" vertical="center" indent="1" shrinkToFit="1"/>
    </xf>
    <xf numFmtId="0" fontId="2" fillId="2" borderId="14" xfId="0" applyFont="1" applyFill="1" applyBorder="1" applyAlignment="1">
      <alignment vertical="center" shrinkToFit="1"/>
    </xf>
    <xf numFmtId="0" fontId="62" fillId="0" borderId="0" xfId="0" applyFont="1" applyAlignment="1">
      <alignment vertical="center" shrinkToFit="1"/>
    </xf>
    <xf numFmtId="176" fontId="62" fillId="0" borderId="0" xfId="0" applyNumberFormat="1" applyFont="1" applyAlignment="1">
      <alignment horizontal="right" vertical="center" shrinkToFit="1"/>
    </xf>
    <xf numFmtId="172" fontId="62" fillId="0" borderId="0" xfId="0" applyNumberFormat="1" applyFont="1" applyAlignment="1">
      <alignment horizontal="right" vertical="center" shrinkToFit="1"/>
    </xf>
    <xf numFmtId="0" fontId="62" fillId="0" borderId="0" xfId="0" applyFont="1" applyAlignment="1">
      <alignment horizontal="left" vertical="center" shrinkToFit="1"/>
    </xf>
    <xf numFmtId="172" fontId="62" fillId="0" borderId="0" xfId="0" applyNumberFormat="1" applyFont="1" applyAlignment="1">
      <alignment horizontal="left" vertical="center" shrinkToFit="1"/>
    </xf>
    <xf numFmtId="165" fontId="62" fillId="0" borderId="0" xfId="0" applyNumberFormat="1" applyFont="1" applyAlignment="1">
      <alignment horizontal="right" vertical="center" shrinkToFit="1"/>
    </xf>
    <xf numFmtId="165" fontId="62" fillId="0" borderId="0" xfId="0" applyNumberFormat="1" applyFont="1" applyAlignment="1">
      <alignment horizontal="right" vertical="center" indent="1" shrinkToFit="1"/>
    </xf>
    <xf numFmtId="168" fontId="62" fillId="0" borderId="0" xfId="2" applyFont="1" applyBorder="1" applyAlignment="1">
      <alignment horizontal="left" vertical="center" shrinkToFit="1"/>
    </xf>
    <xf numFmtId="170" fontId="62" fillId="0" borderId="0" xfId="2" applyNumberFormat="1" applyFont="1" applyBorder="1" applyAlignment="1">
      <alignment horizontal="left" vertical="center" shrinkToFit="1"/>
    </xf>
    <xf numFmtId="0" fontId="62" fillId="0" borderId="0" xfId="0" applyFont="1" applyAlignment="1">
      <alignment horizontal="center" vertical="center" shrinkToFit="1"/>
    </xf>
    <xf numFmtId="0" fontId="62" fillId="0" borderId="0" xfId="0" applyFont="1" applyAlignment="1">
      <alignment shrinkToFit="1"/>
    </xf>
    <xf numFmtId="0" fontId="62" fillId="0" borderId="0" xfId="0" applyFont="1" applyAlignment="1">
      <alignment horizontal="right" vertical="center" indent="1" shrinkToFit="1"/>
    </xf>
    <xf numFmtId="0" fontId="2" fillId="2" borderId="0" xfId="0" applyFont="1" applyFill="1" applyAlignment="1">
      <alignment horizontal="center" vertical="center" shrinkToFit="1"/>
    </xf>
    <xf numFmtId="0" fontId="74" fillId="2" borderId="0" xfId="0" applyFont="1" applyFill="1" applyAlignment="1">
      <alignment vertical="center" shrinkToFit="1"/>
    </xf>
    <xf numFmtId="0" fontId="75" fillId="2" borderId="0" xfId="4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left" indent="1" shrinkToFit="1"/>
    </xf>
    <xf numFmtId="182" fontId="2" fillId="0" borderId="0" xfId="3" applyNumberFormat="1" applyFont="1" applyBorder="1" applyAlignment="1">
      <alignment vertical="center" shrinkToFit="1"/>
    </xf>
    <xf numFmtId="168" fontId="8" fillId="2" borderId="0" xfId="2" applyFont="1" applyFill="1" applyBorder="1" applyAlignment="1">
      <alignment horizontal="left" vertical="center" shrinkToFit="1"/>
    </xf>
    <xf numFmtId="170" fontId="8" fillId="2" borderId="0" xfId="2" applyNumberFormat="1" applyFont="1" applyFill="1" applyBorder="1" applyAlignment="1">
      <alignment horizontal="left" vertical="center" shrinkToFit="1"/>
    </xf>
    <xf numFmtId="173" fontId="22" fillId="2" borderId="0" xfId="2" applyNumberFormat="1" applyFont="1" applyFill="1" applyBorder="1" applyAlignment="1">
      <alignment horizontal="right" vertical="center" shrinkToFit="1"/>
    </xf>
    <xf numFmtId="170" fontId="3" fillId="0" borderId="0" xfId="0" applyNumberFormat="1" applyFont="1" applyAlignment="1">
      <alignment vertical="center" shrinkToFit="1"/>
    </xf>
    <xf numFmtId="171" fontId="3" fillId="0" borderId="0" xfId="3" applyNumberFormat="1" applyFont="1" applyBorder="1" applyAlignment="1">
      <alignment vertical="center" shrinkToFit="1"/>
    </xf>
    <xf numFmtId="9" fontId="3" fillId="0" borderId="0" xfId="3" applyFont="1" applyBorder="1" applyAlignment="1">
      <alignment vertical="center" shrinkToFit="1"/>
    </xf>
    <xf numFmtId="168" fontId="8" fillId="0" borderId="0" xfId="2" applyFont="1" applyBorder="1" applyAlignment="1">
      <alignment horizontal="left" vertical="center" shrinkToFit="1"/>
    </xf>
    <xf numFmtId="170" fontId="8" fillId="0" borderId="0" xfId="2" applyNumberFormat="1" applyFont="1" applyBorder="1" applyAlignment="1">
      <alignment horizontal="left" vertical="center" shrinkToFit="1"/>
    </xf>
    <xf numFmtId="173" fontId="22" fillId="0" borderId="0" xfId="2" applyNumberFormat="1" applyFont="1" applyBorder="1" applyAlignment="1">
      <alignment horizontal="right" vertical="center" shrinkToFit="1"/>
    </xf>
    <xf numFmtId="0" fontId="26" fillId="0" borderId="4" xfId="0" applyFont="1" applyBorder="1" applyAlignment="1">
      <alignment horizontal="center" vertical="center" shrinkToFit="1"/>
    </xf>
    <xf numFmtId="165" fontId="26" fillId="0" borderId="4" xfId="0" applyNumberFormat="1" applyFont="1" applyBorder="1" applyAlignment="1">
      <alignment horizontal="right" vertical="center" shrinkToFit="1"/>
    </xf>
    <xf numFmtId="168" fontId="3" fillId="2" borderId="0" xfId="2" applyFont="1" applyFill="1" applyBorder="1" applyAlignment="1">
      <alignment horizontal="left" vertical="center" shrinkToFit="1"/>
    </xf>
    <xf numFmtId="170" fontId="3" fillId="2" borderId="0" xfId="2" applyNumberFormat="1" applyFont="1" applyFill="1" applyBorder="1" applyAlignment="1">
      <alignment horizontal="left" vertical="center" shrinkToFit="1"/>
    </xf>
    <xf numFmtId="168" fontId="3" fillId="0" borderId="0" xfId="2" applyFont="1" applyBorder="1" applyAlignment="1">
      <alignment horizontal="left" vertical="center" shrinkToFit="1"/>
    </xf>
    <xf numFmtId="170" fontId="3" fillId="0" borderId="0" xfId="2" applyNumberFormat="1" applyFont="1" applyBorder="1" applyAlignment="1">
      <alignment horizontal="left" vertical="center" shrinkToFit="1"/>
    </xf>
    <xf numFmtId="168" fontId="3" fillId="2" borderId="0" xfId="2" applyFont="1" applyFill="1" applyBorder="1" applyAlignment="1">
      <alignment horizontal="center" vertical="center" shrinkToFit="1"/>
    </xf>
    <xf numFmtId="170" fontId="3" fillId="2" borderId="0" xfId="2" applyNumberFormat="1" applyFont="1" applyFill="1" applyBorder="1" applyAlignment="1">
      <alignment horizontal="right" vertical="center" shrinkToFit="1"/>
    </xf>
    <xf numFmtId="168" fontId="3" fillId="0" borderId="0" xfId="2" applyFont="1" applyBorder="1" applyAlignment="1">
      <alignment horizontal="center" vertical="center" shrinkToFit="1"/>
    </xf>
    <xf numFmtId="170" fontId="3" fillId="0" borderId="0" xfId="2" applyNumberFormat="1" applyFont="1" applyBorder="1" applyAlignment="1">
      <alignment horizontal="right" vertical="center" shrinkToFit="1"/>
    </xf>
    <xf numFmtId="165" fontId="26" fillId="0" borderId="4" xfId="0" applyNumberFormat="1" applyFont="1" applyBorder="1" applyAlignment="1">
      <alignment vertical="center" shrinkToFit="1"/>
    </xf>
    <xf numFmtId="0" fontId="18" fillId="0" borderId="2" xfId="0" applyFont="1" applyBorder="1" applyAlignment="1">
      <alignment shrinkToFit="1"/>
    </xf>
    <xf numFmtId="168" fontId="3" fillId="2" borderId="2" xfId="2" applyFont="1" applyFill="1" applyBorder="1" applyAlignment="1">
      <alignment horizontal="left" vertical="center" shrinkToFit="1"/>
    </xf>
    <xf numFmtId="170" fontId="3" fillId="2" borderId="13" xfId="2" applyNumberFormat="1" applyFont="1" applyFill="1" applyBorder="1" applyAlignment="1">
      <alignment horizontal="left" vertical="center" shrinkToFit="1"/>
    </xf>
    <xf numFmtId="0" fontId="3" fillId="0" borderId="0" xfId="0" applyFont="1" applyAlignment="1">
      <alignment horizontal="center" shrinkToFit="1"/>
    </xf>
    <xf numFmtId="0" fontId="3" fillId="2" borderId="0" xfId="0" applyFont="1" applyFill="1" applyAlignment="1">
      <alignment horizontal="left" vertical="center" indent="2" shrinkToFit="1"/>
    </xf>
    <xf numFmtId="0" fontId="3" fillId="0" borderId="0" xfId="0" applyFont="1" applyAlignment="1">
      <alignment horizontal="left" vertical="center" indent="2" shrinkToFit="1"/>
    </xf>
    <xf numFmtId="165" fontId="3" fillId="0" borderId="0" xfId="0" applyNumberFormat="1" applyFont="1" applyAlignment="1">
      <alignment horizontal="right" vertical="center" shrinkToFit="1"/>
    </xf>
    <xf numFmtId="0" fontId="12" fillId="0" borderId="0" xfId="0" applyFont="1" applyAlignment="1">
      <alignment horizontal="right" vertical="top" shrinkToFit="1"/>
    </xf>
    <xf numFmtId="0" fontId="76" fillId="7" borderId="0" xfId="0" applyFont="1" applyFill="1" applyAlignment="1">
      <alignment horizontal="left" vertical="center" indent="1"/>
    </xf>
    <xf numFmtId="170" fontId="8" fillId="2" borderId="4" xfId="2" applyNumberFormat="1" applyFont="1" applyFill="1" applyBorder="1" applyAlignment="1">
      <alignment horizontal="right" vertical="center" shrinkToFit="1"/>
    </xf>
    <xf numFmtId="170" fontId="8" fillId="2" borderId="4" xfId="2" applyNumberFormat="1" applyFont="1" applyFill="1" applyBorder="1" applyAlignment="1">
      <alignment vertical="center" shrinkToFit="1"/>
    </xf>
    <xf numFmtId="170" fontId="8" fillId="0" borderId="0" xfId="2" applyNumberFormat="1" applyFont="1" applyBorder="1" applyAlignment="1">
      <alignment horizontal="right" vertical="center" shrinkToFit="1"/>
    </xf>
    <xf numFmtId="170" fontId="8" fillId="0" borderId="0" xfId="2" applyNumberFormat="1" applyFont="1" applyBorder="1" applyAlignment="1">
      <alignment vertical="center" shrinkToFit="1"/>
    </xf>
    <xf numFmtId="170" fontId="8" fillId="2" borderId="0" xfId="2" applyNumberFormat="1" applyFont="1" applyFill="1" applyBorder="1" applyAlignment="1">
      <alignment horizontal="right" vertical="center" shrinkToFit="1"/>
    </xf>
    <xf numFmtId="170" fontId="8" fillId="2" borderId="0" xfId="2" applyNumberFormat="1" applyFont="1" applyFill="1" applyBorder="1" applyAlignment="1">
      <alignment vertical="center" shrinkToFit="1"/>
    </xf>
    <xf numFmtId="0" fontId="20" fillId="0" borderId="4" xfId="0" applyFont="1" applyBorder="1" applyAlignment="1">
      <alignment horizontal="left" vertical="center" indent="1"/>
    </xf>
    <xf numFmtId="0" fontId="20" fillId="0" borderId="4" xfId="0" applyFont="1" applyBorder="1" applyAlignment="1">
      <alignment horizontal="left" vertical="center"/>
    </xf>
    <xf numFmtId="168" fontId="3" fillId="2" borderId="18" xfId="2" applyFont="1" applyFill="1" applyBorder="1" applyAlignment="1">
      <alignment vertical="center" shrinkToFit="1"/>
    </xf>
    <xf numFmtId="0" fontId="14" fillId="2" borderId="0" xfId="0" applyFont="1" applyFill="1" applyAlignment="1">
      <alignment vertical="center" shrinkToFit="1"/>
    </xf>
    <xf numFmtId="172" fontId="3" fillId="2" borderId="4" xfId="0" applyNumberFormat="1" applyFont="1" applyFill="1" applyBorder="1" applyAlignment="1">
      <alignment horizontal="right" vertical="center" indent="1"/>
    </xf>
    <xf numFmtId="172" fontId="3" fillId="0" borderId="2" xfId="0" applyNumberFormat="1" applyFont="1" applyBorder="1" applyAlignment="1">
      <alignment horizontal="right" vertical="center" indent="1"/>
    </xf>
    <xf numFmtId="183" fontId="3" fillId="2" borderId="0" xfId="0" applyNumberFormat="1" applyFont="1" applyFill="1" applyAlignment="1">
      <alignment horizontal="right" vertical="center" shrinkToFit="1"/>
    </xf>
    <xf numFmtId="183" fontId="3" fillId="0" borderId="0" xfId="0" applyNumberFormat="1" applyFont="1" applyAlignment="1">
      <alignment horizontal="right" vertical="center" shrinkToFit="1"/>
    </xf>
    <xf numFmtId="0" fontId="18" fillId="2" borderId="0" xfId="0" applyFont="1" applyFill="1" applyAlignment="1">
      <alignment horizontal="right" vertical="center" shrinkToFit="1"/>
    </xf>
    <xf numFmtId="165" fontId="3" fillId="2" borderId="15" xfId="0" applyNumberFormat="1" applyFont="1" applyFill="1" applyBorder="1" applyAlignment="1">
      <alignment horizontal="right" vertical="center" shrinkToFit="1"/>
    </xf>
    <xf numFmtId="165" fontId="3" fillId="2" borderId="16" xfId="0" applyNumberFormat="1" applyFont="1" applyFill="1" applyBorder="1" applyAlignment="1">
      <alignment horizontal="right" vertical="center" shrinkToFit="1"/>
    </xf>
    <xf numFmtId="165" fontId="26" fillId="2" borderId="4" xfId="0" applyNumberFormat="1" applyFont="1" applyFill="1" applyBorder="1" applyAlignment="1">
      <alignment vertical="center" shrinkToFit="1"/>
    </xf>
    <xf numFmtId="0" fontId="62" fillId="0" borderId="0" xfId="0" applyFont="1" applyAlignment="1">
      <alignment horizontal="right" vertical="center" shrinkToFit="1"/>
    </xf>
    <xf numFmtId="0" fontId="2" fillId="2" borderId="0" xfId="0" applyFont="1" applyFill="1"/>
    <xf numFmtId="0" fontId="6" fillId="2" borderId="0" xfId="4" applyFill="1" applyBorder="1" applyAlignment="1">
      <alignment vertical="center"/>
    </xf>
    <xf numFmtId="0" fontId="8" fillId="0" borderId="0" xfId="0" applyFont="1" applyAlignment="1">
      <alignment shrinkToFit="1"/>
    </xf>
    <xf numFmtId="0" fontId="3" fillId="3" borderId="0" xfId="0" applyFont="1" applyFill="1" applyAlignment="1">
      <alignment vertical="top"/>
    </xf>
    <xf numFmtId="0" fontId="18" fillId="0" borderId="2" xfId="0" applyFont="1" applyBorder="1"/>
    <xf numFmtId="0" fontId="27" fillId="0" borderId="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78" fillId="0" borderId="2" xfId="0" applyFont="1" applyBorder="1" applyAlignment="1">
      <alignment horizontal="center" wrapText="1" shrinkToFit="1"/>
    </xf>
    <xf numFmtId="167" fontId="3" fillId="2" borderId="4" xfId="1" applyNumberFormat="1" applyFont="1" applyFill="1" applyBorder="1" applyAlignment="1">
      <alignment horizontal="right" vertical="center"/>
    </xf>
    <xf numFmtId="167" fontId="3" fillId="2" borderId="2" xfId="1" applyNumberFormat="1" applyFont="1" applyFill="1" applyBorder="1" applyAlignment="1">
      <alignment horizontal="right" vertical="center"/>
    </xf>
    <xf numFmtId="172" fontId="41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 shrinkToFit="1"/>
    </xf>
    <xf numFmtId="175" fontId="3" fillId="0" borderId="0" xfId="2" applyNumberFormat="1" applyFont="1" applyBorder="1" applyAlignment="1">
      <alignment horizontal="right" vertical="center"/>
    </xf>
    <xf numFmtId="0" fontId="14" fillId="0" borderId="4" xfId="0" applyFont="1" applyBorder="1" applyAlignment="1">
      <alignment vertical="center" shrinkToFit="1"/>
    </xf>
    <xf numFmtId="0" fontId="20" fillId="0" borderId="4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2" xfId="0" applyFont="1" applyBorder="1" applyAlignment="1">
      <alignment vertical="center"/>
    </xf>
    <xf numFmtId="0" fontId="4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shrinkToFit="1"/>
    </xf>
    <xf numFmtId="176" fontId="51" fillId="2" borderId="15" xfId="0" applyNumberFormat="1" applyFont="1" applyFill="1" applyBorder="1" applyAlignment="1">
      <alignment horizontal="right" vertical="center"/>
    </xf>
    <xf numFmtId="176" fontId="51" fillId="2" borderId="15" xfId="0" applyNumberFormat="1" applyFont="1" applyFill="1" applyBorder="1" applyAlignment="1">
      <alignment horizontal="right" vertical="center" shrinkToFit="1"/>
    </xf>
    <xf numFmtId="172" fontId="3" fillId="2" borderId="15" xfId="0" applyNumberFormat="1" applyFont="1" applyFill="1" applyBorder="1" applyAlignment="1">
      <alignment horizontal="left" vertical="center" shrinkToFit="1"/>
    </xf>
    <xf numFmtId="172" fontId="3" fillId="2" borderId="16" xfId="0" applyNumberFormat="1" applyFont="1" applyFill="1" applyBorder="1" applyAlignment="1">
      <alignment horizontal="left" vertical="center" shrinkToFit="1"/>
    </xf>
    <xf numFmtId="0" fontId="14" fillId="2" borderId="16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9" fontId="3" fillId="2" borderId="0" xfId="3" applyFont="1" applyFill="1" applyBorder="1" applyAlignment="1">
      <alignment horizontal="left" vertical="center" shrinkToFit="1"/>
    </xf>
    <xf numFmtId="0" fontId="3" fillId="2" borderId="2" xfId="0" applyFont="1" applyFill="1" applyBorder="1" applyAlignment="1">
      <alignment vertical="center"/>
    </xf>
    <xf numFmtId="9" fontId="3" fillId="2" borderId="2" xfId="3" applyFont="1" applyFill="1" applyBorder="1" applyAlignment="1">
      <alignment horizontal="left" vertical="center" shrinkToFit="1"/>
    </xf>
    <xf numFmtId="9" fontId="62" fillId="0" borderId="0" xfId="3" applyFont="1" applyBorder="1" applyAlignment="1">
      <alignment horizontal="left" vertical="center" shrinkToFit="1"/>
    </xf>
    <xf numFmtId="0" fontId="29" fillId="2" borderId="0" xfId="0" applyFont="1" applyFill="1" applyAlignment="1">
      <alignment vertical="center"/>
    </xf>
    <xf numFmtId="164" fontId="3" fillId="2" borderId="0" xfId="2" applyNumberFormat="1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right"/>
    </xf>
    <xf numFmtId="184" fontId="0" fillId="6" borderId="0" xfId="0" applyNumberFormat="1" applyFill="1" applyAlignment="1">
      <alignment horizontal="right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184" fontId="2" fillId="6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0" fontId="37" fillId="6" borderId="0" xfId="0" applyFont="1" applyFill="1" applyAlignment="1">
      <alignment vertical="center"/>
    </xf>
    <xf numFmtId="0" fontId="18" fillId="6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vertical="center"/>
    </xf>
    <xf numFmtId="0" fontId="18" fillId="6" borderId="2" xfId="0" applyFont="1" applyFill="1" applyBorder="1" applyAlignment="1">
      <alignment horizontal="right" vertical="center"/>
    </xf>
    <xf numFmtId="184" fontId="18" fillId="6" borderId="2" xfId="0" applyNumberFormat="1" applyFont="1" applyFill="1" applyBorder="1" applyAlignment="1">
      <alignment horizontal="right" vertical="center"/>
    </xf>
    <xf numFmtId="0" fontId="79" fillId="2" borderId="0" xfId="0" applyFont="1" applyFill="1" applyAlignment="1">
      <alignment horizontal="left" vertical="center" indent="1"/>
    </xf>
    <xf numFmtId="172" fontId="21" fillId="3" borderId="3" xfId="2" applyNumberFormat="1" applyFont="1" applyFill="1" applyBorder="1" applyAlignment="1">
      <alignment horizontal="right" vertical="center"/>
    </xf>
    <xf numFmtId="185" fontId="8" fillId="2" borderId="0" xfId="2" applyNumberFormat="1" applyFont="1" applyFill="1" applyBorder="1" applyAlignment="1">
      <alignment horizontal="left" vertical="center"/>
    </xf>
    <xf numFmtId="186" fontId="8" fillId="2" borderId="0" xfId="2" applyNumberFormat="1" applyFont="1" applyFill="1" applyBorder="1" applyAlignment="1">
      <alignment horizontal="left" vertical="center"/>
    </xf>
    <xf numFmtId="0" fontId="80" fillId="2" borderId="0" xfId="0" applyFont="1" applyFill="1" applyAlignment="1">
      <alignment horizontal="left" vertical="center" indent="1"/>
    </xf>
    <xf numFmtId="0" fontId="80" fillId="2" borderId="0" xfId="0" applyFont="1" applyFill="1" applyAlignment="1">
      <alignment vertical="center"/>
    </xf>
    <xf numFmtId="187" fontId="3" fillId="3" borderId="3" xfId="2" applyNumberFormat="1" applyFont="1" applyFill="1" applyBorder="1" applyAlignment="1">
      <alignment horizontal="center" vertical="center"/>
    </xf>
    <xf numFmtId="0" fontId="79" fillId="6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left" vertical="center"/>
    </xf>
    <xf numFmtId="185" fontId="8" fillId="6" borderId="0" xfId="2" applyNumberFormat="1" applyFont="1" applyFill="1" applyBorder="1" applyAlignment="1">
      <alignment horizontal="left" vertical="center"/>
    </xf>
    <xf numFmtId="186" fontId="8" fillId="6" borderId="0" xfId="2" applyNumberFormat="1" applyFont="1" applyFill="1" applyBorder="1" applyAlignment="1">
      <alignment horizontal="left" vertical="center"/>
    </xf>
    <xf numFmtId="184" fontId="8" fillId="6" borderId="0" xfId="2" applyNumberFormat="1" applyFont="1" applyFill="1" applyBorder="1" applyAlignment="1">
      <alignment horizontal="right" vertical="center"/>
    </xf>
    <xf numFmtId="0" fontId="80" fillId="6" borderId="0" xfId="0" applyFont="1" applyFill="1" applyAlignment="1">
      <alignment horizontal="left" vertical="center" indent="1"/>
    </xf>
    <xf numFmtId="187" fontId="3" fillId="3" borderId="10" xfId="2" applyNumberFormat="1" applyFont="1" applyFill="1" applyBorder="1" applyAlignment="1">
      <alignment horizontal="center" vertical="center"/>
    </xf>
    <xf numFmtId="187" fontId="3" fillId="3" borderId="6" xfId="2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85" fontId="32" fillId="2" borderId="0" xfId="2" applyNumberFormat="1" applyFont="1" applyFill="1" applyBorder="1" applyAlignment="1">
      <alignment horizontal="right" vertical="center"/>
    </xf>
    <xf numFmtId="186" fontId="32" fillId="2" borderId="0" xfId="2" applyNumberFormat="1" applyFont="1" applyFill="1" applyBorder="1" applyAlignment="1">
      <alignment horizontal="right" vertical="center"/>
    </xf>
    <xf numFmtId="0" fontId="81" fillId="2" borderId="0" xfId="0" applyFont="1" applyFill="1" applyAlignment="1">
      <alignment horizontal="left" vertical="center"/>
    </xf>
    <xf numFmtId="0" fontId="21" fillId="3" borderId="3" xfId="2" applyNumberFormat="1" applyFont="1" applyFill="1" applyBorder="1" applyAlignment="1">
      <alignment horizontal="center" vertical="center"/>
    </xf>
    <xf numFmtId="168" fontId="8" fillId="2" borderId="0" xfId="2" applyFont="1" applyFill="1" applyBorder="1" applyAlignment="1">
      <alignment horizontal="left" vertical="center"/>
    </xf>
    <xf numFmtId="185" fontId="32" fillId="6" borderId="0" xfId="2" applyNumberFormat="1" applyFont="1" applyFill="1" applyBorder="1" applyAlignment="1">
      <alignment horizontal="right" vertical="center"/>
    </xf>
    <xf numFmtId="186" fontId="32" fillId="6" borderId="0" xfId="2" applyNumberFormat="1" applyFont="1" applyFill="1" applyBorder="1" applyAlignment="1">
      <alignment horizontal="right" vertical="center"/>
    </xf>
    <xf numFmtId="0" fontId="81" fillId="6" borderId="0" xfId="0" applyFont="1" applyFill="1" applyAlignment="1">
      <alignment horizontal="left" vertical="center"/>
    </xf>
    <xf numFmtId="168" fontId="8" fillId="6" borderId="0" xfId="2" applyFont="1" applyFill="1" applyBorder="1" applyAlignment="1">
      <alignment horizontal="left" vertical="center"/>
    </xf>
    <xf numFmtId="0" fontId="60" fillId="6" borderId="0" xfId="0" applyFont="1" applyFill="1" applyAlignment="1">
      <alignment vertical="center"/>
    </xf>
    <xf numFmtId="0" fontId="26" fillId="6" borderId="4" xfId="0" applyFont="1" applyFill="1" applyBorder="1" applyAlignment="1">
      <alignment horizontal="left" vertical="center"/>
    </xf>
    <xf numFmtId="0" fontId="26" fillId="6" borderId="4" xfId="0" applyFont="1" applyFill="1" applyBorder="1" applyAlignment="1">
      <alignment horizontal="center" vertical="center"/>
    </xf>
    <xf numFmtId="165" fontId="26" fillId="6" borderId="4" xfId="0" applyNumberFormat="1" applyFont="1" applyFill="1" applyBorder="1" applyAlignment="1">
      <alignment horizontal="right" vertical="center"/>
    </xf>
    <xf numFmtId="0" fontId="18" fillId="6" borderId="4" xfId="0" applyFont="1" applyFill="1" applyBorder="1" applyAlignment="1">
      <alignment horizontal="left" vertical="center"/>
    </xf>
    <xf numFmtId="0" fontId="18" fillId="6" borderId="4" xfId="0" applyFont="1" applyFill="1" applyBorder="1" applyAlignment="1">
      <alignment vertical="center"/>
    </xf>
    <xf numFmtId="0" fontId="18" fillId="6" borderId="4" xfId="0" applyFont="1" applyFill="1" applyBorder="1" applyAlignment="1">
      <alignment horizontal="right" vertical="center"/>
    </xf>
    <xf numFmtId="184" fontId="18" fillId="6" borderId="4" xfId="0" applyNumberFormat="1" applyFont="1" applyFill="1" applyBorder="1" applyAlignment="1">
      <alignment horizontal="right" vertical="center"/>
    </xf>
    <xf numFmtId="169" fontId="83" fillId="6" borderId="0" xfId="2" applyNumberFormat="1" applyFill="1" applyBorder="1"/>
    <xf numFmtId="188" fontId="8" fillId="2" borderId="0" xfId="2" applyNumberFormat="1" applyFont="1" applyFill="1" applyBorder="1" applyAlignment="1">
      <alignment horizontal="left" vertical="center"/>
    </xf>
    <xf numFmtId="184" fontId="8" fillId="2" borderId="0" xfId="2" applyNumberFormat="1" applyFont="1" applyFill="1" applyBorder="1" applyAlignment="1">
      <alignment horizontal="right" vertical="center"/>
    </xf>
    <xf numFmtId="0" fontId="82" fillId="6" borderId="0" xfId="0" applyFont="1" applyFill="1"/>
    <xf numFmtId="170" fontId="21" fillId="3" borderId="3" xfId="2" applyNumberFormat="1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right" vertical="center"/>
    </xf>
    <xf numFmtId="184" fontId="2" fillId="6" borderId="4" xfId="0" applyNumberFormat="1" applyFont="1" applyFill="1" applyBorder="1" applyAlignment="1">
      <alignment horizontal="right" vertical="center"/>
    </xf>
    <xf numFmtId="0" fontId="0" fillId="6" borderId="4" xfId="0" applyFill="1" applyBorder="1"/>
    <xf numFmtId="0" fontId="0" fillId="6" borderId="4" xfId="0" applyFill="1" applyBorder="1" applyAlignment="1">
      <alignment horizontal="right"/>
    </xf>
    <xf numFmtId="184" fontId="0" fillId="6" borderId="4" xfId="0" applyNumberFormat="1" applyFill="1" applyBorder="1" applyAlignment="1">
      <alignment horizontal="right"/>
    </xf>
    <xf numFmtId="172" fontId="21" fillId="3" borderId="20" xfId="2" applyNumberFormat="1" applyFont="1" applyFill="1" applyBorder="1" applyAlignment="1">
      <alignment horizontal="right" vertical="center"/>
    </xf>
    <xf numFmtId="0" fontId="82" fillId="6" borderId="4" xfId="0" applyFont="1" applyFill="1" applyBorder="1"/>
    <xf numFmtId="184" fontId="82" fillId="6" borderId="4" xfId="0" applyNumberFormat="1" applyFont="1" applyFill="1" applyBorder="1" applyAlignment="1">
      <alignment horizontal="right"/>
    </xf>
    <xf numFmtId="165" fontId="21" fillId="3" borderId="3" xfId="2" applyNumberFormat="1" applyFont="1" applyFill="1" applyBorder="1" applyAlignment="1">
      <alignment horizontal="right" vertical="center"/>
    </xf>
    <xf numFmtId="0" fontId="79" fillId="0" borderId="0" xfId="0" applyFont="1" applyAlignment="1">
      <alignment horizontal="left" vertical="center" indent="1"/>
    </xf>
    <xf numFmtId="185" fontId="8" fillId="2" borderId="0" xfId="2" applyNumberFormat="1" applyFont="1" applyFill="1" applyBorder="1" applyAlignment="1">
      <alignment horizontal="right" vertical="center"/>
    </xf>
    <xf numFmtId="186" fontId="8" fillId="2" borderId="0" xfId="2" applyNumberFormat="1" applyFont="1" applyFill="1" applyBorder="1" applyAlignment="1">
      <alignment horizontal="right" vertical="center"/>
    </xf>
    <xf numFmtId="185" fontId="8" fillId="6" borderId="0" xfId="2" applyNumberFormat="1" applyFont="1" applyFill="1" applyBorder="1" applyAlignment="1">
      <alignment horizontal="right" vertical="center"/>
    </xf>
    <xf numFmtId="186" fontId="8" fillId="6" borderId="0" xfId="2" applyNumberFormat="1" applyFont="1" applyFill="1" applyBorder="1" applyAlignment="1">
      <alignment horizontal="right" vertical="center"/>
    </xf>
    <xf numFmtId="186" fontId="8" fillId="2" borderId="0" xfId="2" applyNumberFormat="1" applyFont="1" applyFill="1" applyBorder="1" applyAlignment="1">
      <alignment horizontal="right" vertical="center" wrapText="1"/>
    </xf>
    <xf numFmtId="172" fontId="8" fillId="2" borderId="0" xfId="2" applyNumberFormat="1" applyFont="1" applyFill="1" applyBorder="1" applyAlignment="1">
      <alignment horizontal="right" vertical="center"/>
    </xf>
    <xf numFmtId="169" fontId="8" fillId="2" borderId="0" xfId="2" applyNumberFormat="1" applyFont="1" applyFill="1" applyBorder="1" applyAlignment="1">
      <alignment horizontal="right" vertical="center"/>
    </xf>
    <xf numFmtId="169" fontId="8" fillId="6" borderId="0" xfId="2" applyNumberFormat="1" applyFont="1" applyFill="1" applyBorder="1" applyAlignment="1">
      <alignment horizontal="left" vertical="center"/>
    </xf>
    <xf numFmtId="169" fontId="8" fillId="2" borderId="0" xfId="2" applyNumberFormat="1" applyFont="1" applyFill="1" applyBorder="1" applyAlignment="1">
      <alignment horizontal="left" vertical="center"/>
    </xf>
    <xf numFmtId="189" fontId="3" fillId="0" borderId="0" xfId="0" applyNumberFormat="1" applyFont="1"/>
    <xf numFmtId="189" fontId="14" fillId="0" borderId="0" xfId="0" applyNumberFormat="1" applyFont="1" applyAlignment="1">
      <alignment vertical="center"/>
    </xf>
    <xf numFmtId="190" fontId="3" fillId="2" borderId="0" xfId="2" applyNumberFormat="1" applyFont="1" applyFill="1" applyBorder="1" applyAlignment="1">
      <alignment horizontal="right" vertical="center"/>
    </xf>
    <xf numFmtId="190" fontId="3" fillId="0" borderId="0" xfId="2" applyNumberFormat="1" applyFont="1" applyBorder="1" applyAlignment="1">
      <alignment horizontal="right" vertical="center"/>
    </xf>
    <xf numFmtId="191" fontId="22" fillId="2" borderId="0" xfId="2" applyNumberFormat="1" applyFont="1" applyFill="1" applyBorder="1" applyAlignment="1">
      <alignment horizontal="right" vertical="center" indent="1"/>
    </xf>
    <xf numFmtId="191" fontId="22" fillId="0" borderId="0" xfId="2" applyNumberFormat="1" applyFont="1" applyBorder="1" applyAlignment="1">
      <alignment horizontal="right" vertical="center" indent="1"/>
    </xf>
    <xf numFmtId="191" fontId="24" fillId="0" borderId="4" xfId="0" applyNumberFormat="1" applyFont="1" applyBorder="1" applyAlignment="1">
      <alignment horizontal="right" vertical="center" indent="1"/>
    </xf>
    <xf numFmtId="0" fontId="24" fillId="0" borderId="0" xfId="0" applyFont="1" applyAlignment="1">
      <alignment horizontal="left" vertical="center" indent="1"/>
    </xf>
    <xf numFmtId="191" fontId="3" fillId="2" borderId="0" xfId="1" applyNumberFormat="1" applyFont="1" applyFill="1" applyBorder="1" applyAlignment="1">
      <alignment horizontal="right" vertical="center"/>
    </xf>
    <xf numFmtId="191" fontId="3" fillId="0" borderId="0" xfId="1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0" fontId="27" fillId="0" borderId="0" xfId="2" applyNumberFormat="1" applyFont="1" applyBorder="1" applyAlignment="1">
      <alignment horizontal="center" vertical="center"/>
    </xf>
    <xf numFmtId="170" fontId="29" fillId="0" borderId="0" xfId="2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190" fontId="3" fillId="2" borderId="0" xfId="2" applyNumberFormat="1" applyFont="1" applyFill="1" applyBorder="1" applyAlignment="1">
      <alignment horizontal="center" vertical="center"/>
    </xf>
    <xf numFmtId="190" fontId="3" fillId="0" borderId="0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3" fontId="32" fillId="2" borderId="4" xfId="0" applyNumberFormat="1" applyFont="1" applyFill="1" applyBorder="1" applyAlignment="1">
      <alignment horizontal="center" vertical="center"/>
    </xf>
    <xf numFmtId="3" fontId="3" fillId="0" borderId="0" xfId="2" applyNumberFormat="1" applyFont="1" applyBorder="1" applyAlignment="1">
      <alignment horizontal="center" vertical="center"/>
    </xf>
    <xf numFmtId="3" fontId="32" fillId="2" borderId="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172" fontId="3" fillId="2" borderId="15" xfId="0" applyNumberFormat="1" applyFont="1" applyFill="1" applyBorder="1" applyAlignment="1">
      <alignment horizontal="center" vertical="center"/>
    </xf>
    <xf numFmtId="172" fontId="3" fillId="2" borderId="16" xfId="0" applyNumberFormat="1" applyFont="1" applyFill="1" applyBorder="1" applyAlignment="1">
      <alignment horizontal="center" vertical="center"/>
    </xf>
    <xf numFmtId="169" fontId="26" fillId="2" borderId="4" xfId="0" applyNumberFormat="1" applyFont="1" applyFill="1" applyBorder="1" applyAlignment="1">
      <alignment horizontal="center"/>
    </xf>
    <xf numFmtId="170" fontId="27" fillId="2" borderId="0" xfId="2" applyNumberFormat="1" applyFont="1" applyFill="1" applyBorder="1" applyAlignment="1">
      <alignment horizontal="center" vertical="center"/>
    </xf>
    <xf numFmtId="165" fontId="24" fillId="0" borderId="0" xfId="0" applyNumberFormat="1" applyFont="1" applyAlignment="1">
      <alignment horizontal="right" vertical="center" indent="1"/>
    </xf>
    <xf numFmtId="0" fontId="24" fillId="0" borderId="0" xfId="0" applyFont="1" applyAlignment="1">
      <alignment horizontal="right" vertical="center"/>
    </xf>
    <xf numFmtId="192" fontId="3" fillId="0" borderId="0" xfId="2" applyNumberFormat="1" applyFont="1" applyBorder="1" applyAlignment="1">
      <alignment horizontal="right" vertical="center"/>
    </xf>
    <xf numFmtId="164" fontId="2" fillId="2" borderId="0" xfId="2" applyNumberFormat="1" applyFont="1" applyFill="1" applyBorder="1" applyAlignment="1">
      <alignment horizontal="right" vertical="center" indent="1"/>
    </xf>
    <xf numFmtId="190" fontId="3" fillId="2" borderId="0" xfId="0" applyNumberFormat="1" applyFont="1" applyFill="1" applyAlignment="1">
      <alignment horizontal="right" vertical="center" indent="1"/>
    </xf>
    <xf numFmtId="190" fontId="3" fillId="0" borderId="0" xfId="0" applyNumberFormat="1" applyFont="1" applyAlignment="1">
      <alignment horizontal="right" vertical="center" indent="1"/>
    </xf>
    <xf numFmtId="0" fontId="2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8" fillId="0" borderId="0" xfId="0" applyFont="1" applyAlignment="1">
      <alignment horizontal="left" vertical="top" indent="1"/>
    </xf>
    <xf numFmtId="0" fontId="67" fillId="0" borderId="0" xfId="4" applyFont="1" applyBorder="1" applyAlignment="1">
      <alignment horizontal="left" vertical="top" indent="1"/>
    </xf>
    <xf numFmtId="0" fontId="8" fillId="0" borderId="0" xfId="0" applyFont="1" applyAlignment="1">
      <alignment horizontal="left" indent="1"/>
    </xf>
    <xf numFmtId="0" fontId="56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indent="1"/>
    </xf>
    <xf numFmtId="0" fontId="2" fillId="0" borderId="0" xfId="0" applyFont="1" applyAlignment="1">
      <alignment horizontal="left" vertical="top" indent="1"/>
    </xf>
    <xf numFmtId="0" fontId="8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center" shrinkToFit="1"/>
    </xf>
    <xf numFmtId="0" fontId="3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shrinkToFit="1"/>
    </xf>
    <xf numFmtId="0" fontId="8" fillId="0" borderId="0" xfId="0" applyFont="1" applyAlignment="1">
      <alignment horizontal="left" vertical="top" indent="1" shrinkToFit="1"/>
    </xf>
    <xf numFmtId="0" fontId="18" fillId="0" borderId="2" xfId="0" applyFont="1" applyBorder="1" applyAlignment="1">
      <alignment horizontal="right" vertical="center" shrinkToFit="1"/>
    </xf>
    <xf numFmtId="180" fontId="3" fillId="2" borderId="0" xfId="2" applyNumberFormat="1" applyFont="1" applyFill="1" applyBorder="1" applyAlignment="1">
      <alignment horizontal="right" vertical="center" shrinkToFit="1"/>
    </xf>
    <xf numFmtId="180" fontId="3" fillId="0" borderId="0" xfId="2" applyNumberFormat="1" applyFont="1" applyBorder="1" applyAlignment="1">
      <alignment horizontal="right" vertical="center" shrinkToFit="1"/>
    </xf>
    <xf numFmtId="0" fontId="8" fillId="0" borderId="0" xfId="0" applyFont="1" applyAlignment="1">
      <alignment horizontal="left" shrinkToFit="1"/>
    </xf>
    <xf numFmtId="169" fontId="47" fillId="4" borderId="4" xfId="2" applyNumberFormat="1" applyFont="1" applyFill="1" applyBorder="1" applyAlignment="1">
      <alignment horizontal="right" vertical="center" shrinkToFit="1"/>
    </xf>
    <xf numFmtId="170" fontId="47" fillId="4" borderId="4" xfId="2" applyNumberFormat="1" applyFont="1" applyFill="1" applyBorder="1" applyAlignment="1">
      <alignment horizontal="right" vertical="center" shrinkToFit="1"/>
    </xf>
    <xf numFmtId="169" fontId="47" fillId="5" borderId="0" xfId="2" applyNumberFormat="1" applyFont="1" applyFill="1" applyBorder="1" applyAlignment="1">
      <alignment horizontal="right" vertical="center" shrinkToFit="1"/>
    </xf>
    <xf numFmtId="170" fontId="47" fillId="5" borderId="0" xfId="2" applyNumberFormat="1" applyFont="1" applyFill="1" applyBorder="1" applyAlignment="1">
      <alignment horizontal="right" vertical="center" shrinkToFit="1"/>
    </xf>
    <xf numFmtId="169" fontId="47" fillId="4" borderId="0" xfId="2" applyNumberFormat="1" applyFont="1" applyFill="1" applyBorder="1" applyAlignment="1">
      <alignment horizontal="right" vertical="center" shrinkToFit="1"/>
    </xf>
    <xf numFmtId="170" fontId="47" fillId="4" borderId="0" xfId="2" applyNumberFormat="1" applyFont="1" applyFill="1" applyBorder="1" applyAlignment="1">
      <alignment horizontal="right" vertical="center" shrinkToFit="1"/>
    </xf>
    <xf numFmtId="169" fontId="47" fillId="4" borderId="2" xfId="0" applyNumberFormat="1" applyFont="1" applyFill="1" applyBorder="1" applyAlignment="1">
      <alignment horizontal="right" vertical="center" shrinkToFit="1"/>
    </xf>
    <xf numFmtId="0" fontId="47" fillId="4" borderId="2" xfId="0" applyFont="1" applyFill="1" applyBorder="1" applyAlignment="1">
      <alignment horizontal="right" vertical="center" shrinkToFit="1"/>
    </xf>
    <xf numFmtId="169" fontId="18" fillId="0" borderId="2" xfId="0" applyNumberFormat="1" applyFont="1" applyBorder="1" applyAlignment="1">
      <alignment horizontal="right" vertical="center" shrinkToFit="1"/>
    </xf>
    <xf numFmtId="0" fontId="8" fillId="0" borderId="0" xfId="0" applyFont="1" applyAlignment="1">
      <alignment horizontal="left" indent="2" shrinkToFit="1"/>
    </xf>
    <xf numFmtId="0" fontId="8" fillId="0" borderId="0" xfId="0" applyFont="1" applyAlignment="1">
      <alignment horizontal="left" vertical="top" indent="2" shrinkToFit="1"/>
    </xf>
    <xf numFmtId="0" fontId="18" fillId="0" borderId="2" xfId="0" applyFont="1" applyBorder="1" applyAlignment="1">
      <alignment horizontal="center" vertical="center" shrinkToFit="1"/>
    </xf>
    <xf numFmtId="0" fontId="14" fillId="2" borderId="0" xfId="0" applyFont="1" applyFill="1" applyAlignment="1">
      <alignment horizontal="left" vertical="center" indent="1" shrinkToFit="1"/>
    </xf>
    <xf numFmtId="180" fontId="3" fillId="2" borderId="5" xfId="0" applyNumberFormat="1" applyFont="1" applyFill="1" applyBorder="1" applyAlignment="1">
      <alignment horizontal="right" vertical="center" shrinkToFit="1"/>
    </xf>
    <xf numFmtId="176" fontId="51" fillId="2" borderId="17" xfId="0" applyNumberFormat="1" applyFont="1" applyFill="1" applyBorder="1" applyAlignment="1">
      <alignment horizontal="center" vertical="center" shrinkToFit="1"/>
    </xf>
    <xf numFmtId="0" fontId="14" fillId="0" borderId="0" xfId="0" applyFont="1" applyAlignment="1">
      <alignment horizontal="left" vertical="center" indent="1" shrinkToFit="1"/>
    </xf>
    <xf numFmtId="180" fontId="3" fillId="0" borderId="5" xfId="0" applyNumberFormat="1" applyFont="1" applyBorder="1" applyAlignment="1">
      <alignment horizontal="right" vertical="center" shrinkToFit="1"/>
    </xf>
    <xf numFmtId="9" fontId="21" fillId="3" borderId="10" xfId="3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left" vertical="center" indent="1" shrinkToFit="1"/>
    </xf>
    <xf numFmtId="180" fontId="3" fillId="2" borderId="13" xfId="0" applyNumberFormat="1" applyFont="1" applyFill="1" applyBorder="1" applyAlignment="1">
      <alignment horizontal="right" vertical="center" shrinkToFit="1"/>
    </xf>
    <xf numFmtId="9" fontId="21" fillId="3" borderId="8" xfId="3" applyFont="1" applyFill="1" applyBorder="1" applyAlignment="1">
      <alignment horizontal="center" vertical="center" shrinkToFit="1"/>
    </xf>
    <xf numFmtId="0" fontId="72" fillId="0" borderId="0" xfId="0" applyFont="1" applyAlignment="1">
      <alignment vertical="center"/>
    </xf>
    <xf numFmtId="0" fontId="8" fillId="0" borderId="0" xfId="0" applyFont="1" applyAlignment="1">
      <alignment horizontal="left" vertical="top" shrinkToFit="1"/>
    </xf>
    <xf numFmtId="0" fontId="18" fillId="0" borderId="2" xfId="0" applyFont="1" applyBorder="1" applyAlignment="1">
      <alignment horizontal="right" vertical="center" indent="1" shrinkToFit="1"/>
    </xf>
    <xf numFmtId="169" fontId="3" fillId="2" borderId="4" xfId="0" applyNumberFormat="1" applyFont="1" applyFill="1" applyBorder="1" applyAlignment="1">
      <alignment horizontal="right" vertical="center" indent="1" shrinkToFit="1"/>
    </xf>
    <xf numFmtId="180" fontId="3" fillId="0" borderId="0" xfId="0" applyNumberFormat="1" applyFont="1" applyAlignment="1">
      <alignment horizontal="right" vertical="center" indent="1" shrinkToFit="1"/>
    </xf>
    <xf numFmtId="180" fontId="3" fillId="2" borderId="0" xfId="0" applyNumberFormat="1" applyFont="1" applyFill="1" applyAlignment="1">
      <alignment horizontal="right" vertical="center" indent="1" shrinkToFit="1"/>
    </xf>
    <xf numFmtId="169" fontId="3" fillId="2" borderId="0" xfId="0" applyNumberFormat="1" applyFont="1" applyFill="1" applyAlignment="1">
      <alignment horizontal="right" vertical="center" indent="1" shrinkToFit="1"/>
    </xf>
    <xf numFmtId="0" fontId="2" fillId="0" borderId="4" xfId="0" applyFont="1" applyBorder="1" applyAlignment="1">
      <alignment horizontal="left" vertical="center" shrinkToFit="1"/>
    </xf>
    <xf numFmtId="0" fontId="34" fillId="0" borderId="0" xfId="0" applyFont="1" applyAlignment="1">
      <alignment horizontal="left" vertical="center" shrinkToFit="1"/>
    </xf>
    <xf numFmtId="169" fontId="3" fillId="0" borderId="0" xfId="0" applyNumberFormat="1" applyFont="1" applyAlignment="1">
      <alignment horizontal="right" vertical="center" indent="1" shrinkToFit="1"/>
    </xf>
    <xf numFmtId="169" fontId="3" fillId="0" borderId="0" xfId="0" applyNumberFormat="1" applyFont="1" applyAlignment="1">
      <alignment horizontal="right" vertical="center"/>
    </xf>
    <xf numFmtId="169" fontId="3" fillId="2" borderId="0" xfId="0" applyNumberFormat="1" applyFont="1" applyFill="1" applyAlignment="1">
      <alignment horizontal="right" vertical="center"/>
    </xf>
    <xf numFmtId="169" fontId="3" fillId="0" borderId="2" xfId="0" applyNumberFormat="1" applyFont="1" applyBorder="1" applyAlignment="1">
      <alignment horizontal="right" vertical="center" indent="1" shrinkToFit="1"/>
    </xf>
    <xf numFmtId="176" fontId="3" fillId="0" borderId="4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169" fontId="3" fillId="2" borderId="4" xfId="3" applyNumberFormat="1" applyFont="1" applyFill="1" applyBorder="1" applyAlignment="1">
      <alignment horizontal="right" vertical="center" indent="1" shrinkToFit="1"/>
    </xf>
    <xf numFmtId="169" fontId="3" fillId="0" borderId="0" xfId="3" applyNumberFormat="1" applyFont="1" applyBorder="1" applyAlignment="1">
      <alignment horizontal="right" vertical="center" indent="1" shrinkToFit="1"/>
    </xf>
    <xf numFmtId="169" fontId="3" fillId="2" borderId="0" xfId="3" applyNumberFormat="1" applyFont="1" applyFill="1" applyBorder="1" applyAlignment="1">
      <alignment horizontal="right" vertical="center" indent="1" shrinkToFit="1"/>
    </xf>
    <xf numFmtId="169" fontId="3" fillId="0" borderId="2" xfId="3" applyNumberFormat="1" applyFont="1" applyBorder="1" applyAlignment="1">
      <alignment horizontal="right" vertical="center" indent="1" shrinkToFit="1"/>
    </xf>
    <xf numFmtId="0" fontId="2" fillId="0" borderId="0" xfId="0" applyFont="1" applyAlignment="1">
      <alignment vertical="center" shrinkToFit="1"/>
    </xf>
    <xf numFmtId="165" fontId="41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vertical="center" shrinkToFit="1"/>
    </xf>
    <xf numFmtId="0" fontId="12" fillId="0" borderId="0" xfId="0" applyFont="1" applyAlignment="1">
      <alignment shrinkToFit="1"/>
    </xf>
    <xf numFmtId="0" fontId="34" fillId="0" borderId="0" xfId="0" applyFont="1" applyAlignment="1">
      <alignment vertical="center" shrinkToFit="1"/>
    </xf>
    <xf numFmtId="172" fontId="3" fillId="2" borderId="4" xfId="0" applyNumberFormat="1" applyFont="1" applyFill="1" applyBorder="1" applyAlignment="1">
      <alignment horizontal="right" vertical="center" indent="1" shrinkToFit="1"/>
    </xf>
    <xf numFmtId="172" fontId="3" fillId="0" borderId="0" xfId="0" applyNumberFormat="1" applyFont="1" applyAlignment="1">
      <alignment horizontal="right" vertical="center" indent="1"/>
    </xf>
    <xf numFmtId="172" fontId="3" fillId="2" borderId="2" xfId="0" applyNumberFormat="1" applyFont="1" applyFill="1" applyBorder="1" applyAlignment="1">
      <alignment horizontal="right" vertical="center" indent="1" shrinkToFit="1"/>
    </xf>
    <xf numFmtId="176" fontId="3" fillId="0" borderId="0" xfId="0" applyNumberFormat="1" applyFont="1" applyAlignment="1">
      <alignment horizontal="left" vertical="center" shrinkToFit="1"/>
    </xf>
    <xf numFmtId="172" fontId="3" fillId="0" borderId="2" xfId="0" applyNumberFormat="1" applyFont="1" applyBorder="1" applyAlignment="1">
      <alignment horizontal="right" vertical="center" indent="1" shrinkToFit="1"/>
    </xf>
    <xf numFmtId="0" fontId="56" fillId="2" borderId="0" xfId="0" applyFont="1" applyFill="1" applyAlignment="1">
      <alignment horizontal="left" shrinkToFit="1"/>
    </xf>
    <xf numFmtId="0" fontId="8" fillId="2" borderId="0" xfId="0" applyFont="1" applyFill="1" applyAlignment="1">
      <alignment horizontal="left" vertical="top" indent="2" shrinkToFit="1"/>
    </xf>
    <xf numFmtId="0" fontId="3" fillId="2" borderId="15" xfId="0" applyFont="1" applyFill="1" applyBorder="1" applyAlignment="1">
      <alignment horizontal="left" vertical="center" indent="2"/>
    </xf>
    <xf numFmtId="172" fontId="3" fillId="0" borderId="0" xfId="0" applyNumberFormat="1" applyFont="1" applyAlignment="1">
      <alignment horizontal="right" vertical="center" indent="1" shrinkToFit="1"/>
    </xf>
    <xf numFmtId="172" fontId="3" fillId="2" borderId="0" xfId="0" applyNumberFormat="1" applyFont="1" applyFill="1" applyAlignment="1">
      <alignment horizontal="right" vertical="center" indent="1" shrinkToFit="1"/>
    </xf>
    <xf numFmtId="168" fontId="3" fillId="2" borderId="0" xfId="2" applyFont="1" applyFill="1" applyBorder="1" applyAlignment="1">
      <alignment horizontal="right" vertical="center" shrinkToFit="1"/>
    </xf>
    <xf numFmtId="168" fontId="3" fillId="0" borderId="0" xfId="2" applyFont="1" applyBorder="1" applyAlignment="1">
      <alignment horizontal="right" vertical="center" shrinkToFit="1"/>
    </xf>
    <xf numFmtId="0" fontId="8" fillId="0" borderId="0" xfId="0" applyFont="1" applyAlignment="1">
      <alignment horizontal="left" indent="1" shrinkToFit="1"/>
    </xf>
    <xf numFmtId="170" fontId="8" fillId="2" borderId="4" xfId="2" applyNumberFormat="1" applyFont="1" applyFill="1" applyBorder="1" applyAlignment="1">
      <alignment horizontal="right" vertical="center" shrinkToFit="1"/>
    </xf>
    <xf numFmtId="170" fontId="8" fillId="0" borderId="0" xfId="2" applyNumberFormat="1" applyFont="1" applyBorder="1" applyAlignment="1">
      <alignment horizontal="right" vertical="center" shrinkToFit="1"/>
    </xf>
    <xf numFmtId="170" fontId="8" fillId="2" borderId="0" xfId="2" applyNumberFormat="1" applyFont="1" applyFill="1" applyBorder="1" applyAlignment="1">
      <alignment horizontal="right" vertical="center" shrinkToFit="1"/>
    </xf>
    <xf numFmtId="0" fontId="8" fillId="2" borderId="2" xfId="0" applyFont="1" applyFill="1" applyBorder="1" applyAlignment="1">
      <alignment horizontal="right" vertical="center" shrinkToFit="1"/>
    </xf>
    <xf numFmtId="172" fontId="3" fillId="2" borderId="5" xfId="0" applyNumberFormat="1" applyFont="1" applyFill="1" applyBorder="1" applyAlignment="1">
      <alignment horizontal="right" vertical="center" shrinkToFit="1"/>
    </xf>
    <xf numFmtId="172" fontId="3" fillId="0" borderId="5" xfId="0" applyNumberFormat="1" applyFont="1" applyBorder="1" applyAlignment="1">
      <alignment horizontal="right" vertical="center" shrinkToFit="1"/>
    </xf>
    <xf numFmtId="172" fontId="3" fillId="2" borderId="13" xfId="0" applyNumberFormat="1" applyFont="1" applyFill="1" applyBorder="1" applyAlignment="1">
      <alignment horizontal="right" vertical="center" shrinkToFit="1"/>
    </xf>
    <xf numFmtId="0" fontId="3" fillId="2" borderId="15" xfId="0" applyFont="1" applyFill="1" applyBorder="1" applyAlignment="1">
      <alignment horizontal="left" vertical="center" indent="2" shrinkToFit="1"/>
    </xf>
    <xf numFmtId="0" fontId="8" fillId="2" borderId="0" xfId="0" applyFont="1" applyFill="1" applyAlignment="1">
      <alignment horizontal="left" vertical="top" shrinkToFit="1"/>
    </xf>
    <xf numFmtId="3" fontId="32" fillId="2" borderId="4" xfId="0" applyNumberFormat="1" applyFont="1" applyFill="1" applyBorder="1" applyAlignment="1">
      <alignment horizontal="center" vertical="center" shrinkToFit="1"/>
    </xf>
    <xf numFmtId="3" fontId="3" fillId="0" borderId="0" xfId="2" applyNumberFormat="1" applyFont="1" applyBorder="1" applyAlignment="1">
      <alignment horizontal="center" vertical="center" shrinkToFit="1"/>
    </xf>
    <xf numFmtId="168" fontId="8" fillId="2" borderId="4" xfId="2" applyFont="1" applyFill="1" applyBorder="1" applyAlignment="1">
      <alignment horizontal="right" vertical="center" shrinkToFit="1"/>
    </xf>
    <xf numFmtId="168" fontId="8" fillId="0" borderId="0" xfId="2" applyFont="1" applyBorder="1" applyAlignment="1">
      <alignment horizontal="right" vertical="center" shrinkToFit="1"/>
    </xf>
    <xf numFmtId="168" fontId="8" fillId="2" borderId="0" xfId="2" applyFont="1" applyFill="1" applyBorder="1" applyAlignment="1">
      <alignment horizontal="right" vertical="center" shrinkToFit="1"/>
    </xf>
    <xf numFmtId="168" fontId="8" fillId="2" borderId="2" xfId="2" applyFont="1" applyFill="1" applyBorder="1" applyAlignment="1">
      <alignment horizontal="right" vertical="center" shrinkToFit="1"/>
    </xf>
    <xf numFmtId="168" fontId="3" fillId="2" borderId="18" xfId="2" applyFont="1" applyFill="1" applyBorder="1" applyAlignment="1">
      <alignment horizontal="right" vertical="center" shrinkToFit="1"/>
    </xf>
    <xf numFmtId="165" fontId="3" fillId="2" borderId="7" xfId="0" applyNumberFormat="1" applyFont="1" applyFill="1" applyBorder="1" applyAlignment="1">
      <alignment horizontal="right" vertical="center"/>
    </xf>
    <xf numFmtId="165" fontId="26" fillId="0" borderId="4" xfId="0" applyNumberFormat="1" applyFont="1" applyBorder="1" applyAlignment="1">
      <alignment horizontal="right" vertical="center" shrinkToFit="1"/>
    </xf>
    <xf numFmtId="172" fontId="26" fillId="2" borderId="4" xfId="0" applyNumberFormat="1" applyFont="1" applyFill="1" applyBorder="1" applyAlignment="1">
      <alignment horizontal="right" vertical="center" shrinkToFit="1"/>
    </xf>
    <xf numFmtId="0" fontId="14" fillId="2" borderId="15" xfId="0" applyFont="1" applyFill="1" applyBorder="1" applyAlignment="1">
      <alignment horizontal="left" vertical="center" shrinkToFit="1"/>
    </xf>
    <xf numFmtId="0" fontId="14" fillId="2" borderId="16" xfId="0" applyFont="1" applyFill="1" applyBorder="1" applyAlignment="1">
      <alignment horizontal="left" vertical="center" shrinkToFit="1"/>
    </xf>
    <xf numFmtId="0" fontId="14" fillId="2" borderId="19" xfId="0" applyFont="1" applyFill="1" applyBorder="1" applyAlignment="1">
      <alignment horizontal="left" vertical="center" shrinkToFit="1"/>
    </xf>
    <xf numFmtId="194" fontId="22" fillId="2" borderId="0" xfId="2" applyNumberFormat="1" applyFont="1" applyFill="1" applyBorder="1" applyAlignment="1">
      <alignment horizontal="right" vertical="center" indent="1"/>
    </xf>
    <xf numFmtId="194" fontId="22" fillId="0" borderId="0" xfId="2" applyNumberFormat="1" applyFont="1" applyBorder="1" applyAlignment="1">
      <alignment horizontal="right" vertical="center" indent="1"/>
    </xf>
    <xf numFmtId="194" fontId="24" fillId="0" borderId="4" xfId="0" applyNumberFormat="1" applyFont="1" applyBorder="1" applyAlignment="1">
      <alignment horizontal="right" vertical="center" indent="1"/>
    </xf>
    <xf numFmtId="194" fontId="3" fillId="2" borderId="0" xfId="2" applyNumberFormat="1" applyFont="1" applyFill="1" applyBorder="1" applyAlignment="1">
      <alignment horizontal="right" vertical="center"/>
    </xf>
    <xf numFmtId="194" fontId="3" fillId="0" borderId="0" xfId="2" applyNumberFormat="1" applyFont="1" applyBorder="1" applyAlignment="1">
      <alignment horizontal="right" vertical="center"/>
    </xf>
  </cellXfs>
  <cellStyles count="5">
    <cellStyle name="Hyperlänk" xfId="4" builtinId="8"/>
    <cellStyle name="Normal" xfId="0" builtinId="0"/>
    <cellStyle name="Procent" xfId="3" builtinId="5"/>
    <cellStyle name="Tusental" xfId="1" builtinId="3"/>
    <cellStyle name="Valuta" xfId="2" builtinId="4"/>
  </cellStyles>
  <dxfs count="68"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FD7E0D"/>
      </font>
    </dxf>
    <dxf>
      <font>
        <b/>
        <i val="0"/>
        <strike val="0"/>
        <color rgb="FFFD7E0D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FD7E0D"/>
      </font>
    </dxf>
    <dxf>
      <font>
        <b/>
        <i val="0"/>
        <strike val="0"/>
        <color rgb="FF414141"/>
      </font>
    </dxf>
    <dxf>
      <font>
        <b/>
        <i val="0"/>
        <strike val="0"/>
        <color rgb="FFFD7E0D"/>
      </font>
    </dxf>
    <dxf>
      <font>
        <b/>
        <i val="0"/>
        <strike val="0"/>
        <color rgb="FFFD7E0D"/>
      </font>
    </dxf>
    <dxf>
      <font>
        <b/>
        <i val="0"/>
        <color rgb="FF41414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14141"/>
      </font>
    </dxf>
    <dxf>
      <font>
        <b/>
        <i val="0"/>
        <color rgb="FF41414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FD7E0D"/>
      </font>
    </dxf>
    <dxf>
      <font>
        <b/>
        <i val="0"/>
        <strike val="0"/>
        <color rgb="FF414141"/>
      </font>
    </dxf>
    <dxf>
      <font>
        <b/>
        <i val="0"/>
        <strike val="0"/>
        <color rgb="FFFD7E0D"/>
      </font>
    </dxf>
    <dxf>
      <font>
        <b/>
        <i val="0"/>
        <strike val="0"/>
        <color rgb="FFFD7E0D"/>
      </font>
    </dxf>
    <dxf>
      <font>
        <b/>
        <i val="0"/>
        <color rgb="FF41414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14141"/>
      </font>
    </dxf>
    <dxf>
      <font>
        <b/>
        <i val="0"/>
        <color rgb="FF41414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  <dxf>
      <font>
        <b/>
        <i val="0"/>
        <strike val="0"/>
        <color rgb="FF41414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C739D"/>
      <rgbColor rgb="FFB3B3B3"/>
      <rgbColor rgb="FF808080"/>
      <rgbColor rgb="FF9999FF"/>
      <rgbColor rgb="FF993366"/>
      <rgbColor rgb="FFF7F7F7"/>
      <rgbColor rgb="FFEBF1F5"/>
      <rgbColor rgb="FF660066"/>
      <rgbColor rgb="FFFF8080"/>
      <rgbColor rgb="FF0066CC"/>
      <rgbColor rgb="FFB1D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EFE"/>
      <rgbColor rgb="FFFFE5CF"/>
      <rgbColor rgb="FFFFE6CE"/>
      <rgbColor rgb="FF91CEEB"/>
      <rgbColor rgb="FFFEB26E"/>
      <rgbColor rgb="FFCC99FF"/>
      <rgbColor rgb="FFFFC7CE"/>
      <rgbColor rgb="FF3366FF"/>
      <rgbColor rgb="FF35D140"/>
      <rgbColor rgb="FF99CC00"/>
      <rgbColor rgb="FFFFCC00"/>
      <rgbColor rgb="FFFF9900"/>
      <rgbColor rgb="FFFD7E0D"/>
      <rgbColor rgb="FF666699"/>
      <rgbColor rgb="FF8D8D8D"/>
      <rgbColor rgb="FF003959"/>
      <rgbColor rgb="FF3B9BCC"/>
      <rgbColor rgb="FF003300"/>
      <rgbColor rgb="FF333300"/>
      <rgbColor rgb="FF993300"/>
      <rgbColor rgb="FF993366"/>
      <rgbColor rgb="FF333399"/>
      <rgbColor rgb="FF4141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NOK - Safespring tjenester 2025'!A1"/><Relationship Id="rId2" Type="http://schemas.openxmlformats.org/officeDocument/2006/relationships/hyperlink" Target="#'SEK - Safesprings tj&#228;nster 2025'!A1"/><Relationship Id="rId1" Type="http://schemas.openxmlformats.org/officeDocument/2006/relationships/image" Target="../media/image1.png"/><Relationship Id="rId4" Type="http://schemas.openxmlformats.org/officeDocument/2006/relationships/hyperlink" Target="#'DKK - Safespring-tjenester 2025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DKK - Safespring-tjenester 2025'!A1"/><Relationship Id="rId2" Type="http://schemas.openxmlformats.org/officeDocument/2006/relationships/hyperlink" Target="#'NOK - Safespring tjenester 2025'!A1"/><Relationship Id="rId1" Type="http://schemas.openxmlformats.org/officeDocument/2006/relationships/image" Target="../media/image1.png"/><Relationship Id="rId4" Type="http://schemas.openxmlformats.org/officeDocument/2006/relationships/hyperlink" Target="#'EUR - Safespring services 2025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KK - Safespring-tjenester 2025'!A1"/><Relationship Id="rId2" Type="http://schemas.openxmlformats.org/officeDocument/2006/relationships/hyperlink" Target="#'SEK - Safesprings tj&#228;nster 2025'!A1"/><Relationship Id="rId1" Type="http://schemas.openxmlformats.org/officeDocument/2006/relationships/image" Target="../media/image1.png"/><Relationship Id="rId4" Type="http://schemas.openxmlformats.org/officeDocument/2006/relationships/hyperlink" Target="#'EUR - Safespring services 2025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NOK - Safesprings tjeneste 2021'!A1"/><Relationship Id="rId2" Type="http://schemas.openxmlformats.org/officeDocument/2006/relationships/hyperlink" Target="#'SEK - Safesprings tj&#228;nster 2021'.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EUR - Safespring services 2021'!A1"/><Relationship Id="rId2" Type="http://schemas.openxmlformats.org/officeDocument/2006/relationships/hyperlink" Target="#'SEK - Safesprings tj&#228;nster 2021'.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NOK - Safespring tjenester 2025'!A1"/><Relationship Id="rId2" Type="http://schemas.openxmlformats.org/officeDocument/2006/relationships/hyperlink" Target="#'SEK - Safesprings tj&#228;nster 2025'!A1"/><Relationship Id="rId1" Type="http://schemas.openxmlformats.org/officeDocument/2006/relationships/image" Target="../media/image1.png"/><Relationship Id="rId4" Type="http://schemas.openxmlformats.org/officeDocument/2006/relationships/hyperlink" Target="#'EUR - Safespring services 2025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132840</xdr:colOff>
      <xdr:row>3</xdr:row>
      <xdr:rowOff>47880</xdr:rowOff>
    </xdr:from>
    <xdr:to>
      <xdr:col>1</xdr:col>
      <xdr:colOff>1827360</xdr:colOff>
      <xdr:row>4</xdr:row>
      <xdr:rowOff>80540</xdr:rowOff>
    </xdr:to>
    <xdr:pic>
      <xdr:nvPicPr>
        <xdr:cNvPr id="2" name="Bildobjek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66600" y="990720"/>
          <a:ext cx="1694520" cy="360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37800</xdr:colOff>
      <xdr:row>9</xdr:row>
      <xdr:rowOff>177480</xdr:rowOff>
    </xdr:to>
    <xdr:sp macro="" textlink="">
      <xdr:nvSpPr>
        <xdr:cNvPr id="3" name="Rektangel med rundade hörn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51800" y="2514600"/>
          <a:ext cx="108324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SEK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4</xdr:col>
      <xdr:colOff>171360</xdr:colOff>
      <xdr:row>8</xdr:row>
      <xdr:rowOff>0</xdr:rowOff>
    </xdr:from>
    <xdr:to>
      <xdr:col>5</xdr:col>
      <xdr:colOff>209160</xdr:colOff>
      <xdr:row>9</xdr:row>
      <xdr:rowOff>177480</xdr:rowOff>
    </xdr:to>
    <xdr:sp macro="" textlink="">
      <xdr:nvSpPr>
        <xdr:cNvPr id="4" name="Rektangel med rundade hörn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68600" y="2514600"/>
          <a:ext cx="108288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NOK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5</xdr:col>
      <xdr:colOff>343080</xdr:colOff>
      <xdr:row>8</xdr:row>
      <xdr:rowOff>0</xdr:rowOff>
    </xdr:from>
    <xdr:to>
      <xdr:col>6</xdr:col>
      <xdr:colOff>380880</xdr:colOff>
      <xdr:row>9</xdr:row>
      <xdr:rowOff>177480</xdr:rowOff>
    </xdr:to>
    <xdr:sp macro="" textlink="">
      <xdr:nvSpPr>
        <xdr:cNvPr id="5" name="Rektangel med rundade hörn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85400" y="2514600"/>
          <a:ext cx="108288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DKK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6</xdr:col>
      <xdr:colOff>507960</xdr:colOff>
      <xdr:row>8</xdr:row>
      <xdr:rowOff>0</xdr:rowOff>
    </xdr:from>
    <xdr:to>
      <xdr:col>7</xdr:col>
      <xdr:colOff>545760</xdr:colOff>
      <xdr:row>9</xdr:row>
      <xdr:rowOff>177480</xdr:rowOff>
    </xdr:to>
    <xdr:sp macro="" textlink="">
      <xdr:nvSpPr>
        <xdr:cNvPr id="6" name="Rektangel med rundade hörn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695360" y="2514600"/>
          <a:ext cx="1083240" cy="491760"/>
        </a:xfrm>
        <a:prstGeom prst="roundRect">
          <a:avLst>
            <a:gd name="adj" fmla="val 50000"/>
          </a:avLst>
        </a:prstGeom>
        <a:solidFill>
          <a:srgbClr val="FD7E0D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rgbClr val="FFFFFF"/>
              </a:solidFill>
              <a:effectLst/>
              <a:uFillTx/>
              <a:latin typeface="Hind SemiBold"/>
              <a:ea typeface="Arial"/>
            </a:rPr>
            <a:t>EUR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132840</xdr:colOff>
      <xdr:row>3</xdr:row>
      <xdr:rowOff>47880</xdr:rowOff>
    </xdr:from>
    <xdr:to>
      <xdr:col>1</xdr:col>
      <xdr:colOff>1827360</xdr:colOff>
      <xdr:row>4</xdr:row>
      <xdr:rowOff>80540</xdr:rowOff>
    </xdr:to>
    <xdr:pic>
      <xdr:nvPicPr>
        <xdr:cNvPr id="6" name="Bildobjekt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66600" y="990720"/>
          <a:ext cx="1694520" cy="360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37800</xdr:colOff>
      <xdr:row>9</xdr:row>
      <xdr:rowOff>177480</xdr:rowOff>
    </xdr:to>
    <xdr:sp macro="" textlink="">
      <xdr:nvSpPr>
        <xdr:cNvPr id="8" name="Rektangel med rundade hörn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051800" y="2514600"/>
          <a:ext cx="1083240" cy="491760"/>
        </a:xfrm>
        <a:prstGeom prst="roundRect">
          <a:avLst>
            <a:gd name="adj" fmla="val 50000"/>
          </a:avLst>
        </a:prstGeom>
        <a:solidFill>
          <a:srgbClr val="FD7E0D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rgbClr val="FFFFFF"/>
              </a:solidFill>
              <a:effectLst/>
              <a:uFillTx/>
              <a:latin typeface="Hind SemiBold"/>
              <a:ea typeface="Arial"/>
            </a:rPr>
            <a:t>SEK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4</xdr:col>
      <xdr:colOff>169200</xdr:colOff>
      <xdr:row>8</xdr:row>
      <xdr:rowOff>0</xdr:rowOff>
    </xdr:from>
    <xdr:to>
      <xdr:col>5</xdr:col>
      <xdr:colOff>207000</xdr:colOff>
      <xdr:row>9</xdr:row>
      <xdr:rowOff>177480</xdr:rowOff>
    </xdr:to>
    <xdr:sp macro="" textlink="">
      <xdr:nvSpPr>
        <xdr:cNvPr id="9" name="Rektangel med rundade hörn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66440" y="2514600"/>
          <a:ext cx="108288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NOK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5</xdr:col>
      <xdr:colOff>338760</xdr:colOff>
      <xdr:row>8</xdr:row>
      <xdr:rowOff>0</xdr:rowOff>
    </xdr:from>
    <xdr:to>
      <xdr:col>6</xdr:col>
      <xdr:colOff>376560</xdr:colOff>
      <xdr:row>9</xdr:row>
      <xdr:rowOff>177480</xdr:rowOff>
    </xdr:to>
    <xdr:sp macro="" textlink="">
      <xdr:nvSpPr>
        <xdr:cNvPr id="10" name="Rektangel med rundade hör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481080" y="2514600"/>
          <a:ext cx="108288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DKK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6</xdr:col>
      <xdr:colOff>507960</xdr:colOff>
      <xdr:row>8</xdr:row>
      <xdr:rowOff>0</xdr:rowOff>
    </xdr:from>
    <xdr:to>
      <xdr:col>7</xdr:col>
      <xdr:colOff>545760</xdr:colOff>
      <xdr:row>9</xdr:row>
      <xdr:rowOff>177480</xdr:rowOff>
    </xdr:to>
    <xdr:sp macro="" textlink="">
      <xdr:nvSpPr>
        <xdr:cNvPr id="11" name="Rektangel med rundade hörn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695360" y="2514600"/>
          <a:ext cx="108324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EUR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132840</xdr:colOff>
      <xdr:row>3</xdr:row>
      <xdr:rowOff>47880</xdr:rowOff>
    </xdr:from>
    <xdr:to>
      <xdr:col>1</xdr:col>
      <xdr:colOff>1827360</xdr:colOff>
      <xdr:row>4</xdr:row>
      <xdr:rowOff>80540</xdr:rowOff>
    </xdr:to>
    <xdr:pic>
      <xdr:nvPicPr>
        <xdr:cNvPr id="12" name="Bildobjekt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66600" y="990720"/>
          <a:ext cx="1694520" cy="360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37800</xdr:colOff>
      <xdr:row>9</xdr:row>
      <xdr:rowOff>177480</xdr:rowOff>
    </xdr:to>
    <xdr:sp macro="" textlink="">
      <xdr:nvSpPr>
        <xdr:cNvPr id="13" name="Rektangel med rundade hörn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051800" y="2514600"/>
          <a:ext cx="108324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SEK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4</xdr:col>
      <xdr:colOff>171360</xdr:colOff>
      <xdr:row>8</xdr:row>
      <xdr:rowOff>0</xdr:rowOff>
    </xdr:from>
    <xdr:to>
      <xdr:col>5</xdr:col>
      <xdr:colOff>209160</xdr:colOff>
      <xdr:row>9</xdr:row>
      <xdr:rowOff>177480</xdr:rowOff>
    </xdr:to>
    <xdr:sp macro="" textlink="">
      <xdr:nvSpPr>
        <xdr:cNvPr id="14" name="Rektangel med rundade hörn 6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268600" y="2514600"/>
          <a:ext cx="1082880" cy="491760"/>
        </a:xfrm>
        <a:prstGeom prst="roundRect">
          <a:avLst>
            <a:gd name="adj" fmla="val 50000"/>
          </a:avLst>
        </a:prstGeom>
        <a:solidFill>
          <a:srgbClr val="FD7E0D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rgbClr val="FFFFFF"/>
              </a:solidFill>
              <a:effectLst/>
              <a:uFillTx/>
              <a:latin typeface="Hind SemiBold"/>
              <a:ea typeface="Arial"/>
            </a:rPr>
            <a:t>NOK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5</xdr:col>
      <xdr:colOff>343080</xdr:colOff>
      <xdr:row>8</xdr:row>
      <xdr:rowOff>0</xdr:rowOff>
    </xdr:from>
    <xdr:to>
      <xdr:col>6</xdr:col>
      <xdr:colOff>380880</xdr:colOff>
      <xdr:row>9</xdr:row>
      <xdr:rowOff>177480</xdr:rowOff>
    </xdr:to>
    <xdr:sp macro="" textlink="">
      <xdr:nvSpPr>
        <xdr:cNvPr id="15" name="Rektangel med rundade hörn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6485400" y="2514600"/>
          <a:ext cx="108288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DKK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6</xdr:col>
      <xdr:colOff>507960</xdr:colOff>
      <xdr:row>8</xdr:row>
      <xdr:rowOff>0</xdr:rowOff>
    </xdr:from>
    <xdr:to>
      <xdr:col>7</xdr:col>
      <xdr:colOff>545760</xdr:colOff>
      <xdr:row>9</xdr:row>
      <xdr:rowOff>177480</xdr:rowOff>
    </xdr:to>
    <xdr:sp macro="" textlink="">
      <xdr:nvSpPr>
        <xdr:cNvPr id="16" name="Rektangel med rundade hörn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695360" y="2514600"/>
          <a:ext cx="108324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EUR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</xdr:colOff>
      <xdr:row>3</xdr:row>
      <xdr:rowOff>10800</xdr:rowOff>
    </xdr:from>
    <xdr:to>
      <xdr:col>1</xdr:col>
      <xdr:colOff>1710360</xdr:colOff>
      <xdr:row>4</xdr:row>
      <xdr:rowOff>58320</xdr:rowOff>
    </xdr:to>
    <xdr:pic>
      <xdr:nvPicPr>
        <xdr:cNvPr id="17" name="Bildobjekt 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9520" y="953640"/>
          <a:ext cx="1704600" cy="3621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0</xdr:colOff>
      <xdr:row>8</xdr:row>
      <xdr:rowOff>127080</xdr:rowOff>
    </xdr:from>
    <xdr:to>
      <xdr:col>4</xdr:col>
      <xdr:colOff>37800</xdr:colOff>
      <xdr:row>9</xdr:row>
      <xdr:rowOff>304560</xdr:rowOff>
    </xdr:to>
    <xdr:sp macro="" textlink="">
      <xdr:nvSpPr>
        <xdr:cNvPr id="18" name="Rektangel med rundade hörn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4051800" y="2641680"/>
          <a:ext cx="108324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SEK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4</xdr:col>
      <xdr:colOff>171360</xdr:colOff>
      <xdr:row>8</xdr:row>
      <xdr:rowOff>127080</xdr:rowOff>
    </xdr:from>
    <xdr:to>
      <xdr:col>5</xdr:col>
      <xdr:colOff>209160</xdr:colOff>
      <xdr:row>9</xdr:row>
      <xdr:rowOff>304560</xdr:rowOff>
    </xdr:to>
    <xdr:sp macro="" textlink="">
      <xdr:nvSpPr>
        <xdr:cNvPr id="19" name="Rektangel med rundade hörn 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268600" y="2641680"/>
          <a:ext cx="1082880" cy="491760"/>
        </a:xfrm>
        <a:prstGeom prst="roundRect">
          <a:avLst>
            <a:gd name="adj" fmla="val 50000"/>
          </a:avLst>
        </a:prstGeom>
        <a:solidFill>
          <a:srgbClr val="FD7E0D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rgbClr val="FFFFFF"/>
              </a:solidFill>
              <a:effectLst/>
              <a:uFillTx/>
              <a:latin typeface="Hind SemiBold"/>
              <a:ea typeface="Arial"/>
            </a:rPr>
            <a:t>EUR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5</xdr:col>
      <xdr:colOff>343080</xdr:colOff>
      <xdr:row>8</xdr:row>
      <xdr:rowOff>127080</xdr:rowOff>
    </xdr:from>
    <xdr:to>
      <xdr:col>6</xdr:col>
      <xdr:colOff>380880</xdr:colOff>
      <xdr:row>9</xdr:row>
      <xdr:rowOff>304560</xdr:rowOff>
    </xdr:to>
    <xdr:sp macro="" textlink="">
      <xdr:nvSpPr>
        <xdr:cNvPr id="20" name="Rektangel med rundade hörn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6485400" y="2641680"/>
          <a:ext cx="108288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NOK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</xdr:colOff>
      <xdr:row>3</xdr:row>
      <xdr:rowOff>11520</xdr:rowOff>
    </xdr:from>
    <xdr:to>
      <xdr:col>1</xdr:col>
      <xdr:colOff>1704240</xdr:colOff>
      <xdr:row>4</xdr:row>
      <xdr:rowOff>57600</xdr:rowOff>
    </xdr:to>
    <xdr:pic>
      <xdr:nvPicPr>
        <xdr:cNvPr id="21" name="Bildobjekt 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9520" y="983160"/>
          <a:ext cx="1698480" cy="3697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0</xdr:colOff>
      <xdr:row>8</xdr:row>
      <xdr:rowOff>127080</xdr:rowOff>
    </xdr:from>
    <xdr:to>
      <xdr:col>4</xdr:col>
      <xdr:colOff>37800</xdr:colOff>
      <xdr:row>9</xdr:row>
      <xdr:rowOff>304560</xdr:rowOff>
    </xdr:to>
    <xdr:sp macro="" textlink="">
      <xdr:nvSpPr>
        <xdr:cNvPr id="22" name="Rektangel med rundade hörn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4051800" y="2718000"/>
          <a:ext cx="1083240" cy="50112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SEK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4</xdr:col>
      <xdr:colOff>171360</xdr:colOff>
      <xdr:row>8</xdr:row>
      <xdr:rowOff>127080</xdr:rowOff>
    </xdr:from>
    <xdr:to>
      <xdr:col>5</xdr:col>
      <xdr:colOff>209160</xdr:colOff>
      <xdr:row>9</xdr:row>
      <xdr:rowOff>304560</xdr:rowOff>
    </xdr:to>
    <xdr:sp macro="" textlink="">
      <xdr:nvSpPr>
        <xdr:cNvPr id="23" name="Rektangel med rundade hörn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268600" y="2718000"/>
          <a:ext cx="1082880" cy="50112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EUR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5</xdr:col>
      <xdr:colOff>343080</xdr:colOff>
      <xdr:row>8</xdr:row>
      <xdr:rowOff>127080</xdr:rowOff>
    </xdr:from>
    <xdr:to>
      <xdr:col>6</xdr:col>
      <xdr:colOff>380880</xdr:colOff>
      <xdr:row>9</xdr:row>
      <xdr:rowOff>304560</xdr:rowOff>
    </xdr:to>
    <xdr:sp macro="" textlink="">
      <xdr:nvSpPr>
        <xdr:cNvPr id="24" name="Rektangel med rundade hörn 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485400" y="2718000"/>
          <a:ext cx="1082880" cy="501120"/>
        </a:xfrm>
        <a:prstGeom prst="roundRect">
          <a:avLst>
            <a:gd name="adj" fmla="val 50000"/>
          </a:avLst>
        </a:prstGeom>
        <a:solidFill>
          <a:srgbClr val="FD7E0D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rgbClr val="FFFFFF"/>
              </a:solidFill>
              <a:effectLst/>
              <a:uFillTx/>
              <a:latin typeface="Hind SemiBold"/>
              <a:ea typeface="Arial"/>
            </a:rPr>
            <a:t>NOK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</xdr:colOff>
      <xdr:row>3</xdr:row>
      <xdr:rowOff>2880</xdr:rowOff>
    </xdr:from>
    <xdr:to>
      <xdr:col>1</xdr:col>
      <xdr:colOff>1710360</xdr:colOff>
      <xdr:row>4</xdr:row>
      <xdr:rowOff>65880</xdr:rowOff>
    </xdr:to>
    <xdr:pic>
      <xdr:nvPicPr>
        <xdr:cNvPr id="25" name="Bildobjekt 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9520" y="974520"/>
          <a:ext cx="1704600" cy="386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132840</xdr:colOff>
      <xdr:row>3</xdr:row>
      <xdr:rowOff>47880</xdr:rowOff>
    </xdr:from>
    <xdr:to>
      <xdr:col>1</xdr:col>
      <xdr:colOff>1827360</xdr:colOff>
      <xdr:row>4</xdr:row>
      <xdr:rowOff>80540</xdr:rowOff>
    </xdr:to>
    <xdr:pic>
      <xdr:nvPicPr>
        <xdr:cNvPr id="26" name="Bildobjekt 2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66600" y="990720"/>
          <a:ext cx="1694520" cy="360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37800</xdr:colOff>
      <xdr:row>9</xdr:row>
      <xdr:rowOff>177480</xdr:rowOff>
    </xdr:to>
    <xdr:sp macro="" textlink="">
      <xdr:nvSpPr>
        <xdr:cNvPr id="27" name="Rektangel med rundade hörn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4051800" y="2514600"/>
          <a:ext cx="108324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SEK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4</xdr:col>
      <xdr:colOff>171360</xdr:colOff>
      <xdr:row>8</xdr:row>
      <xdr:rowOff>0</xdr:rowOff>
    </xdr:from>
    <xdr:to>
      <xdr:col>5</xdr:col>
      <xdr:colOff>209160</xdr:colOff>
      <xdr:row>9</xdr:row>
      <xdr:rowOff>177480</xdr:rowOff>
    </xdr:to>
    <xdr:sp macro="" textlink="">
      <xdr:nvSpPr>
        <xdr:cNvPr id="28" name="Rektangel med rundade hörn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5268600" y="2514600"/>
          <a:ext cx="108288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NOK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5</xdr:col>
      <xdr:colOff>343080</xdr:colOff>
      <xdr:row>8</xdr:row>
      <xdr:rowOff>0</xdr:rowOff>
    </xdr:from>
    <xdr:to>
      <xdr:col>6</xdr:col>
      <xdr:colOff>380880</xdr:colOff>
      <xdr:row>9</xdr:row>
      <xdr:rowOff>177480</xdr:rowOff>
    </xdr:to>
    <xdr:sp macro="" textlink="">
      <xdr:nvSpPr>
        <xdr:cNvPr id="29" name="Rektangel med rundade hörn 12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6485400" y="2514600"/>
          <a:ext cx="1082880" cy="491760"/>
        </a:xfrm>
        <a:prstGeom prst="roundRect">
          <a:avLst>
            <a:gd name="adj" fmla="val 50000"/>
          </a:avLst>
        </a:prstGeom>
        <a:solidFill>
          <a:srgbClr val="FD7E0D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sv-SE" sz="1400" b="1" u="none" strike="noStrike">
              <a:solidFill>
                <a:srgbClr val="FFFFFF"/>
              </a:solidFill>
              <a:effectLst/>
              <a:uFillTx/>
              <a:latin typeface="Hind SemiBold"/>
              <a:ea typeface="Arial"/>
            </a:rPr>
            <a:t>DKK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  <xdr:twoCellAnchor>
    <xdr:from>
      <xdr:col>6</xdr:col>
      <xdr:colOff>507960</xdr:colOff>
      <xdr:row>8</xdr:row>
      <xdr:rowOff>0</xdr:rowOff>
    </xdr:from>
    <xdr:to>
      <xdr:col>7</xdr:col>
      <xdr:colOff>545760</xdr:colOff>
      <xdr:row>9</xdr:row>
      <xdr:rowOff>177480</xdr:rowOff>
    </xdr:to>
    <xdr:sp macro="" textlink="">
      <xdr:nvSpPr>
        <xdr:cNvPr id="30" name="Rektangel med rundade hörn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7695360" y="2514600"/>
          <a:ext cx="1083240" cy="491760"/>
        </a:xfrm>
        <a:prstGeom prst="roundRect">
          <a:avLst>
            <a:gd name="adj" fmla="val 50000"/>
          </a:avLst>
        </a:prstGeom>
        <a:solidFill>
          <a:srgbClr val="EBF1F5"/>
        </a:solidFill>
        <a:ln w="12700">
          <a:solidFill>
            <a:srgbClr val="414141">
              <a:lumMod val="20000"/>
              <a:lumOff val="8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sv-SE" sz="1400" b="1" u="none" strike="noStrike">
              <a:solidFill>
                <a:schemeClr val="accent5"/>
              </a:solidFill>
              <a:effectLst/>
              <a:uFillTx/>
              <a:latin typeface="Hind SemiBold"/>
              <a:ea typeface="Arial"/>
            </a:rPr>
            <a:t>EUR</a:t>
          </a:r>
          <a:endParaRPr lang="en-US" sz="1400" b="0" u="none" strike="noStrike">
            <a:effectLst/>
            <a:uFillTx/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Safespring 1">
      <a:dk1>
        <a:srgbClr val="414141"/>
      </a:dk1>
      <a:lt1>
        <a:srgbClr val="FAFEFE"/>
      </a:lt1>
      <a:dk2>
        <a:srgbClr val="414141"/>
      </a:dk2>
      <a:lt2>
        <a:srgbClr val="FAFEFE"/>
      </a:lt2>
      <a:accent1>
        <a:srgbClr val="3B9BCC"/>
      </a:accent1>
      <a:accent2>
        <a:srgbClr val="FD7E0D"/>
      </a:accent2>
      <a:accent3>
        <a:srgbClr val="FD7E0D"/>
      </a:accent3>
      <a:accent4>
        <a:srgbClr val="00EE77"/>
      </a:accent4>
      <a:accent5>
        <a:srgbClr val="1C739D"/>
      </a:accent5>
      <a:accent6>
        <a:srgbClr val="35D140"/>
      </a:accent6>
      <a:hlink>
        <a:srgbClr val="FD7E0D"/>
      </a:hlink>
      <a:folHlink>
        <a:srgbClr val="FD7E0D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hello@safespring.com" TargetMode="External"/><Relationship Id="rId1" Type="http://schemas.openxmlformats.org/officeDocument/2006/relationships/hyperlink" Target="mailto:hello@safespring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hello@safespring.com" TargetMode="External"/><Relationship Id="rId1" Type="http://schemas.openxmlformats.org/officeDocument/2006/relationships/hyperlink" Target="mailto:hello@safespring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hello@safespring.com" TargetMode="External"/><Relationship Id="rId1" Type="http://schemas.openxmlformats.org/officeDocument/2006/relationships/hyperlink" Target="mailto:hello@safesprin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sales@safespring.se" TargetMode="External"/><Relationship Id="rId1" Type="http://schemas.openxmlformats.org/officeDocument/2006/relationships/hyperlink" Target="mailto:sales@safesprin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sales@safespring.se" TargetMode="External"/><Relationship Id="rId1" Type="http://schemas.openxmlformats.org/officeDocument/2006/relationships/hyperlink" Target="mailto:sales@safespring.s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sales@safespring.se" TargetMode="External"/><Relationship Id="rId1" Type="http://schemas.openxmlformats.org/officeDocument/2006/relationships/hyperlink" Target="mailto:sales@safespring.s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mailto:hello@safespring.com" TargetMode="External"/><Relationship Id="rId1" Type="http://schemas.openxmlformats.org/officeDocument/2006/relationships/hyperlink" Target="mailto:hello@safespr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02"/>
  <sheetViews>
    <sheetView showGridLines="0" zoomScaleNormal="100" workbookViewId="0">
      <selection activeCell="I25" sqref="I25"/>
    </sheetView>
  </sheetViews>
  <sheetFormatPr baseColWidth="10" defaultColWidth="15" defaultRowHeight="25" customHeight="1"/>
  <cols>
    <col min="1" max="1" width="11.83203125" style="6" customWidth="1"/>
    <col min="2" max="2" width="30.83203125" style="7" customWidth="1"/>
    <col min="3" max="7" width="14.83203125" style="8" customWidth="1"/>
    <col min="8" max="8" width="14.83203125" style="927" customWidth="1"/>
    <col min="9" max="10" width="14.83203125" style="8" customWidth="1"/>
    <col min="11" max="11" width="14.83203125" style="9" customWidth="1"/>
    <col min="12" max="12" width="14.83203125" style="8" customWidth="1"/>
    <col min="13" max="13" width="14.83203125" style="10" customWidth="1"/>
    <col min="14" max="14" width="14.83203125" style="8" customWidth="1"/>
    <col min="15" max="16384" width="15" style="8"/>
  </cols>
  <sheetData>
    <row r="1" spans="1:26" ht="25" customHeight="1">
      <c r="A1" s="11"/>
      <c r="B1" s="12"/>
      <c r="C1" s="5"/>
      <c r="D1" s="13"/>
      <c r="E1" s="13"/>
      <c r="F1" s="13"/>
      <c r="G1" s="13"/>
      <c r="H1" s="923"/>
      <c r="I1" s="13"/>
      <c r="J1" s="13"/>
      <c r="K1" s="14"/>
      <c r="L1" s="15"/>
      <c r="M1" s="16"/>
    </row>
    <row r="2" spans="1:26" ht="25" customHeight="1">
      <c r="A2" s="11"/>
      <c r="B2" s="12"/>
      <c r="C2" s="5"/>
      <c r="D2" s="13"/>
      <c r="E2" s="13"/>
      <c r="F2" s="13"/>
      <c r="G2" s="13"/>
      <c r="H2" s="923"/>
      <c r="I2" s="13"/>
      <c r="J2" s="13"/>
      <c r="K2" s="14"/>
      <c r="L2" s="15"/>
      <c r="M2" s="16"/>
    </row>
    <row r="3" spans="1:26" ht="25" customHeight="1">
      <c r="A3" s="11"/>
      <c r="B3" s="12"/>
      <c r="C3" s="5"/>
      <c r="D3" s="13"/>
      <c r="E3" s="13"/>
      <c r="F3" s="13"/>
      <c r="G3" s="13"/>
      <c r="H3" s="923"/>
      <c r="I3" s="13"/>
      <c r="J3" s="13"/>
      <c r="K3" s="14"/>
      <c r="L3" s="15"/>
      <c r="M3" s="16"/>
    </row>
    <row r="4" spans="1:26" ht="25" customHeight="1">
      <c r="A4" s="11"/>
      <c r="B4" s="956"/>
      <c r="C4" s="956"/>
      <c r="D4" s="13"/>
      <c r="E4" s="13"/>
      <c r="F4" s="13"/>
      <c r="G4" s="13"/>
      <c r="H4" s="923"/>
      <c r="I4" s="13"/>
      <c r="J4" s="13"/>
      <c r="K4" s="14"/>
      <c r="L4" s="15"/>
      <c r="M4" s="16"/>
    </row>
    <row r="5" spans="1:26" ht="25" customHeight="1">
      <c r="A5" s="11"/>
      <c r="B5" s="17" t="s">
        <v>643</v>
      </c>
      <c r="C5" s="18"/>
      <c r="D5" s="13"/>
      <c r="E5" s="13"/>
      <c r="F5" s="13"/>
      <c r="G5" s="13"/>
      <c r="H5" s="923"/>
      <c r="I5" s="13"/>
      <c r="J5" s="13"/>
      <c r="K5" s="14"/>
      <c r="L5" s="15"/>
      <c r="M5" s="16"/>
    </row>
    <row r="6" spans="1:26" ht="25" customHeight="1">
      <c r="A6" s="11"/>
      <c r="B6" s="19"/>
      <c r="C6" s="5"/>
      <c r="D6" s="13"/>
      <c r="E6" s="13"/>
      <c r="F6" s="13"/>
      <c r="G6" s="13"/>
      <c r="H6" s="923"/>
      <c r="I6" s="13"/>
      <c r="J6" s="13"/>
      <c r="K6" s="14"/>
      <c r="L6" s="15"/>
      <c r="M6" s="16"/>
    </row>
    <row r="7" spans="1:26" ht="25" customHeight="1">
      <c r="A7" s="11"/>
      <c r="B7" s="20"/>
      <c r="C7" s="5"/>
      <c r="D7" s="13"/>
      <c r="E7" s="13"/>
      <c r="F7" s="13"/>
      <c r="G7" s="13"/>
      <c r="H7" s="923"/>
      <c r="I7" s="13"/>
      <c r="J7" s="13"/>
      <c r="K7" s="14"/>
      <c r="L7" s="15"/>
      <c r="M7" s="16"/>
    </row>
    <row r="8" spans="1:26" ht="25" customHeight="1">
      <c r="A8" s="11"/>
      <c r="B8" s="21" t="s">
        <v>0</v>
      </c>
      <c r="C8" s="5"/>
      <c r="D8" s="22" t="s">
        <v>1</v>
      </c>
      <c r="E8" s="13"/>
      <c r="F8" s="13"/>
      <c r="G8" s="13"/>
      <c r="H8" s="923"/>
      <c r="I8" s="13"/>
      <c r="J8" s="13"/>
      <c r="K8" s="14"/>
      <c r="L8" s="15"/>
      <c r="M8" s="16"/>
    </row>
    <row r="9" spans="1:26" ht="25" customHeight="1">
      <c r="A9" s="11"/>
      <c r="B9" s="23" t="s">
        <v>2</v>
      </c>
      <c r="C9" s="5"/>
      <c r="D9" s="13"/>
      <c r="E9" s="13"/>
      <c r="F9" s="13"/>
      <c r="G9" s="13"/>
      <c r="H9" s="923"/>
      <c r="I9" s="13"/>
      <c r="J9" s="13"/>
      <c r="K9" s="14"/>
      <c r="L9" s="15"/>
      <c r="M9" s="16"/>
    </row>
    <row r="10" spans="1:26" ht="25" customHeight="1">
      <c r="A10" s="11"/>
      <c r="B10" s="24" t="s">
        <v>3</v>
      </c>
      <c r="C10" s="25"/>
      <c r="D10" s="13"/>
      <c r="E10" s="13"/>
      <c r="F10" s="13"/>
      <c r="G10" s="13"/>
      <c r="H10" s="923"/>
      <c r="I10" s="13"/>
      <c r="J10" s="13"/>
      <c r="K10" s="14"/>
      <c r="L10" s="15"/>
      <c r="M10" s="16"/>
    </row>
    <row r="11" spans="1:26" s="34" customFormat="1" ht="25" customHeight="1">
      <c r="A11" s="26"/>
      <c r="B11" s="27"/>
      <c r="C11" s="28"/>
      <c r="D11" s="29"/>
      <c r="E11" s="29"/>
      <c r="F11" s="29"/>
      <c r="G11" s="30"/>
      <c r="H11" s="30"/>
      <c r="I11" s="31"/>
      <c r="J11" s="29"/>
      <c r="K11" s="32"/>
      <c r="L11" s="33"/>
      <c r="M11" s="16"/>
    </row>
    <row r="12" spans="1:26" s="34" customFormat="1" ht="25" customHeight="1">
      <c r="A12" s="35"/>
      <c r="B12" s="36"/>
      <c r="C12" s="37"/>
      <c r="D12" s="38"/>
      <c r="E12" s="38"/>
      <c r="F12" s="38"/>
      <c r="G12" s="39"/>
      <c r="H12" s="39"/>
      <c r="I12" s="40"/>
      <c r="J12" s="38"/>
      <c r="K12" s="41"/>
      <c r="L12" s="42"/>
      <c r="M12" s="16"/>
    </row>
    <row r="13" spans="1:26" s="34" customFormat="1" ht="25" customHeight="1">
      <c r="A13" s="43"/>
      <c r="B13" s="44"/>
      <c r="G13" s="45"/>
      <c r="H13" s="45"/>
      <c r="I13" s="46"/>
      <c r="K13" s="47"/>
      <c r="L13" s="48"/>
      <c r="M13" s="16"/>
    </row>
    <row r="14" spans="1:26" s="34" customFormat="1" ht="25" customHeight="1">
      <c r="A14" s="43"/>
      <c r="B14" s="44"/>
      <c r="G14" s="45"/>
      <c r="H14" s="45"/>
      <c r="I14" s="46"/>
      <c r="K14" s="47"/>
      <c r="L14" s="48"/>
      <c r="M14" s="16"/>
    </row>
    <row r="15" spans="1:26" s="34" customFormat="1" ht="25" customHeight="1">
      <c r="A15" s="43"/>
      <c r="B15" s="957" t="s">
        <v>635</v>
      </c>
      <c r="C15" s="957"/>
      <c r="D15" s="957"/>
      <c r="E15" s="957"/>
      <c r="F15" s="957"/>
      <c r="G15" s="957"/>
      <c r="H15" s="957"/>
      <c r="I15" s="957"/>
      <c r="J15" s="957"/>
      <c r="K15" s="957"/>
      <c r="L15" s="958"/>
      <c r="M15" s="16"/>
      <c r="N15" s="8"/>
      <c r="S15" s="50"/>
      <c r="X15" s="50"/>
      <c r="Y15" s="50"/>
      <c r="Z15" s="50"/>
    </row>
    <row r="16" spans="1:26" s="34" customFormat="1" ht="25" customHeight="1">
      <c r="A16" s="43"/>
      <c r="B16" s="957"/>
      <c r="C16" s="957"/>
      <c r="D16" s="957"/>
      <c r="E16" s="957"/>
      <c r="F16" s="957"/>
      <c r="G16" s="957"/>
      <c r="H16" s="957"/>
      <c r="I16" s="957"/>
      <c r="J16" s="957"/>
      <c r="K16" s="957"/>
      <c r="L16" s="958"/>
      <c r="M16" s="16"/>
      <c r="N16" s="8"/>
      <c r="S16" s="50"/>
      <c r="X16" s="50"/>
      <c r="Y16" s="50"/>
      <c r="Z16" s="50"/>
    </row>
    <row r="17" spans="1:26" s="34" customFormat="1" ht="25" customHeight="1">
      <c r="A17" s="43"/>
      <c r="B17" s="957"/>
      <c r="C17" s="957"/>
      <c r="D17" s="957"/>
      <c r="E17" s="957"/>
      <c r="F17" s="957"/>
      <c r="G17" s="957"/>
      <c r="H17" s="957"/>
      <c r="I17" s="957"/>
      <c r="J17" s="957"/>
      <c r="K17" s="957"/>
      <c r="L17" s="958"/>
      <c r="M17" s="16"/>
      <c r="N17" s="8"/>
      <c r="S17" s="50"/>
      <c r="X17" s="50"/>
      <c r="Y17" s="50"/>
      <c r="Z17" s="50"/>
    </row>
    <row r="18" spans="1:26" s="34" customFormat="1" ht="25" customHeight="1">
      <c r="A18" s="43"/>
      <c r="B18" s="4" t="s">
        <v>6</v>
      </c>
      <c r="C18" s="4"/>
      <c r="D18" s="4"/>
      <c r="E18" s="4"/>
      <c r="F18" s="4"/>
      <c r="G18" s="53"/>
      <c r="H18" s="54"/>
      <c r="J18" s="55"/>
      <c r="K18" s="391"/>
      <c r="L18" s="57"/>
      <c r="M18" s="16"/>
      <c r="N18" s="8"/>
      <c r="S18" s="50"/>
      <c r="T18" s="50"/>
      <c r="U18" s="50"/>
      <c r="V18" s="50"/>
      <c r="W18" s="50"/>
      <c r="X18" s="50"/>
      <c r="Y18" s="50"/>
      <c r="Z18" s="50"/>
    </row>
    <row r="19" spans="1:26" s="34" customFormat="1" ht="25" customHeight="1">
      <c r="A19" s="43"/>
      <c r="B19" s="58" t="s">
        <v>7</v>
      </c>
      <c r="C19" s="58"/>
      <c r="D19" s="58"/>
      <c r="E19" s="53"/>
      <c r="F19" s="53"/>
      <c r="G19" s="53"/>
      <c r="H19" s="54"/>
      <c r="I19" s="53"/>
      <c r="J19" s="55"/>
      <c r="K19" s="391"/>
      <c r="L19" s="57"/>
      <c r="M19" s="16"/>
      <c r="N19" s="8"/>
      <c r="S19" s="50"/>
      <c r="T19" s="50"/>
      <c r="U19" s="50"/>
      <c r="V19" s="50"/>
      <c r="W19" s="62"/>
      <c r="X19" s="154"/>
      <c r="Y19" s="50"/>
      <c r="Z19" s="50"/>
    </row>
    <row r="20" spans="1:26" s="34" customFormat="1" ht="25" customHeight="1">
      <c r="A20" s="43"/>
      <c r="B20" s="4"/>
      <c r="C20" s="60"/>
      <c r="D20" s="60"/>
      <c r="E20" s="60"/>
      <c r="F20" s="60"/>
      <c r="G20" s="53"/>
      <c r="H20" s="54"/>
      <c r="I20" s="53"/>
      <c r="J20" s="55"/>
      <c r="K20" s="391"/>
      <c r="L20" s="57"/>
      <c r="M20" s="16"/>
      <c r="N20" s="8"/>
      <c r="P20" s="8"/>
      <c r="Q20" s="8"/>
      <c r="R20" s="8"/>
      <c r="S20" s="50"/>
      <c r="T20" s="50"/>
      <c r="U20" s="50"/>
      <c r="V20" s="50"/>
      <c r="W20" s="50"/>
      <c r="X20" s="50"/>
      <c r="Y20" s="62"/>
      <c r="Z20" s="50"/>
    </row>
    <row r="21" spans="1:26" s="34" customFormat="1" ht="25" customHeight="1">
      <c r="A21" s="43"/>
      <c r="B21" s="4"/>
      <c r="C21" s="60"/>
      <c r="D21" s="60"/>
      <c r="E21" s="60"/>
      <c r="F21" s="60"/>
      <c r="G21" s="53"/>
      <c r="H21" s="54"/>
      <c r="I21" s="53"/>
      <c r="J21" s="55"/>
      <c r="K21" s="391"/>
      <c r="L21" s="57"/>
      <c r="M21" s="16"/>
      <c r="N21" s="8"/>
      <c r="P21" s="8"/>
      <c r="Q21" s="8"/>
      <c r="R21" s="8"/>
      <c r="S21" s="50"/>
      <c r="T21" s="50"/>
      <c r="U21" s="50"/>
      <c r="V21" s="50"/>
      <c r="W21" s="50"/>
      <c r="X21" s="50"/>
      <c r="Y21" s="62"/>
      <c r="Z21" s="50"/>
    </row>
    <row r="22" spans="1:26" s="69" customFormat="1" ht="25" customHeight="1">
      <c r="A22" s="63"/>
      <c r="B22" s="64" t="s">
        <v>638</v>
      </c>
      <c r="C22" s="65"/>
      <c r="D22" s="65"/>
      <c r="E22" s="65"/>
      <c r="F22" s="65"/>
      <c r="G22" s="65"/>
      <c r="H22" s="66"/>
      <c r="I22" s="67"/>
      <c r="J22" s="67"/>
      <c r="K22" s="392"/>
      <c r="M22" s="16"/>
      <c r="N22" s="8"/>
      <c r="P22" s="70"/>
      <c r="Q22" s="70"/>
      <c r="R22" s="71"/>
    </row>
    <row r="23" spans="1:26" ht="25" customHeight="1">
      <c r="B23" s="960" t="s">
        <v>639</v>
      </c>
      <c r="C23" s="960"/>
      <c r="D23" s="960"/>
      <c r="E23" s="960"/>
      <c r="H23" s="8"/>
      <c r="K23" s="127"/>
      <c r="M23" s="16"/>
    </row>
    <row r="24" spans="1:26" s="78" customFormat="1" ht="25" customHeight="1">
      <c r="A24" s="73"/>
      <c r="B24" s="74" t="s">
        <v>10</v>
      </c>
      <c r="C24" s="75"/>
      <c r="D24" s="75"/>
      <c r="E24" s="2"/>
      <c r="F24" s="2"/>
      <c r="G24" s="2" t="s">
        <v>13</v>
      </c>
      <c r="H24" s="2" t="s">
        <v>14</v>
      </c>
      <c r="I24" s="76" t="s">
        <v>15</v>
      </c>
      <c r="J24" s="75"/>
      <c r="K24" s="77" t="s">
        <v>16</v>
      </c>
      <c r="M24" s="16"/>
      <c r="N24" s="8"/>
      <c r="O24" s="8"/>
      <c r="P24" s="62"/>
      <c r="Q24" s="62"/>
      <c r="R24" s="79"/>
    </row>
    <row r="25" spans="1:26" s="50" customFormat="1" ht="25" customHeight="1">
      <c r="A25" s="43"/>
      <c r="B25" s="133" t="s">
        <v>633</v>
      </c>
      <c r="C25" s="81"/>
      <c r="D25" s="81"/>
      <c r="E25" s="82"/>
      <c r="F25" s="82"/>
      <c r="G25" s="915">
        <f t="shared" ref="G25:G26" si="0">H25/720</f>
        <v>0.6397222222222223</v>
      </c>
      <c r="H25" s="1057">
        <v>460.6</v>
      </c>
      <c r="I25" s="84"/>
      <c r="J25" s="28"/>
      <c r="K25" s="1054">
        <f t="shared" ref="K25:K26" si="1">ROUNDUP(I25*H25,2)</f>
        <v>0</v>
      </c>
      <c r="M25" s="16"/>
      <c r="N25" s="8"/>
      <c r="O25" s="8"/>
      <c r="P25" s="62"/>
      <c r="R25" s="62"/>
    </row>
    <row r="26" spans="1:26" s="50" customFormat="1" ht="25" customHeight="1">
      <c r="A26" s="43"/>
      <c r="B26" s="135" t="s">
        <v>634</v>
      </c>
      <c r="C26" s="87"/>
      <c r="D26" s="87"/>
      <c r="E26" s="88"/>
      <c r="F26" s="88"/>
      <c r="G26" s="952">
        <f t="shared" si="0"/>
        <v>0</v>
      </c>
      <c r="H26" s="952">
        <v>0</v>
      </c>
      <c r="I26" s="84"/>
      <c r="J26" s="90"/>
      <c r="K26" s="1055">
        <f t="shared" si="1"/>
        <v>0</v>
      </c>
      <c r="M26" s="16"/>
      <c r="N26" s="8"/>
      <c r="P26" s="62"/>
      <c r="R26" s="62"/>
    </row>
    <row r="27" spans="1:26" s="34" customFormat="1" ht="25" customHeight="1">
      <c r="A27" s="43"/>
      <c r="B27" s="93" t="s">
        <v>17</v>
      </c>
      <c r="C27" s="94"/>
      <c r="D27" s="94"/>
      <c r="E27" s="152"/>
      <c r="F27" s="152"/>
      <c r="G27" s="94"/>
      <c r="H27" s="94"/>
      <c r="I27" s="94">
        <f>SUM(I14:I26)</f>
        <v>0</v>
      </c>
      <c r="J27" s="94"/>
      <c r="K27" s="1056">
        <f>SUM(K14:K26)</f>
        <v>0</v>
      </c>
      <c r="L27" s="48"/>
      <c r="M27" s="16"/>
      <c r="N27" s="8"/>
    </row>
    <row r="28" spans="1:26" s="34" customFormat="1" ht="25" customHeight="1">
      <c r="A28" s="43"/>
      <c r="B28" s="920"/>
      <c r="C28" s="247"/>
      <c r="D28" s="247"/>
      <c r="E28" s="951"/>
      <c r="F28" s="951"/>
      <c r="G28" s="247"/>
      <c r="H28" s="247"/>
      <c r="I28" s="247"/>
      <c r="J28" s="247"/>
      <c r="K28" s="950"/>
      <c r="L28" s="48"/>
      <c r="M28" s="16"/>
      <c r="N28" s="8"/>
    </row>
    <row r="29" spans="1:26" s="34" customFormat="1" ht="25" customHeight="1">
      <c r="A29" s="43"/>
      <c r="B29" s="44"/>
      <c r="D29" s="247"/>
      <c r="G29" s="45"/>
      <c r="H29" s="45"/>
      <c r="I29" s="46"/>
      <c r="K29" s="390"/>
      <c r="L29" s="48"/>
      <c r="M29" s="16"/>
      <c r="N29" s="8"/>
    </row>
    <row r="30" spans="1:26" s="34" customFormat="1" ht="25" customHeight="1">
      <c r="A30" s="43"/>
      <c r="B30" s="957" t="s">
        <v>4</v>
      </c>
      <c r="C30" s="957"/>
      <c r="D30" s="957"/>
      <c r="E30" s="957"/>
      <c r="F30" s="957"/>
      <c r="G30" s="957"/>
      <c r="H30" s="924"/>
      <c r="J30" s="49"/>
      <c r="K30" s="47"/>
      <c r="L30" s="48"/>
      <c r="M30" s="16"/>
      <c r="S30" s="50"/>
      <c r="X30" s="50"/>
      <c r="Y30" s="50"/>
      <c r="Z30" s="50"/>
    </row>
    <row r="31" spans="1:26" s="34" customFormat="1" ht="25" customHeight="1">
      <c r="A31" s="43"/>
      <c r="B31" s="957"/>
      <c r="C31" s="957"/>
      <c r="D31" s="957"/>
      <c r="E31" s="957"/>
      <c r="F31" s="957"/>
      <c r="G31" s="957"/>
      <c r="H31" s="924"/>
      <c r="J31" s="49"/>
      <c r="K31" s="47"/>
      <c r="L31" s="48"/>
      <c r="M31" s="16"/>
      <c r="S31" s="50"/>
      <c r="X31" s="50"/>
      <c r="Y31" s="50"/>
      <c r="Z31" s="50"/>
    </row>
    <row r="32" spans="1:26" s="34" customFormat="1" ht="25" customHeight="1">
      <c r="A32" s="43"/>
      <c r="B32" s="957"/>
      <c r="C32" s="957"/>
      <c r="D32" s="957"/>
      <c r="E32" s="957"/>
      <c r="F32" s="957"/>
      <c r="G32" s="957"/>
      <c r="H32" s="924"/>
      <c r="J32" s="49"/>
      <c r="K32" s="47"/>
      <c r="L32" s="48"/>
      <c r="M32" s="16"/>
      <c r="S32" s="50"/>
      <c r="X32" s="50"/>
      <c r="Y32" s="50"/>
      <c r="Z32" s="50"/>
    </row>
    <row r="33" spans="1:26" s="34" customFormat="1" ht="25" customHeight="1">
      <c r="A33" s="43"/>
      <c r="B33" s="51" t="s">
        <v>5</v>
      </c>
      <c r="C33" s="52"/>
      <c r="D33" s="52"/>
      <c r="E33" s="52"/>
      <c r="F33" s="52"/>
      <c r="H33" s="924"/>
      <c r="J33" s="49"/>
      <c r="K33" s="47"/>
      <c r="L33" s="48"/>
      <c r="M33" s="16"/>
      <c r="S33" s="50"/>
      <c r="T33" s="50"/>
      <c r="U33" s="50"/>
      <c r="V33" s="50"/>
      <c r="W33" s="50"/>
      <c r="X33" s="50"/>
      <c r="Y33" s="50"/>
      <c r="Z33" s="50"/>
    </row>
    <row r="34" spans="1:26" s="34" customFormat="1" ht="25" customHeight="1">
      <c r="A34" s="43"/>
      <c r="B34" s="4" t="s">
        <v>6</v>
      </c>
      <c r="C34" s="4"/>
      <c r="D34" s="4"/>
      <c r="E34" s="4"/>
      <c r="F34" s="4"/>
      <c r="G34" s="53"/>
      <c r="H34" s="925"/>
      <c r="J34" s="55"/>
      <c r="K34" s="56"/>
      <c r="L34" s="57"/>
      <c r="M34" s="16"/>
      <c r="S34" s="50"/>
      <c r="T34" s="50"/>
      <c r="U34" s="50"/>
      <c r="V34" s="50"/>
      <c r="W34" s="50"/>
      <c r="X34" s="50"/>
      <c r="Y34" s="50"/>
      <c r="Z34" s="50"/>
    </row>
    <row r="35" spans="1:26" s="34" customFormat="1" ht="25" customHeight="1">
      <c r="A35" s="43"/>
      <c r="B35" s="58" t="s">
        <v>7</v>
      </c>
      <c r="C35" s="59"/>
      <c r="D35" s="59"/>
      <c r="E35" s="60"/>
      <c r="F35" s="60"/>
      <c r="G35" s="53"/>
      <c r="H35" s="925"/>
      <c r="I35" s="53"/>
      <c r="J35" s="55"/>
      <c r="K35" s="56"/>
      <c r="L35" s="61"/>
      <c r="M35" s="16"/>
      <c r="O35" s="50"/>
      <c r="P35" s="50"/>
    </row>
    <row r="36" spans="1:26" s="34" customFormat="1" ht="25" customHeight="1">
      <c r="A36" s="43"/>
      <c r="B36" s="4"/>
      <c r="C36" s="60"/>
      <c r="D36" s="60"/>
      <c r="E36" s="60"/>
      <c r="F36" s="60"/>
      <c r="G36" s="53"/>
      <c r="H36" s="925"/>
      <c r="I36" s="53"/>
      <c r="J36" s="55"/>
      <c r="K36" s="56"/>
      <c r="L36" s="57"/>
      <c r="M36" s="16"/>
      <c r="P36" s="8"/>
      <c r="Q36" s="8"/>
      <c r="R36" s="8"/>
      <c r="S36" s="50"/>
      <c r="T36" s="50"/>
      <c r="U36" s="50"/>
      <c r="V36" s="50"/>
      <c r="W36" s="50"/>
      <c r="X36" s="50"/>
      <c r="Y36" s="62"/>
      <c r="Z36" s="50"/>
    </row>
    <row r="37" spans="1:26" s="34" customFormat="1" ht="25" customHeight="1">
      <c r="A37" s="43"/>
      <c r="B37" s="4"/>
      <c r="C37" s="60"/>
      <c r="D37" s="60"/>
      <c r="E37" s="60"/>
      <c r="F37" s="60"/>
      <c r="G37" s="53"/>
      <c r="H37" s="925"/>
      <c r="I37" s="53"/>
      <c r="J37" s="55"/>
      <c r="K37" s="56"/>
      <c r="L37" s="57"/>
      <c r="M37" s="16"/>
      <c r="P37" s="8"/>
      <c r="Q37" s="8"/>
      <c r="R37" s="8"/>
      <c r="S37" s="50"/>
      <c r="T37" s="50"/>
      <c r="U37" s="50"/>
      <c r="V37" s="50"/>
      <c r="W37" s="50"/>
      <c r="X37" s="50"/>
      <c r="Y37" s="62"/>
      <c r="Z37" s="50"/>
    </row>
    <row r="38" spans="1:26" s="69" customFormat="1" ht="25" customHeight="1">
      <c r="A38" s="63"/>
      <c r="B38" s="64" t="s">
        <v>8</v>
      </c>
      <c r="C38" s="65"/>
      <c r="D38" s="65"/>
      <c r="E38" s="65"/>
      <c r="F38" s="65"/>
      <c r="G38" s="65"/>
      <c r="H38" s="926"/>
      <c r="I38" s="67"/>
      <c r="J38" s="67"/>
      <c r="K38" s="68"/>
      <c r="M38" s="16"/>
      <c r="P38" s="70"/>
      <c r="Q38" s="70"/>
      <c r="R38" s="71"/>
    </row>
    <row r="39" spans="1:26" ht="25" customHeight="1">
      <c r="B39" s="72" t="s">
        <v>9</v>
      </c>
      <c r="C39" s="72"/>
      <c r="D39" s="72"/>
      <c r="E39" s="72"/>
      <c r="F39" s="72"/>
      <c r="M39" s="16"/>
    </row>
    <row r="40" spans="1:26" s="78" customFormat="1" ht="25" customHeight="1">
      <c r="A40" s="73"/>
      <c r="B40" s="74" t="s">
        <v>10</v>
      </c>
      <c r="C40" s="75" t="s">
        <v>11</v>
      </c>
      <c r="D40" s="75" t="s">
        <v>12</v>
      </c>
      <c r="E40" s="2" t="s">
        <v>676</v>
      </c>
      <c r="F40" s="2" t="s">
        <v>13</v>
      </c>
      <c r="G40" s="2" t="s">
        <v>14</v>
      </c>
      <c r="H40" s="75"/>
      <c r="I40" s="76" t="s">
        <v>15</v>
      </c>
      <c r="J40" s="75"/>
      <c r="K40" s="77" t="s">
        <v>16</v>
      </c>
      <c r="M40" s="16"/>
      <c r="N40" s="8"/>
      <c r="O40" s="8"/>
      <c r="P40" s="62"/>
      <c r="Q40" s="62"/>
      <c r="R40" s="79"/>
    </row>
    <row r="41" spans="1:26" s="50" customFormat="1" ht="25" customHeight="1">
      <c r="A41" s="43"/>
      <c r="B41" s="133" t="s">
        <v>156</v>
      </c>
      <c r="C41" s="81">
        <v>2</v>
      </c>
      <c r="D41" s="81">
        <v>4</v>
      </c>
      <c r="E41" s="82">
        <v>100</v>
      </c>
      <c r="F41" s="921">
        <f>G41/720</f>
        <v>6.2666666666666662E-2</v>
      </c>
      <c r="G41" s="83">
        <f t="shared" ref="G41:G54" si="2">C41*IAAS_vcpu_EUR+D41*IAAS_ram_EUR+E41*IAAS_nvme_EUR</f>
        <v>45.12</v>
      </c>
      <c r="H41" s="148"/>
      <c r="I41" s="84"/>
      <c r="J41" s="28"/>
      <c r="K41" s="85">
        <f t="shared" ref="K41:K54" si="3">ROUNDUP(I41*G41,2)</f>
        <v>0</v>
      </c>
      <c r="M41" s="16"/>
      <c r="P41" s="62"/>
      <c r="R41" s="62"/>
    </row>
    <row r="42" spans="1:26" s="50" customFormat="1" ht="25" customHeight="1">
      <c r="A42" s="43"/>
      <c r="B42" s="135" t="s">
        <v>157</v>
      </c>
      <c r="C42" s="87">
        <v>2</v>
      </c>
      <c r="D42" s="87">
        <v>4</v>
      </c>
      <c r="E42" s="88">
        <v>500</v>
      </c>
      <c r="F42" s="922">
        <f t="shared" ref="F42:F54" si="4">G42/720</f>
        <v>0.11488888888888889</v>
      </c>
      <c r="G42" s="89">
        <f t="shared" si="2"/>
        <v>82.72</v>
      </c>
      <c r="H42" s="49"/>
      <c r="I42" s="84"/>
      <c r="J42" s="90"/>
      <c r="K42" s="91">
        <f t="shared" si="3"/>
        <v>0</v>
      </c>
      <c r="M42" s="16"/>
      <c r="P42" s="62"/>
      <c r="R42" s="62"/>
    </row>
    <row r="43" spans="1:26" s="50" customFormat="1" ht="25" customHeight="1">
      <c r="A43" s="43"/>
      <c r="B43" s="133" t="s">
        <v>158</v>
      </c>
      <c r="C43" s="81">
        <v>2</v>
      </c>
      <c r="D43" s="81">
        <v>4</v>
      </c>
      <c r="E43" s="82">
        <v>1000</v>
      </c>
      <c r="F43" s="921">
        <f t="shared" si="4"/>
        <v>0.18016666666666667</v>
      </c>
      <c r="G43" s="83">
        <f t="shared" si="2"/>
        <v>129.72</v>
      </c>
      <c r="H43" s="148"/>
      <c r="I43" s="84"/>
      <c r="J43" s="28"/>
      <c r="K43" s="85">
        <f t="shared" si="3"/>
        <v>0</v>
      </c>
      <c r="M43" s="16"/>
      <c r="P43" s="62"/>
      <c r="R43" s="62"/>
    </row>
    <row r="44" spans="1:26" s="50" customFormat="1" ht="25" customHeight="1">
      <c r="A44" s="43"/>
      <c r="B44" s="135" t="s">
        <v>159</v>
      </c>
      <c r="C44" s="87">
        <v>4</v>
      </c>
      <c r="D44" s="87">
        <v>8</v>
      </c>
      <c r="E44" s="88">
        <v>100</v>
      </c>
      <c r="F44" s="922">
        <f t="shared" si="4"/>
        <v>0.11227777777777778</v>
      </c>
      <c r="G44" s="89">
        <f t="shared" si="2"/>
        <v>80.84</v>
      </c>
      <c r="H44" s="49"/>
      <c r="I44" s="84"/>
      <c r="J44" s="90"/>
      <c r="K44" s="91">
        <f t="shared" si="3"/>
        <v>0</v>
      </c>
      <c r="M44" s="16"/>
      <c r="P44" s="62"/>
      <c r="R44" s="62"/>
    </row>
    <row r="45" spans="1:26" s="50" customFormat="1" ht="25" customHeight="1">
      <c r="A45" s="43"/>
      <c r="B45" s="133" t="s">
        <v>160</v>
      </c>
      <c r="C45" s="81">
        <v>4</v>
      </c>
      <c r="D45" s="81">
        <v>8</v>
      </c>
      <c r="E45" s="82">
        <v>500</v>
      </c>
      <c r="F45" s="921">
        <f t="shared" si="4"/>
        <v>0.16450000000000001</v>
      </c>
      <c r="G45" s="83">
        <f t="shared" si="2"/>
        <v>118.44</v>
      </c>
      <c r="H45" s="148"/>
      <c r="I45" s="84"/>
      <c r="J45" s="28"/>
      <c r="K45" s="85">
        <f t="shared" si="3"/>
        <v>0</v>
      </c>
      <c r="M45" s="16"/>
      <c r="P45" s="62"/>
      <c r="R45" s="62"/>
    </row>
    <row r="46" spans="1:26" s="50" customFormat="1" ht="25" customHeight="1">
      <c r="A46" s="43"/>
      <c r="B46" s="135" t="s">
        <v>161</v>
      </c>
      <c r="C46" s="87">
        <v>4</v>
      </c>
      <c r="D46" s="87">
        <v>8</v>
      </c>
      <c r="E46" s="88">
        <v>1000</v>
      </c>
      <c r="F46" s="922">
        <f t="shared" si="4"/>
        <v>0.22977777777777778</v>
      </c>
      <c r="G46" s="89">
        <f t="shared" si="2"/>
        <v>165.44</v>
      </c>
      <c r="H46" s="49"/>
      <c r="I46" s="84"/>
      <c r="J46" s="90"/>
      <c r="K46" s="91">
        <f t="shared" si="3"/>
        <v>0</v>
      </c>
      <c r="M46" s="16"/>
      <c r="P46" s="62"/>
      <c r="R46" s="62"/>
    </row>
    <row r="47" spans="1:26" s="50" customFormat="1" ht="25" customHeight="1">
      <c r="A47" s="43"/>
      <c r="B47" s="133" t="s">
        <v>162</v>
      </c>
      <c r="C47" s="81">
        <v>8</v>
      </c>
      <c r="D47" s="81">
        <v>16</v>
      </c>
      <c r="E47" s="82">
        <v>100</v>
      </c>
      <c r="F47" s="921">
        <f t="shared" si="4"/>
        <v>0.21149999999999999</v>
      </c>
      <c r="G47" s="83">
        <f t="shared" si="2"/>
        <v>152.28</v>
      </c>
      <c r="H47" s="148"/>
      <c r="I47" s="84"/>
      <c r="J47" s="28"/>
      <c r="K47" s="85">
        <f t="shared" si="3"/>
        <v>0</v>
      </c>
      <c r="M47" s="16"/>
      <c r="P47" s="62"/>
      <c r="R47" s="62"/>
    </row>
    <row r="48" spans="1:26" s="50" customFormat="1" ht="25" customHeight="1">
      <c r="A48" s="43"/>
      <c r="B48" s="135" t="s">
        <v>163</v>
      </c>
      <c r="C48" s="87">
        <v>8</v>
      </c>
      <c r="D48" s="87">
        <v>16</v>
      </c>
      <c r="E48" s="88">
        <v>500</v>
      </c>
      <c r="F48" s="922">
        <f t="shared" si="4"/>
        <v>0.26372222222222219</v>
      </c>
      <c r="G48" s="89">
        <f t="shared" si="2"/>
        <v>189.88</v>
      </c>
      <c r="H48" s="49"/>
      <c r="I48" s="84"/>
      <c r="J48" s="90"/>
      <c r="K48" s="91">
        <f t="shared" si="3"/>
        <v>0</v>
      </c>
      <c r="M48" s="16"/>
      <c r="P48" s="62"/>
      <c r="R48" s="62"/>
    </row>
    <row r="49" spans="1:18" s="50" customFormat="1" ht="25" customHeight="1">
      <c r="A49" s="43"/>
      <c r="B49" s="133" t="s">
        <v>164</v>
      </c>
      <c r="C49" s="81">
        <v>8</v>
      </c>
      <c r="D49" s="81">
        <v>16</v>
      </c>
      <c r="E49" s="82">
        <v>1000</v>
      </c>
      <c r="F49" s="921">
        <f t="shared" si="4"/>
        <v>0.32900000000000001</v>
      </c>
      <c r="G49" s="83">
        <f t="shared" si="2"/>
        <v>236.88</v>
      </c>
      <c r="H49" s="148"/>
      <c r="I49" s="84"/>
      <c r="J49" s="28"/>
      <c r="K49" s="85">
        <f t="shared" si="3"/>
        <v>0</v>
      </c>
      <c r="M49" s="16"/>
      <c r="P49" s="62"/>
      <c r="R49" s="62"/>
    </row>
    <row r="50" spans="1:18" s="50" customFormat="1" ht="25" customHeight="1">
      <c r="A50" s="43"/>
      <c r="B50" s="135" t="s">
        <v>165</v>
      </c>
      <c r="C50" s="87">
        <v>16</v>
      </c>
      <c r="D50" s="87">
        <v>32</v>
      </c>
      <c r="E50" s="88">
        <v>100</v>
      </c>
      <c r="F50" s="922">
        <f t="shared" si="4"/>
        <v>0.40994444444444439</v>
      </c>
      <c r="G50" s="89">
        <f t="shared" si="2"/>
        <v>295.15999999999997</v>
      </c>
      <c r="H50" s="49"/>
      <c r="I50" s="84"/>
      <c r="J50" s="90"/>
      <c r="K50" s="91">
        <f t="shared" si="3"/>
        <v>0</v>
      </c>
      <c r="M50" s="16"/>
      <c r="P50" s="62"/>
      <c r="R50" s="62"/>
    </row>
    <row r="51" spans="1:18" s="50" customFormat="1" ht="25" customHeight="1">
      <c r="A51" s="43"/>
      <c r="B51" s="133" t="s">
        <v>166</v>
      </c>
      <c r="C51" s="81">
        <v>16</v>
      </c>
      <c r="D51" s="81">
        <v>32</v>
      </c>
      <c r="E51" s="82">
        <v>500</v>
      </c>
      <c r="F51" s="921">
        <f t="shared" si="4"/>
        <v>0.46216666666666667</v>
      </c>
      <c r="G51" s="83">
        <f t="shared" si="2"/>
        <v>332.76</v>
      </c>
      <c r="H51" s="148"/>
      <c r="I51" s="84"/>
      <c r="J51" s="28"/>
      <c r="K51" s="85">
        <f t="shared" si="3"/>
        <v>0</v>
      </c>
      <c r="M51" s="16"/>
      <c r="P51" s="62"/>
      <c r="R51" s="62"/>
    </row>
    <row r="52" spans="1:18" s="50" customFormat="1" ht="25" customHeight="1">
      <c r="A52" s="43"/>
      <c r="B52" s="135" t="s">
        <v>167</v>
      </c>
      <c r="C52" s="87">
        <v>16</v>
      </c>
      <c r="D52" s="87">
        <v>32</v>
      </c>
      <c r="E52" s="88">
        <v>1000</v>
      </c>
      <c r="F52" s="922">
        <f t="shared" si="4"/>
        <v>0.52744444444444438</v>
      </c>
      <c r="G52" s="89">
        <f t="shared" si="2"/>
        <v>379.76</v>
      </c>
      <c r="H52" s="49"/>
      <c r="I52" s="84"/>
      <c r="J52" s="90"/>
      <c r="K52" s="91">
        <f t="shared" si="3"/>
        <v>0</v>
      </c>
      <c r="M52" s="16"/>
      <c r="P52" s="62"/>
      <c r="R52" s="62"/>
    </row>
    <row r="53" spans="1:18" s="50" customFormat="1" ht="25" customHeight="1">
      <c r="A53" s="43"/>
      <c r="B53" s="133" t="s">
        <v>631</v>
      </c>
      <c r="C53" s="81">
        <v>16</v>
      </c>
      <c r="D53" s="81">
        <v>64</v>
      </c>
      <c r="E53" s="82">
        <v>500</v>
      </c>
      <c r="F53" s="921">
        <f t="shared" si="4"/>
        <v>0.69194444444444447</v>
      </c>
      <c r="G53" s="83">
        <f t="shared" si="2"/>
        <v>498.2</v>
      </c>
      <c r="H53" s="148"/>
      <c r="I53" s="84"/>
      <c r="J53" s="28"/>
      <c r="K53" s="85">
        <f t="shared" si="3"/>
        <v>0</v>
      </c>
      <c r="M53" s="16"/>
      <c r="P53" s="62"/>
      <c r="R53" s="62"/>
    </row>
    <row r="54" spans="1:18" s="50" customFormat="1" ht="25" customHeight="1">
      <c r="A54" s="43"/>
      <c r="B54" s="135" t="s">
        <v>168</v>
      </c>
      <c r="C54" s="87">
        <v>32</v>
      </c>
      <c r="D54" s="87">
        <v>64</v>
      </c>
      <c r="E54" s="88">
        <v>1000</v>
      </c>
      <c r="F54" s="922">
        <f t="shared" si="4"/>
        <v>0.92433333333333334</v>
      </c>
      <c r="G54" s="89">
        <f t="shared" si="2"/>
        <v>665.52</v>
      </c>
      <c r="H54" s="49"/>
      <c r="I54" s="84"/>
      <c r="J54" s="90"/>
      <c r="K54" s="91">
        <f t="shared" si="3"/>
        <v>0</v>
      </c>
      <c r="M54" s="16"/>
      <c r="P54" s="62"/>
      <c r="R54" s="62"/>
    </row>
    <row r="55" spans="1:18" s="97" customFormat="1" ht="25" customHeight="1">
      <c r="A55" s="92"/>
      <c r="B55" s="93" t="s">
        <v>17</v>
      </c>
      <c r="C55" s="94">
        <f t="array" ref="C55">SUM(C41:C54*I41:I54)</f>
        <v>0</v>
      </c>
      <c r="D55" s="94" t="str">
        <f t="array" ref="D55">SUM(D41:D54*I41:I54)&amp;" GB"</f>
        <v>0 GB</v>
      </c>
      <c r="E55" s="95" t="str">
        <f t="array" ref="E55">SUM(E41:E54*I41:I54)&amp;" GB"</f>
        <v>0 GB</v>
      </c>
      <c r="F55" s="94"/>
      <c r="G55" s="94"/>
      <c r="H55" s="94"/>
      <c r="I55" s="94">
        <f>SUM(I41:I54)</f>
        <v>0</v>
      </c>
      <c r="J55" s="94"/>
      <c r="K55" s="96">
        <f>SUM(K41:K54)</f>
        <v>0</v>
      </c>
      <c r="M55" s="16"/>
      <c r="P55" s="98"/>
      <c r="R55" s="98"/>
    </row>
    <row r="56" spans="1:18" s="50" customFormat="1" ht="25" customHeight="1">
      <c r="A56" s="43"/>
      <c r="B56" s="99"/>
      <c r="C56" s="100"/>
      <c r="D56" s="100"/>
      <c r="E56" s="101"/>
      <c r="F56" s="102"/>
      <c r="G56" s="103"/>
      <c r="H56" s="928"/>
      <c r="I56" s="105"/>
      <c r="J56" s="106"/>
      <c r="K56" s="107"/>
      <c r="M56" s="16"/>
      <c r="P56" s="62"/>
      <c r="R56" s="62"/>
    </row>
    <row r="57" spans="1:18" s="50" customFormat="1" ht="25" customHeight="1">
      <c r="A57" s="43"/>
      <c r="B57" s="99"/>
      <c r="C57" s="100"/>
      <c r="D57" s="100"/>
      <c r="E57" s="101"/>
      <c r="F57" s="102"/>
      <c r="G57" s="103"/>
      <c r="H57" s="928"/>
      <c r="I57" s="105"/>
      <c r="J57" s="106"/>
      <c r="K57" s="107"/>
      <c r="M57" s="16"/>
      <c r="P57" s="62"/>
      <c r="R57" s="62"/>
    </row>
    <row r="58" spans="1:18" ht="25" customHeight="1">
      <c r="B58" s="108"/>
      <c r="C58" s="109"/>
      <c r="D58" s="109"/>
      <c r="E58" s="109"/>
      <c r="F58" s="109"/>
      <c r="G58" s="110"/>
      <c r="H58" s="929"/>
      <c r="I58" s="111"/>
      <c r="J58" s="109"/>
      <c r="K58" s="112"/>
      <c r="M58" s="16"/>
      <c r="P58" s="62"/>
      <c r="Q58" s="62"/>
      <c r="R58" s="79"/>
    </row>
    <row r="59" spans="1:18" s="78" customFormat="1" ht="25" customHeight="1">
      <c r="A59" s="73"/>
      <c r="B59" s="64" t="s">
        <v>18</v>
      </c>
      <c r="C59" s="113"/>
      <c r="D59" s="113"/>
      <c r="H59" s="930"/>
      <c r="K59" s="114"/>
      <c r="M59" s="16"/>
    </row>
    <row r="60" spans="1:18" ht="25" customHeight="1">
      <c r="B60" s="72" t="s">
        <v>9</v>
      </c>
      <c r="C60" s="78"/>
      <c r="D60" s="78"/>
      <c r="E60" s="78"/>
      <c r="F60" s="78"/>
      <c r="M60" s="16"/>
    </row>
    <row r="61" spans="1:18" s="78" customFormat="1" ht="25" customHeight="1">
      <c r="A61" s="115"/>
      <c r="B61" s="74" t="s">
        <v>10</v>
      </c>
      <c r="C61" s="75" t="s">
        <v>11</v>
      </c>
      <c r="D61" s="75" t="s">
        <v>12</v>
      </c>
      <c r="E61" s="2" t="s">
        <v>676</v>
      </c>
      <c r="F61" s="2" t="s">
        <v>13</v>
      </c>
      <c r="G61" s="2" t="s">
        <v>14</v>
      </c>
      <c r="H61" s="75"/>
      <c r="I61" s="76" t="s">
        <v>15</v>
      </c>
      <c r="J61" s="75"/>
      <c r="K61" s="77" t="s">
        <v>16</v>
      </c>
      <c r="M61" s="16"/>
      <c r="N61" s="8"/>
      <c r="O61" s="8"/>
      <c r="P61" s="62"/>
      <c r="Q61" s="62"/>
      <c r="R61" s="79"/>
    </row>
    <row r="62" spans="1:18" s="50" customFormat="1" ht="25" customHeight="1">
      <c r="A62" s="43"/>
      <c r="B62" s="133" t="s">
        <v>170</v>
      </c>
      <c r="C62" s="81">
        <v>1</v>
      </c>
      <c r="D62" s="81">
        <v>2</v>
      </c>
      <c r="E62" s="116">
        <v>0</v>
      </c>
      <c r="F62" s="83">
        <f t="shared" ref="F62:F71" si="5">G62/720</f>
        <v>2.4805555555555556E-2</v>
      </c>
      <c r="G62" s="83">
        <f t="shared" ref="G62:G71" si="6">C62*IAAS_vcpu_EUR+D62*IAAS_ram_EUR+E62*IAAS_ssd_EUR</f>
        <v>17.86</v>
      </c>
      <c r="H62" s="148"/>
      <c r="I62" s="84"/>
      <c r="J62" s="28"/>
      <c r="K62" s="85">
        <f t="shared" ref="K62:K71" si="7">ROUNDUP(I62*G62,2)</f>
        <v>0</v>
      </c>
      <c r="M62" s="16"/>
      <c r="N62" s="117"/>
      <c r="O62" s="118"/>
    </row>
    <row r="63" spans="1:18" s="50" customFormat="1" ht="25" customHeight="1">
      <c r="A63" s="43"/>
      <c r="B63" s="135" t="s">
        <v>171</v>
      </c>
      <c r="C63" s="87">
        <v>1</v>
      </c>
      <c r="D63" s="87">
        <v>4</v>
      </c>
      <c r="E63" s="119">
        <v>0</v>
      </c>
      <c r="F63" s="89">
        <f t="shared" si="5"/>
        <v>3.9166666666666669E-2</v>
      </c>
      <c r="G63" s="89">
        <f t="shared" si="6"/>
        <v>28.2</v>
      </c>
      <c r="H63" s="49"/>
      <c r="I63" s="84"/>
      <c r="J63" s="90"/>
      <c r="K63" s="91">
        <f t="shared" si="7"/>
        <v>0</v>
      </c>
      <c r="L63" s="120"/>
      <c r="M63" s="16"/>
      <c r="N63" s="117"/>
      <c r="O63" s="118"/>
    </row>
    <row r="64" spans="1:18" s="50" customFormat="1" ht="25" customHeight="1">
      <c r="A64" s="43"/>
      <c r="B64" s="133" t="s">
        <v>172</v>
      </c>
      <c r="C64" s="81">
        <v>2</v>
      </c>
      <c r="D64" s="81">
        <v>4</v>
      </c>
      <c r="E64" s="116">
        <v>0</v>
      </c>
      <c r="F64" s="83">
        <f t="shared" si="5"/>
        <v>4.9611111111111113E-2</v>
      </c>
      <c r="G64" s="83">
        <f t="shared" si="6"/>
        <v>35.72</v>
      </c>
      <c r="H64" s="148"/>
      <c r="I64" s="84"/>
      <c r="J64" s="28"/>
      <c r="K64" s="85">
        <f t="shared" si="7"/>
        <v>0</v>
      </c>
      <c r="L64" s="120"/>
      <c r="M64" s="16"/>
      <c r="N64" s="117"/>
      <c r="O64" s="118"/>
    </row>
    <row r="65" spans="1:19" s="50" customFormat="1" ht="25" customHeight="1">
      <c r="A65" s="43"/>
      <c r="B65" s="135" t="s">
        <v>173</v>
      </c>
      <c r="C65" s="87">
        <v>2</v>
      </c>
      <c r="D65" s="87">
        <v>8</v>
      </c>
      <c r="E65" s="119">
        <v>0</v>
      </c>
      <c r="F65" s="89">
        <f t="shared" si="5"/>
        <v>7.8333333333333338E-2</v>
      </c>
      <c r="G65" s="89">
        <f t="shared" si="6"/>
        <v>56.4</v>
      </c>
      <c r="H65" s="49"/>
      <c r="I65" s="84"/>
      <c r="J65" s="90"/>
      <c r="K65" s="91">
        <f t="shared" si="7"/>
        <v>0</v>
      </c>
      <c r="L65" s="120"/>
      <c r="M65" s="16"/>
      <c r="N65" s="117"/>
      <c r="O65" s="121"/>
    </row>
    <row r="66" spans="1:19" s="50" customFormat="1" ht="25" customHeight="1">
      <c r="A66" s="43"/>
      <c r="B66" s="133" t="s">
        <v>174</v>
      </c>
      <c r="C66" s="81">
        <v>4</v>
      </c>
      <c r="D66" s="81">
        <v>8</v>
      </c>
      <c r="E66" s="116">
        <v>0</v>
      </c>
      <c r="F66" s="83">
        <f t="shared" si="5"/>
        <v>9.9222222222222226E-2</v>
      </c>
      <c r="G66" s="83">
        <f t="shared" si="6"/>
        <v>71.44</v>
      </c>
      <c r="H66" s="148"/>
      <c r="I66" s="84"/>
      <c r="J66" s="28"/>
      <c r="K66" s="85">
        <f t="shared" si="7"/>
        <v>0</v>
      </c>
      <c r="L66" s="120"/>
      <c r="M66" s="16"/>
      <c r="N66" s="117"/>
    </row>
    <row r="67" spans="1:19" s="50" customFormat="1" ht="25" customHeight="1">
      <c r="A67" s="43"/>
      <c r="B67" s="135" t="s">
        <v>175</v>
      </c>
      <c r="C67" s="87">
        <v>4</v>
      </c>
      <c r="D67" s="87">
        <v>16</v>
      </c>
      <c r="E67" s="119">
        <v>0</v>
      </c>
      <c r="F67" s="89">
        <f t="shared" si="5"/>
        <v>0.15666666666666668</v>
      </c>
      <c r="G67" s="89">
        <f t="shared" si="6"/>
        <v>112.8</v>
      </c>
      <c r="H67" s="49"/>
      <c r="I67" s="84"/>
      <c r="J67" s="90"/>
      <c r="K67" s="91">
        <f t="shared" si="7"/>
        <v>0</v>
      </c>
      <c r="L67" s="120"/>
      <c r="M67" s="16"/>
    </row>
    <row r="68" spans="1:19" s="50" customFormat="1" ht="25" customHeight="1">
      <c r="A68" s="43"/>
      <c r="B68" s="133" t="s">
        <v>176</v>
      </c>
      <c r="C68" s="81">
        <v>8</v>
      </c>
      <c r="D68" s="81">
        <v>16</v>
      </c>
      <c r="E68" s="116">
        <v>0</v>
      </c>
      <c r="F68" s="83">
        <f t="shared" si="5"/>
        <v>0.19844444444444445</v>
      </c>
      <c r="G68" s="83">
        <f t="shared" si="6"/>
        <v>142.88</v>
      </c>
      <c r="H68" s="148"/>
      <c r="I68" s="84"/>
      <c r="J68" s="28"/>
      <c r="K68" s="85">
        <f t="shared" si="7"/>
        <v>0</v>
      </c>
      <c r="L68" s="120"/>
      <c r="M68" s="16"/>
    </row>
    <row r="69" spans="1:19" s="50" customFormat="1" ht="25" customHeight="1">
      <c r="A69" s="43"/>
      <c r="B69" s="135" t="s">
        <v>177</v>
      </c>
      <c r="C69" s="87">
        <v>8</v>
      </c>
      <c r="D69" s="87">
        <v>32</v>
      </c>
      <c r="E69" s="119">
        <v>0</v>
      </c>
      <c r="F69" s="89">
        <f t="shared" si="5"/>
        <v>0.31333333333333335</v>
      </c>
      <c r="G69" s="89">
        <f t="shared" si="6"/>
        <v>225.6</v>
      </c>
      <c r="H69" s="49"/>
      <c r="I69" s="84"/>
      <c r="J69" s="90"/>
      <c r="K69" s="91">
        <f t="shared" si="7"/>
        <v>0</v>
      </c>
      <c r="L69" s="120"/>
      <c r="M69" s="16"/>
    </row>
    <row r="70" spans="1:19" s="50" customFormat="1" ht="25" customHeight="1">
      <c r="A70" s="43"/>
      <c r="B70" s="133" t="s">
        <v>178</v>
      </c>
      <c r="C70" s="81">
        <v>16</v>
      </c>
      <c r="D70" s="81">
        <v>32</v>
      </c>
      <c r="E70" s="116">
        <v>0</v>
      </c>
      <c r="F70" s="83">
        <f t="shared" si="5"/>
        <v>0.3968888888888889</v>
      </c>
      <c r="G70" s="83">
        <f t="shared" si="6"/>
        <v>285.76</v>
      </c>
      <c r="H70" s="148"/>
      <c r="I70" s="84"/>
      <c r="J70" s="28"/>
      <c r="K70" s="85">
        <f t="shared" si="7"/>
        <v>0</v>
      </c>
      <c r="L70" s="120"/>
      <c r="M70" s="16"/>
      <c r="P70" s="62"/>
      <c r="Q70" s="62"/>
      <c r="R70" s="62"/>
    </row>
    <row r="71" spans="1:19" s="50" customFormat="1" ht="25" customHeight="1">
      <c r="A71" s="43"/>
      <c r="B71" s="135" t="s">
        <v>179</v>
      </c>
      <c r="C71" s="87">
        <v>16</v>
      </c>
      <c r="D71" s="87">
        <v>64</v>
      </c>
      <c r="E71" s="119">
        <v>0</v>
      </c>
      <c r="F71" s="89">
        <f t="shared" si="5"/>
        <v>0.62666666666666671</v>
      </c>
      <c r="G71" s="89">
        <f t="shared" si="6"/>
        <v>451.2</v>
      </c>
      <c r="H71" s="49"/>
      <c r="I71" s="84"/>
      <c r="J71" s="90"/>
      <c r="K71" s="91">
        <f t="shared" si="7"/>
        <v>0</v>
      </c>
      <c r="L71" s="120"/>
      <c r="M71" s="16"/>
      <c r="P71" s="62"/>
      <c r="Q71" s="62"/>
      <c r="R71" s="62"/>
    </row>
    <row r="72" spans="1:19" s="97" customFormat="1" ht="25" customHeight="1">
      <c r="A72" s="43"/>
      <c r="B72" s="93" t="s">
        <v>17</v>
      </c>
      <c r="C72" s="94">
        <f t="array" ref="C72">SUM(C62:C71*I62:I71)</f>
        <v>0</v>
      </c>
      <c r="D72" s="94">
        <f t="array" ref="D72">SUM(D62:D71*I62:I71)</f>
        <v>0</v>
      </c>
      <c r="E72" s="122" t="s">
        <v>19</v>
      </c>
      <c r="F72" s="94"/>
      <c r="G72" s="94"/>
      <c r="H72" s="94"/>
      <c r="I72" s="94">
        <f>SUM(I62:I71)</f>
        <v>0</v>
      </c>
      <c r="J72" s="94"/>
      <c r="K72" s="123">
        <f>SUM(K62:K71)</f>
        <v>0</v>
      </c>
      <c r="M72" s="16"/>
      <c r="P72" s="98"/>
      <c r="R72" s="98"/>
    </row>
    <row r="73" spans="1:19" s="50" customFormat="1" ht="25" customHeight="1">
      <c r="A73" s="43"/>
      <c r="B73" s="100"/>
      <c r="C73" s="100"/>
      <c r="D73" s="100"/>
      <c r="E73" s="101"/>
      <c r="F73" s="102"/>
      <c r="G73" s="103"/>
      <c r="H73" s="928"/>
      <c r="I73" s="105"/>
      <c r="J73" s="106"/>
      <c r="K73" s="124"/>
      <c r="M73" s="16"/>
      <c r="P73" s="62"/>
      <c r="R73" s="62"/>
    </row>
    <row r="74" spans="1:19" s="50" customFormat="1" ht="25" customHeight="1">
      <c r="A74" s="43"/>
      <c r="B74" s="100"/>
      <c r="C74" s="100"/>
      <c r="D74" s="100"/>
      <c r="E74" s="101"/>
      <c r="F74" s="102"/>
      <c r="G74" s="103"/>
      <c r="H74" s="928"/>
      <c r="I74" s="105"/>
      <c r="J74" s="106"/>
      <c r="K74" s="124"/>
      <c r="M74" s="16"/>
      <c r="P74" s="62"/>
      <c r="R74" s="62"/>
    </row>
    <row r="75" spans="1:19" ht="25" customHeight="1">
      <c r="B75" s="108"/>
      <c r="C75" s="109"/>
      <c r="D75" s="109"/>
      <c r="E75" s="109"/>
      <c r="F75" s="109"/>
      <c r="G75" s="110"/>
      <c r="H75" s="929"/>
      <c r="I75" s="111"/>
      <c r="J75" s="109"/>
      <c r="K75" s="125"/>
      <c r="M75" s="16"/>
      <c r="P75" s="62"/>
      <c r="Q75" s="62"/>
      <c r="R75" s="79"/>
    </row>
    <row r="76" spans="1:19" s="78" customFormat="1" ht="25" customHeight="1">
      <c r="A76" s="73"/>
      <c r="B76" s="64" t="s">
        <v>20</v>
      </c>
      <c r="C76" s="113"/>
      <c r="D76" s="113"/>
      <c r="H76" s="930"/>
      <c r="K76" s="126"/>
      <c r="M76" s="16"/>
    </row>
    <row r="77" spans="1:19" ht="25" customHeight="1">
      <c r="B77" s="72" t="s">
        <v>670</v>
      </c>
      <c r="K77" s="127"/>
      <c r="M77" s="16"/>
    </row>
    <row r="78" spans="1:19" s="130" customFormat="1" ht="25" customHeight="1">
      <c r="A78" s="115"/>
      <c r="B78" s="74" t="s">
        <v>10</v>
      </c>
      <c r="C78" s="128" t="s">
        <v>11</v>
      </c>
      <c r="D78" s="128" t="s">
        <v>12</v>
      </c>
      <c r="E78" s="129" t="s">
        <v>676</v>
      </c>
      <c r="F78" s="1" t="s">
        <v>628</v>
      </c>
      <c r="G78" s="2" t="s">
        <v>13</v>
      </c>
      <c r="H78" s="1" t="s">
        <v>14</v>
      </c>
      <c r="I78" s="76" t="s">
        <v>15</v>
      </c>
      <c r="J78" s="75"/>
      <c r="K78" s="77" t="s">
        <v>16</v>
      </c>
      <c r="M78" s="16"/>
      <c r="O78" s="131"/>
      <c r="P78" s="132"/>
      <c r="Q78" s="132"/>
      <c r="R78" s="132"/>
      <c r="S78" s="131"/>
    </row>
    <row r="79" spans="1:19" s="50" customFormat="1" ht="25" customHeight="1">
      <c r="A79" s="43"/>
      <c r="B79" s="133" t="s">
        <v>632</v>
      </c>
      <c r="C79" s="81">
        <v>4</v>
      </c>
      <c r="D79" s="81">
        <v>16</v>
      </c>
      <c r="E79" s="116">
        <v>125</v>
      </c>
      <c r="F79" s="116" t="s">
        <v>629</v>
      </c>
      <c r="G79" s="915">
        <f>H79/720</f>
        <v>0.43670833333333337</v>
      </c>
      <c r="H79" s="931">
        <f>C79*IAAS_vcpu_EUR+D79*IAAS_ram_EUR+E79*IAAS_nvme_EUR+IAAS_GPU_A2_EUR</f>
        <v>314.43</v>
      </c>
      <c r="I79" s="84"/>
      <c r="J79" s="28"/>
      <c r="K79" s="917">
        <f>ROUNDUP(I79*H79,2)</f>
        <v>0</v>
      </c>
      <c r="M79" s="16"/>
      <c r="N79" s="117"/>
      <c r="O79" s="118"/>
    </row>
    <row r="80" spans="1:19" s="50" customFormat="1" ht="25" customHeight="1">
      <c r="A80" s="43"/>
      <c r="B80" s="135" t="s">
        <v>24</v>
      </c>
      <c r="C80" s="87">
        <v>8</v>
      </c>
      <c r="D80" s="87">
        <v>32</v>
      </c>
      <c r="E80" s="119">
        <v>250</v>
      </c>
      <c r="F80" s="119" t="s">
        <v>629</v>
      </c>
      <c r="G80" s="916">
        <f>H80/720</f>
        <v>0.60969444444444443</v>
      </c>
      <c r="H80" s="932">
        <f>C80*IAAS_vcpu_EUR+D80*IAAS_ram_EUR+E80*IAAS_nvme_EUR+IAAS_GPU_A2_EUR</f>
        <v>438.98</v>
      </c>
      <c r="I80" s="84"/>
      <c r="J80" s="90"/>
      <c r="K80" s="918">
        <f>ROUNDUP(I80*H80,2)</f>
        <v>0</v>
      </c>
      <c r="L80" s="120"/>
      <c r="M80" s="16"/>
      <c r="N80" s="117"/>
      <c r="O80" s="118"/>
    </row>
    <row r="81" spans="1:20" s="50" customFormat="1" ht="25" customHeight="1">
      <c r="A81" s="43"/>
      <c r="B81" s="133" t="s">
        <v>25</v>
      </c>
      <c r="C81" s="81">
        <v>4</v>
      </c>
      <c r="D81" s="81">
        <v>8</v>
      </c>
      <c r="E81" s="116">
        <v>0</v>
      </c>
      <c r="F81" s="116" t="s">
        <v>629</v>
      </c>
      <c r="G81" s="915">
        <f>H81/720</f>
        <v>0.36294444444444446</v>
      </c>
      <c r="H81" s="931">
        <f>C81*IAAS_vcpu_EUR+D81*IAAS_ram_EUR+E81*IAAS_nvme_EUR+IAAS_GPU_A2_EUR</f>
        <v>261.32</v>
      </c>
      <c r="I81" s="84"/>
      <c r="J81" s="28"/>
      <c r="K81" s="917">
        <f>ROUNDUP(I81*H81,2)</f>
        <v>0</v>
      </c>
      <c r="L81" s="120"/>
      <c r="M81" s="16"/>
      <c r="N81" s="117"/>
      <c r="O81" s="118"/>
    </row>
    <row r="82" spans="1:20" s="50" customFormat="1" ht="25" customHeight="1">
      <c r="A82" s="43"/>
      <c r="B82" s="396" t="s">
        <v>181</v>
      </c>
      <c r="C82" s="87">
        <v>8</v>
      </c>
      <c r="D82" s="87">
        <v>16</v>
      </c>
      <c r="E82" s="119">
        <v>0</v>
      </c>
      <c r="F82" s="119" t="s">
        <v>629</v>
      </c>
      <c r="G82" s="916">
        <f t="shared" ref="G82" si="8">H82/720</f>
        <v>0.46216666666666667</v>
      </c>
      <c r="H82" s="932">
        <f>C82*IAAS_vcpu_EUR+D82*IAAS_ram_EUR+E82*IAAS_nvme_EUR+IAAS_GPU_A2_EUR</f>
        <v>332.76</v>
      </c>
      <c r="I82" s="84"/>
      <c r="J82" s="90"/>
      <c r="K82" s="918">
        <f t="shared" ref="K82:K83" si="9">ROUNDUP(I82*H82,2)</f>
        <v>0</v>
      </c>
      <c r="L82" s="120"/>
      <c r="M82" s="16"/>
      <c r="N82" s="117"/>
      <c r="O82" s="121"/>
    </row>
    <row r="83" spans="1:20" s="50" customFormat="1" ht="25" customHeight="1">
      <c r="A83" s="43"/>
      <c r="B83" s="133" t="s">
        <v>626</v>
      </c>
      <c r="C83" s="81">
        <v>32</v>
      </c>
      <c r="D83" s="81">
        <v>192</v>
      </c>
      <c r="E83" s="116">
        <v>0</v>
      </c>
      <c r="F83" s="116" t="s">
        <v>630</v>
      </c>
      <c r="G83" s="915">
        <f>H83/720</f>
        <v>3.1364666666666672</v>
      </c>
      <c r="H83" s="931">
        <f>C83*IAAS_vcpu_EUR+D83*IAAS_ram_EUR+E83*IAAS_nvme_EUR+IAAS_GPU_H100_EUR</f>
        <v>2258.2560000000003</v>
      </c>
      <c r="I83" s="84"/>
      <c r="J83" s="28"/>
      <c r="K83" s="917">
        <f t="shared" si="9"/>
        <v>0</v>
      </c>
      <c r="L83" s="120"/>
      <c r="M83" s="16"/>
      <c r="N83" s="117"/>
      <c r="O83" s="121"/>
    </row>
    <row r="84" spans="1:20" s="97" customFormat="1" ht="25" customHeight="1">
      <c r="A84" s="43"/>
      <c r="B84" s="93" t="s">
        <v>17</v>
      </c>
      <c r="C84" s="94">
        <f>SUMPRODUCT(C79:C83,I79:I83)</f>
        <v>0</v>
      </c>
      <c r="D84" s="94" t="str">
        <f>SUMPRODUCT(D79:D83,I79:I83)&amp;" GB"</f>
        <v>0 GB</v>
      </c>
      <c r="E84" s="94" t="str">
        <f>SUMPRODUCT(E79:E83,I79:I83)&amp;" GB"</f>
        <v>0 GB</v>
      </c>
      <c r="F84" s="94"/>
      <c r="G84" s="94"/>
      <c r="H84" s="94"/>
      <c r="I84" s="94">
        <f>SUM(I79:I83)</f>
        <v>0</v>
      </c>
      <c r="J84" s="94"/>
      <c r="K84" s="919">
        <f>SUM(K79:K83)</f>
        <v>0</v>
      </c>
      <c r="M84" s="16"/>
      <c r="N84" s="50"/>
      <c r="P84" s="98"/>
      <c r="R84" s="98"/>
    </row>
    <row r="85" spans="1:20" s="50" customFormat="1" ht="25" customHeight="1">
      <c r="A85" s="43"/>
      <c r="B85" s="100"/>
      <c r="C85" s="100"/>
      <c r="D85" s="100"/>
      <c r="E85" s="101"/>
      <c r="F85" s="102"/>
      <c r="G85" s="103"/>
      <c r="H85" s="928"/>
      <c r="I85" s="105"/>
      <c r="J85" s="106"/>
      <c r="K85" s="124"/>
      <c r="M85" s="16"/>
      <c r="P85" s="62"/>
      <c r="R85" s="62"/>
    </row>
    <row r="86" spans="1:20" s="50" customFormat="1" ht="25" customHeight="1">
      <c r="A86" s="43"/>
      <c r="B86" s="100"/>
      <c r="C86" s="100"/>
      <c r="D86" s="100"/>
      <c r="E86" s="101"/>
      <c r="F86" s="102"/>
      <c r="G86" s="103"/>
      <c r="H86" s="928"/>
      <c r="I86" s="105"/>
      <c r="J86" s="106"/>
      <c r="K86" s="124"/>
      <c r="M86" s="16"/>
      <c r="P86" s="62"/>
      <c r="R86" s="62"/>
    </row>
    <row r="87" spans="1:20" ht="25" customHeight="1">
      <c r="B87" s="108"/>
      <c r="C87" s="109"/>
      <c r="D87" s="109"/>
      <c r="E87" s="109"/>
      <c r="F87" s="109"/>
      <c r="G87" s="110"/>
      <c r="H87" s="929"/>
      <c r="I87" s="111"/>
      <c r="J87" s="109"/>
      <c r="K87" s="125"/>
      <c r="M87" s="16"/>
      <c r="P87" s="62"/>
      <c r="Q87" s="62"/>
      <c r="R87" s="79"/>
    </row>
    <row r="88" spans="1:20" ht="25" customHeight="1">
      <c r="A88" s="43"/>
      <c r="B88" s="64" t="s">
        <v>35</v>
      </c>
      <c r="C88" s="156"/>
      <c r="D88" s="156"/>
      <c r="E88" s="156"/>
      <c r="F88" s="156"/>
      <c r="G88" s="156"/>
      <c r="H88" s="933"/>
      <c r="I88" s="154"/>
      <c r="J88" s="154"/>
      <c r="K88" s="155"/>
      <c r="L88" s="171"/>
      <c r="M88" s="16"/>
      <c r="N88" s="50"/>
      <c r="O88" s="50"/>
      <c r="P88" s="50"/>
      <c r="Q88" s="50"/>
      <c r="R88" s="62"/>
      <c r="S88" s="50"/>
      <c r="T88" s="79"/>
    </row>
    <row r="89" spans="1:20" ht="25" customHeight="1">
      <c r="B89" s="72" t="s">
        <v>21</v>
      </c>
      <c r="M89" s="16"/>
    </row>
    <row r="90" spans="1:20" s="175" customFormat="1" ht="25" customHeight="1">
      <c r="A90" s="6"/>
      <c r="B90" s="74" t="s">
        <v>10</v>
      </c>
      <c r="C90" s="172" t="s">
        <v>36</v>
      </c>
      <c r="D90" s="172"/>
      <c r="E90" s="172"/>
      <c r="F90" s="1" t="s">
        <v>13</v>
      </c>
      <c r="G90" s="2" t="s">
        <v>14</v>
      </c>
      <c r="H90" s="1"/>
      <c r="I90" s="173" t="s">
        <v>37</v>
      </c>
      <c r="J90" s="172"/>
      <c r="K90" s="174" t="s">
        <v>38</v>
      </c>
      <c r="L90" s="132"/>
      <c r="M90" s="16"/>
      <c r="N90" s="132"/>
      <c r="R90" s="176"/>
      <c r="S90" s="176"/>
      <c r="T90" s="177"/>
    </row>
    <row r="91" spans="1:20" s="50" customFormat="1" ht="25" customHeight="1">
      <c r="A91" s="178"/>
      <c r="B91" s="133" t="s">
        <v>39</v>
      </c>
      <c r="C91" s="179" t="s">
        <v>40</v>
      </c>
      <c r="D91" s="180"/>
      <c r="E91" s="180"/>
      <c r="F91" s="181">
        <f>G91/720</f>
        <v>1.5666666666666666E-4</v>
      </c>
      <c r="G91" s="182">
        <f>VOLUME_large_EUR</f>
        <v>0.1128</v>
      </c>
      <c r="H91" s="934"/>
      <c r="I91" s="183"/>
      <c r="J91" s="184"/>
      <c r="K91" s="185">
        <f>ROUNDUP(I91*G91,2)</f>
        <v>0</v>
      </c>
      <c r="L91" s="154"/>
      <c r="M91" s="16"/>
    </row>
    <row r="92" spans="1:20" s="50" customFormat="1" ht="25" customHeight="1">
      <c r="A92" s="43"/>
      <c r="B92" s="135" t="s">
        <v>41</v>
      </c>
      <c r="C92" s="50" t="s">
        <v>42</v>
      </c>
      <c r="D92" s="167"/>
      <c r="E92" s="167"/>
      <c r="F92" s="186">
        <f>G92/720</f>
        <v>4.7000000000000004E-4</v>
      </c>
      <c r="G92" s="187">
        <f>VOLUME_fast_EUR</f>
        <v>0.33840000000000003</v>
      </c>
      <c r="H92" s="935"/>
      <c r="I92" s="189"/>
      <c r="J92" s="190"/>
      <c r="K92" s="191">
        <f>ROUNDUP(I92*G92,2)</f>
        <v>0</v>
      </c>
      <c r="L92" s="154"/>
      <c r="M92" s="16"/>
      <c r="T92" s="62"/>
    </row>
    <row r="93" spans="1:20" s="50" customFormat="1" ht="25" customHeight="1">
      <c r="A93" s="43"/>
      <c r="B93" s="133" t="s">
        <v>43</v>
      </c>
      <c r="C93" s="179" t="s">
        <v>44</v>
      </c>
      <c r="D93" s="180"/>
      <c r="E93" s="180"/>
      <c r="F93" s="181">
        <f>G93/720</f>
        <v>1.5666666666666666E-4</v>
      </c>
      <c r="G93" s="182">
        <f>VOLUME_large_EUR</f>
        <v>0.1128</v>
      </c>
      <c r="H93" s="936"/>
      <c r="I93" s="183"/>
      <c r="J93" s="184"/>
      <c r="K93" s="185">
        <f>ROUNDUP(I93*G93,2)</f>
        <v>0</v>
      </c>
      <c r="L93" s="154"/>
      <c r="M93" s="16"/>
    </row>
    <row r="94" spans="1:20" s="97" customFormat="1" ht="25" customHeight="1">
      <c r="A94" s="43"/>
      <c r="B94" s="93" t="s">
        <v>17</v>
      </c>
      <c r="C94" s="94"/>
      <c r="D94" s="94"/>
      <c r="E94" s="94"/>
      <c r="F94" s="94"/>
      <c r="G94" s="94"/>
      <c r="H94" s="94"/>
      <c r="I94" s="94" t="str">
        <f>SUM(I91:I93)&amp;" GB"</f>
        <v>0 GB</v>
      </c>
      <c r="J94" s="94"/>
      <c r="K94" s="123">
        <f>SUM(K91:K93)</f>
        <v>0</v>
      </c>
      <c r="M94" s="16"/>
      <c r="P94" s="98"/>
      <c r="R94" s="98"/>
    </row>
    <row r="95" spans="1:20" ht="25" customHeight="1">
      <c r="A95" s="92"/>
      <c r="B95" s="168"/>
      <c r="C95" s="169"/>
      <c r="D95" s="169"/>
      <c r="E95" s="169"/>
      <c r="F95" s="169"/>
      <c r="G95" s="169"/>
      <c r="H95" s="937"/>
      <c r="I95" s="192"/>
      <c r="J95" s="192"/>
      <c r="K95" s="193"/>
      <c r="L95" s="194"/>
      <c r="M95" s="16"/>
    </row>
    <row r="96" spans="1:20" ht="25" customHeight="1">
      <c r="A96" s="92"/>
      <c r="B96" s="168"/>
      <c r="C96" s="169"/>
      <c r="D96" s="169"/>
      <c r="E96" s="169"/>
      <c r="F96" s="169"/>
      <c r="G96" s="169"/>
      <c r="H96" s="937"/>
      <c r="I96" s="192"/>
      <c r="J96" s="192"/>
      <c r="K96" s="193"/>
      <c r="L96" s="194"/>
      <c r="M96" s="16"/>
    </row>
    <row r="97" spans="1:20" s="34" customFormat="1" ht="25" customHeight="1">
      <c r="A97" s="6"/>
      <c r="B97" s="168"/>
      <c r="C97" s="169"/>
      <c r="D97" s="169"/>
      <c r="E97" s="169"/>
      <c r="F97" s="169"/>
      <c r="G97" s="169"/>
      <c r="H97" s="192"/>
      <c r="I97" s="192"/>
      <c r="J97" s="192"/>
      <c r="K97" s="193"/>
      <c r="L97" s="195"/>
      <c r="M97" s="16"/>
    </row>
    <row r="98" spans="1:20" s="34" customFormat="1" ht="25" customHeight="1">
      <c r="A98" s="43"/>
      <c r="B98" s="957" t="s">
        <v>45</v>
      </c>
      <c r="C98" s="957"/>
      <c r="D98" s="957"/>
      <c r="E98" s="957"/>
      <c r="F98" s="957"/>
      <c r="G98" s="957"/>
      <c r="H98" s="924"/>
      <c r="J98" s="49"/>
      <c r="K98" s="47"/>
      <c r="M98" s="16"/>
    </row>
    <row r="99" spans="1:20" s="34" customFormat="1" ht="25" customHeight="1">
      <c r="A99" s="43"/>
      <c r="B99" s="957"/>
      <c r="C99" s="957"/>
      <c r="D99" s="957"/>
      <c r="E99" s="957"/>
      <c r="F99" s="957"/>
      <c r="G99" s="957"/>
      <c r="H99" s="924"/>
      <c r="J99" s="49"/>
      <c r="K99" s="47"/>
      <c r="M99" s="16"/>
    </row>
    <row r="100" spans="1:20" s="34" customFormat="1" ht="25" customHeight="1">
      <c r="A100" s="43"/>
      <c r="B100" s="957"/>
      <c r="C100" s="957"/>
      <c r="D100" s="957"/>
      <c r="E100" s="957"/>
      <c r="F100" s="957"/>
      <c r="G100" s="957"/>
      <c r="H100" s="924"/>
      <c r="J100" s="49"/>
      <c r="K100" s="47"/>
      <c r="M100" s="16"/>
    </row>
    <row r="101" spans="1:20" s="34" customFormat="1" ht="25" customHeight="1">
      <c r="A101" s="43"/>
      <c r="B101" s="51" t="s">
        <v>46</v>
      </c>
      <c r="C101" s="51"/>
      <c r="D101" s="51"/>
      <c r="E101" s="51"/>
      <c r="F101" s="51"/>
      <c r="H101" s="924"/>
      <c r="J101" s="49"/>
      <c r="K101" s="47"/>
      <c r="M101" s="16"/>
    </row>
    <row r="102" spans="1:20" s="200" customFormat="1" ht="25" customHeight="1">
      <c r="A102" s="43"/>
      <c r="B102" s="4" t="s">
        <v>6</v>
      </c>
      <c r="C102" s="4"/>
      <c r="D102" s="4"/>
      <c r="E102" s="4"/>
      <c r="F102" s="4"/>
      <c r="G102" s="196"/>
      <c r="H102" s="938"/>
      <c r="I102" s="196"/>
      <c r="J102" s="198"/>
      <c r="K102" s="199"/>
      <c r="L102" s="196"/>
      <c r="M102" s="16"/>
    </row>
    <row r="103" spans="1:20" s="34" customFormat="1" ht="25" customHeight="1">
      <c r="A103" s="201"/>
      <c r="B103" s="58" t="s">
        <v>7</v>
      </c>
      <c r="C103" s="59"/>
      <c r="D103" s="59"/>
      <c r="E103" s="60"/>
      <c r="F103" s="60"/>
      <c r="G103" s="53"/>
      <c r="H103" s="925"/>
      <c r="I103" s="53"/>
      <c r="J103" s="55"/>
      <c r="K103" s="56"/>
      <c r="L103" s="61"/>
      <c r="M103" s="16"/>
      <c r="O103" s="50"/>
      <c r="P103" s="50"/>
    </row>
    <row r="104" spans="1:20" s="50" customFormat="1" ht="25" customHeight="1">
      <c r="A104" s="43"/>
      <c r="B104" s="170"/>
      <c r="C104" s="153"/>
      <c r="D104" s="153"/>
      <c r="E104" s="153"/>
      <c r="F104" s="153"/>
      <c r="G104" s="153"/>
      <c r="H104" s="933"/>
      <c r="I104" s="154"/>
      <c r="J104" s="154"/>
      <c r="K104" s="155"/>
      <c r="L104" s="171"/>
      <c r="M104" s="16"/>
      <c r="R104" s="62"/>
      <c r="T104" s="62"/>
    </row>
    <row r="105" spans="1:20" s="34" customFormat="1" ht="25" customHeight="1">
      <c r="A105" s="43"/>
      <c r="B105" s="74" t="s">
        <v>10</v>
      </c>
      <c r="C105" s="202"/>
      <c r="D105" s="2"/>
      <c r="E105" s="2"/>
      <c r="F105" s="172"/>
      <c r="G105" s="2" t="s">
        <v>47</v>
      </c>
      <c r="H105" s="1"/>
      <c r="I105" s="173" t="s">
        <v>48</v>
      </c>
      <c r="J105" s="2"/>
      <c r="K105" s="174" t="s">
        <v>38</v>
      </c>
      <c r="L105" s="57"/>
      <c r="M105" s="16"/>
      <c r="N105" s="50"/>
    </row>
    <row r="106" spans="1:20" s="209" customFormat="1" ht="25" customHeight="1">
      <c r="A106" s="43"/>
      <c r="B106" s="133" t="s">
        <v>49</v>
      </c>
      <c r="C106" s="180" t="s">
        <v>656</v>
      </c>
      <c r="D106" s="203"/>
      <c r="E106" s="203"/>
      <c r="F106" s="204"/>
      <c r="G106" s="205">
        <f>S3_archive.50_EUR</f>
        <v>32.9</v>
      </c>
      <c r="H106" s="146"/>
      <c r="I106" s="206"/>
      <c r="J106" s="207"/>
      <c r="K106" s="185">
        <f>I106*G106</f>
        <v>0</v>
      </c>
      <c r="L106" s="208"/>
      <c r="M106" s="16"/>
      <c r="N106" s="167"/>
    </row>
    <row r="107" spans="1:20" s="50" customFormat="1" ht="25" customHeight="1">
      <c r="A107" s="210"/>
      <c r="B107" s="135" t="s">
        <v>50</v>
      </c>
      <c r="C107" s="50" t="s">
        <v>657</v>
      </c>
      <c r="D107" s="167"/>
      <c r="E107" s="167"/>
      <c r="F107" s="188"/>
      <c r="G107" s="211">
        <f>S3_storage50_EUR</f>
        <v>47</v>
      </c>
      <c r="H107" s="150"/>
      <c r="I107" s="213"/>
      <c r="J107" s="190"/>
      <c r="K107" s="191">
        <f>I107*G107</f>
        <v>0</v>
      </c>
      <c r="L107" s="154"/>
      <c r="M107" s="16"/>
      <c r="T107" s="62"/>
    </row>
    <row r="108" spans="1:20" s="97" customFormat="1" ht="25" customHeight="1">
      <c r="A108" s="43"/>
      <c r="B108" s="93" t="s">
        <v>17</v>
      </c>
      <c r="C108" s="94"/>
      <c r="D108" s="94"/>
      <c r="E108" s="94"/>
      <c r="F108" s="94"/>
      <c r="G108" s="94"/>
      <c r="H108" s="94"/>
      <c r="I108" s="94"/>
      <c r="J108" s="94"/>
      <c r="K108" s="123">
        <f>SUM(K106:K107)</f>
        <v>0</v>
      </c>
      <c r="M108" s="16"/>
      <c r="P108" s="98"/>
      <c r="R108" s="98"/>
    </row>
    <row r="109" spans="1:20" ht="25" customHeight="1">
      <c r="A109" s="92"/>
      <c r="B109" s="108"/>
      <c r="C109" s="109"/>
      <c r="D109" s="109"/>
      <c r="E109" s="109"/>
      <c r="F109" s="109"/>
      <c r="G109" s="110"/>
      <c r="H109" s="929"/>
      <c r="I109" s="111"/>
      <c r="M109" s="16"/>
      <c r="N109" s="62"/>
      <c r="O109" s="62"/>
      <c r="P109" s="79"/>
    </row>
    <row r="110" spans="1:20" s="143" customFormat="1" ht="25" customHeight="1">
      <c r="A110" s="43"/>
      <c r="B110" s="4"/>
      <c r="C110" s="139"/>
      <c r="D110" s="60"/>
      <c r="E110" s="60"/>
      <c r="F110" s="60"/>
      <c r="G110" s="53"/>
      <c r="H110" s="925"/>
      <c r="I110" s="104"/>
      <c r="J110" s="61"/>
      <c r="K110" s="56"/>
      <c r="L110" s="57"/>
      <c r="M110" s="16"/>
      <c r="N110" s="175"/>
      <c r="O110" s="175"/>
      <c r="P110" s="175"/>
      <c r="Q110" s="175"/>
      <c r="R110" s="175"/>
      <c r="S110" s="175"/>
    </row>
    <row r="111" spans="1:20" ht="25" customHeight="1">
      <c r="A111" s="144"/>
      <c r="B111" s="227"/>
      <c r="C111" s="228"/>
      <c r="D111" s="228"/>
      <c r="E111" s="228"/>
      <c r="F111" s="229"/>
      <c r="G111" s="230"/>
      <c r="H111" s="192"/>
      <c r="I111" s="192"/>
      <c r="J111" s="192"/>
      <c r="K111" s="193"/>
      <c r="L111" s="194"/>
      <c r="M111" s="16"/>
      <c r="N111" s="50"/>
      <c r="Q111" s="34"/>
    </row>
    <row r="112" spans="1:20" s="34" customFormat="1" ht="25" customHeight="1">
      <c r="A112" s="6"/>
      <c r="B112" s="957" t="s">
        <v>60</v>
      </c>
      <c r="C112" s="957"/>
      <c r="D112" s="957"/>
      <c r="E112" s="957"/>
      <c r="F112" s="957"/>
      <c r="G112" s="957"/>
      <c r="H112" s="924"/>
      <c r="J112" s="49"/>
      <c r="K112" s="47"/>
      <c r="L112" s="49"/>
      <c r="M112" s="16"/>
    </row>
    <row r="113" spans="1:32" s="34" customFormat="1" ht="25" customHeight="1">
      <c r="A113" s="43"/>
      <c r="B113" s="957"/>
      <c r="C113" s="957"/>
      <c r="D113" s="957"/>
      <c r="E113" s="957"/>
      <c r="F113" s="957"/>
      <c r="G113" s="957"/>
      <c r="H113" s="924"/>
      <c r="J113" s="49"/>
      <c r="K113" s="47"/>
      <c r="L113" s="49"/>
      <c r="M113" s="16"/>
    </row>
    <row r="114" spans="1:32" s="34" customFormat="1" ht="25" customHeight="1">
      <c r="A114" s="43"/>
      <c r="B114" s="957"/>
      <c r="C114" s="957"/>
      <c r="D114" s="957"/>
      <c r="E114" s="957"/>
      <c r="F114" s="957"/>
      <c r="G114" s="957"/>
      <c r="H114" s="924"/>
      <c r="J114" s="49"/>
      <c r="K114" s="47"/>
      <c r="L114" s="49"/>
      <c r="M114" s="16"/>
    </row>
    <row r="115" spans="1:32" s="34" customFormat="1" ht="25" customHeight="1">
      <c r="A115" s="43"/>
      <c r="B115" s="51" t="s">
        <v>61</v>
      </c>
      <c r="C115" s="51"/>
      <c r="D115" s="51"/>
      <c r="E115" s="51"/>
      <c r="F115" s="51"/>
      <c r="H115" s="924"/>
      <c r="J115" s="49"/>
      <c r="K115" s="47"/>
      <c r="L115" s="49"/>
      <c r="M115" s="16"/>
    </row>
    <row r="116" spans="1:32" s="34" customFormat="1" ht="25" customHeight="1">
      <c r="A116" s="43"/>
      <c r="B116" s="4" t="s">
        <v>6</v>
      </c>
      <c r="C116" s="4"/>
      <c r="D116" s="4"/>
      <c r="E116" s="4"/>
      <c r="F116" s="4"/>
      <c r="G116" s="53"/>
      <c r="H116" s="925"/>
      <c r="J116" s="55"/>
      <c r="K116" s="56"/>
      <c r="L116" s="57"/>
      <c r="M116" s="16"/>
      <c r="S116" s="50"/>
      <c r="T116" s="50"/>
      <c r="U116" s="50"/>
      <c r="V116" s="50"/>
      <c r="W116" s="50"/>
      <c r="X116" s="50"/>
      <c r="Y116" s="50"/>
      <c r="Z116" s="50"/>
    </row>
    <row r="117" spans="1:32" s="34" customFormat="1" ht="25" customHeight="1">
      <c r="A117" s="43"/>
      <c r="B117" s="58" t="s">
        <v>7</v>
      </c>
      <c r="C117" s="59"/>
      <c r="D117" s="59"/>
      <c r="E117" s="60"/>
      <c r="F117" s="60"/>
      <c r="G117" s="53"/>
      <c r="H117" s="925"/>
      <c r="I117" s="53"/>
      <c r="J117" s="55"/>
      <c r="K117" s="56"/>
      <c r="L117" s="61"/>
      <c r="M117" s="16"/>
      <c r="O117" s="50"/>
      <c r="P117" s="50"/>
    </row>
    <row r="118" spans="1:32" s="143" customFormat="1" ht="25" customHeight="1">
      <c r="A118" s="231"/>
      <c r="B118" s="232"/>
      <c r="C118" s="154"/>
      <c r="D118" s="154"/>
      <c r="E118" s="154"/>
      <c r="F118" s="154"/>
      <c r="G118" s="154"/>
      <c r="H118" s="933"/>
      <c r="I118" s="154"/>
      <c r="J118" s="154"/>
      <c r="K118" s="155"/>
      <c r="L118" s="154"/>
      <c r="M118" s="16"/>
      <c r="P118" s="175"/>
      <c r="Q118" s="175"/>
      <c r="R118" s="175"/>
      <c r="S118" s="175"/>
      <c r="T118" s="175"/>
      <c r="U118" s="175"/>
    </row>
    <row r="119" spans="1:32" ht="25" customHeight="1">
      <c r="A119" s="144"/>
      <c r="B119" s="74" t="s">
        <v>10</v>
      </c>
      <c r="C119" s="233"/>
      <c r="D119" s="233"/>
      <c r="E119" s="2" t="s">
        <v>62</v>
      </c>
      <c r="F119" s="233"/>
      <c r="G119" s="2" t="s">
        <v>63</v>
      </c>
      <c r="H119" s="1"/>
      <c r="I119" s="173" t="s">
        <v>37</v>
      </c>
      <c r="J119" s="234" t="s">
        <v>64</v>
      </c>
      <c r="K119" s="174" t="s">
        <v>65</v>
      </c>
      <c r="L119" s="171"/>
      <c r="M119" s="16"/>
    </row>
    <row r="120" spans="1:32" ht="25" customHeight="1">
      <c r="B120" s="133" t="s">
        <v>66</v>
      </c>
      <c r="C120" s="180"/>
      <c r="D120" s="180"/>
      <c r="E120" s="235" t="s">
        <v>19</v>
      </c>
      <c r="F120" s="184"/>
      <c r="G120" s="236">
        <f>BAAS_on.demand_EUR</f>
        <v>0.2303</v>
      </c>
      <c r="H120" s="81"/>
      <c r="I120" s="206"/>
      <c r="J120" s="237" t="s">
        <v>19</v>
      </c>
      <c r="K120" s="185">
        <f>ROUNDUP(I120*G120,2)</f>
        <v>0</v>
      </c>
      <c r="L120" s="171"/>
      <c r="M120" s="16"/>
    </row>
    <row r="121" spans="1:32" ht="25" customHeight="1">
      <c r="B121" s="135" t="s">
        <v>67</v>
      </c>
      <c r="C121" s="167"/>
      <c r="D121" s="167"/>
      <c r="E121" s="238">
        <f>BAAS_small.fee_EUR</f>
        <v>517</v>
      </c>
      <c r="F121" s="190"/>
      <c r="G121" s="239">
        <f>BAAS_small_EUR</f>
        <v>0.16450000000000001</v>
      </c>
      <c r="H121" s="87"/>
      <c r="I121" s="240"/>
      <c r="J121" s="241">
        <v>0.75</v>
      </c>
      <c r="K121" s="191">
        <f>IF(I121&gt;0,$E$121+$G$121*MAX(0,I121*(1-$J$121)-1000),0)</f>
        <v>0</v>
      </c>
      <c r="L121" s="171"/>
      <c r="M121" s="16"/>
    </row>
    <row r="122" spans="1:32" s="245" customFormat="1" ht="25" customHeight="1">
      <c r="A122" s="6"/>
      <c r="B122" s="164" t="s">
        <v>68</v>
      </c>
      <c r="C122" s="217"/>
      <c r="D122" s="217"/>
      <c r="E122" s="242">
        <f>BAAS_large.fee_EUR</f>
        <v>893</v>
      </c>
      <c r="F122" s="219"/>
      <c r="G122" s="236">
        <f>BAAS_large_EUR</f>
        <v>8.6480000000000001E-2</v>
      </c>
      <c r="H122" s="939"/>
      <c r="I122" s="243"/>
      <c r="J122" s="244">
        <v>0.75</v>
      </c>
      <c r="K122" s="220">
        <f>IF(I122&gt;0,$E$122+($G$122*(I122*(1-$J$122))),0)</f>
        <v>0</v>
      </c>
      <c r="L122" s="171"/>
      <c r="M122" s="16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2" s="97" customFormat="1" ht="25" customHeight="1">
      <c r="A123" s="246"/>
      <c r="B123" s="93" t="s">
        <v>17</v>
      </c>
      <c r="C123" s="94"/>
      <c r="D123" s="94"/>
      <c r="E123" s="94"/>
      <c r="F123" s="94"/>
      <c r="G123" s="94"/>
      <c r="H123" s="94"/>
      <c r="I123" s="94" t="str">
        <f>SUM(I120:I122)&amp;" GB"</f>
        <v>0 GB</v>
      </c>
      <c r="J123" s="94"/>
      <c r="K123" s="123">
        <f>SUM(K120:K122)</f>
        <v>0</v>
      </c>
      <c r="M123" s="16"/>
      <c r="P123" s="98"/>
      <c r="R123" s="98"/>
    </row>
    <row r="124" spans="1:32" s="245" customFormat="1" ht="25" customHeight="1">
      <c r="A124" s="92"/>
      <c r="B124" s="99"/>
      <c r="C124" s="139"/>
      <c r="D124" s="139"/>
      <c r="E124" s="139"/>
      <c r="F124" s="247"/>
      <c r="G124" s="104"/>
      <c r="H124" s="928"/>
      <c r="I124" s="104"/>
      <c r="J124" s="104"/>
      <c r="K124" s="248"/>
      <c r="L124" s="102"/>
      <c r="M124" s="16"/>
      <c r="O124" s="249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25" customHeight="1">
      <c r="A125" s="246"/>
      <c r="B125" s="227"/>
      <c r="C125" s="228"/>
      <c r="D125" s="228"/>
      <c r="E125" s="228"/>
      <c r="F125" s="229"/>
      <c r="G125" s="230"/>
      <c r="H125" s="192"/>
      <c r="I125" s="192"/>
      <c r="J125" s="192"/>
      <c r="K125" s="193"/>
      <c r="L125" s="208"/>
      <c r="M125" s="16"/>
      <c r="N125" s="50"/>
    </row>
    <row r="126" spans="1:32" s="245" customFormat="1" ht="25" customHeight="1">
      <c r="A126" s="92"/>
      <c r="B126" s="99"/>
      <c r="C126" s="104"/>
      <c r="D126" s="103"/>
      <c r="E126" s="103"/>
      <c r="F126" s="103"/>
      <c r="G126" s="104"/>
      <c r="H126" s="928"/>
      <c r="I126" s="104"/>
      <c r="J126" s="104"/>
      <c r="K126" s="107"/>
      <c r="L126" s="171"/>
      <c r="M126" s="16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2" s="34" customFormat="1" ht="25" customHeight="1">
      <c r="A127" s="144"/>
      <c r="B127" s="957" t="s">
        <v>70</v>
      </c>
      <c r="C127" s="957"/>
      <c r="D127" s="957"/>
      <c r="E127" s="957"/>
      <c r="F127" s="957"/>
      <c r="G127" s="957"/>
      <c r="H127" s="924"/>
      <c r="J127" s="49"/>
      <c r="K127" s="47"/>
      <c r="M127" s="16"/>
    </row>
    <row r="128" spans="1:32" s="34" customFormat="1" ht="25" customHeight="1">
      <c r="A128" s="43"/>
      <c r="B128" s="957"/>
      <c r="C128" s="957"/>
      <c r="D128" s="957"/>
      <c r="E128" s="957"/>
      <c r="F128" s="957"/>
      <c r="G128" s="957"/>
      <c r="H128" s="924"/>
      <c r="J128" s="49"/>
      <c r="K128" s="47"/>
      <c r="M128" s="16"/>
    </row>
    <row r="129" spans="1:26" s="34" customFormat="1" ht="25" customHeight="1">
      <c r="A129" s="43"/>
      <c r="B129" s="957"/>
      <c r="C129" s="957"/>
      <c r="D129" s="957"/>
      <c r="E129" s="957"/>
      <c r="F129" s="957"/>
      <c r="G129" s="957"/>
      <c r="H129" s="924"/>
      <c r="J129" s="49"/>
      <c r="K129" s="47"/>
      <c r="M129" s="16"/>
    </row>
    <row r="130" spans="1:26" s="34" customFormat="1" ht="25" customHeight="1">
      <c r="A130" s="43"/>
      <c r="B130" s="4" t="s">
        <v>6</v>
      </c>
      <c r="C130" s="4"/>
      <c r="D130" s="4"/>
      <c r="E130" s="4"/>
      <c r="F130" s="4"/>
      <c r="G130" s="53"/>
      <c r="H130" s="925"/>
      <c r="J130" s="55"/>
      <c r="K130" s="56"/>
      <c r="L130" s="57"/>
      <c r="M130" s="16"/>
      <c r="S130" s="50"/>
      <c r="T130" s="50"/>
      <c r="U130" s="50"/>
      <c r="V130" s="50"/>
      <c r="W130" s="50"/>
      <c r="X130" s="50"/>
      <c r="Y130" s="50"/>
      <c r="Z130" s="50"/>
    </row>
    <row r="131" spans="1:26" s="34" customFormat="1" ht="25" customHeight="1">
      <c r="A131" s="43"/>
      <c r="B131" s="4"/>
      <c r="C131" s="60"/>
      <c r="D131" s="60"/>
      <c r="E131" s="60"/>
      <c r="F131" s="60"/>
      <c r="G131" s="53"/>
      <c r="H131" s="925"/>
      <c r="I131" s="53"/>
      <c r="J131" s="55"/>
      <c r="K131" s="56"/>
      <c r="L131" s="53"/>
      <c r="M131" s="16"/>
    </row>
    <row r="132" spans="1:26" s="154" customFormat="1" ht="25" customHeight="1">
      <c r="A132" s="43"/>
      <c r="B132" s="64" t="s">
        <v>71</v>
      </c>
      <c r="C132" s="60"/>
      <c r="D132" s="60"/>
      <c r="E132" s="60"/>
      <c r="F132" s="60"/>
      <c r="G132" s="53"/>
      <c r="H132" s="61"/>
      <c r="I132" s="53"/>
      <c r="J132" s="55"/>
      <c r="K132" s="56"/>
      <c r="L132" s="53"/>
      <c r="M132" s="16"/>
      <c r="N132" s="50"/>
      <c r="O132" s="50"/>
      <c r="P132" s="50"/>
      <c r="Q132" s="50"/>
      <c r="R132" s="50"/>
      <c r="S132" s="50"/>
    </row>
    <row r="133" spans="1:26" ht="25" customHeight="1">
      <c r="A133" s="231"/>
      <c r="B133" s="72" t="s">
        <v>72</v>
      </c>
      <c r="M133" s="16"/>
    </row>
    <row r="134" spans="1:26" ht="25" customHeight="1">
      <c r="B134" s="252" t="s">
        <v>10</v>
      </c>
      <c r="C134" s="251" t="s">
        <v>73</v>
      </c>
      <c r="D134" s="251"/>
      <c r="E134" s="172" t="s">
        <v>36</v>
      </c>
      <c r="F134" s="172"/>
      <c r="G134" s="172"/>
      <c r="H134" s="1"/>
      <c r="I134" s="172"/>
      <c r="J134" s="251" t="s">
        <v>74</v>
      </c>
      <c r="K134" s="174" t="s">
        <v>75</v>
      </c>
      <c r="L134" s="131"/>
      <c r="M134" s="16"/>
      <c r="N134" s="194"/>
      <c r="O134" s="154"/>
    </row>
    <row r="135" spans="1:26" ht="25" customHeight="1">
      <c r="B135" s="133" t="s">
        <v>76</v>
      </c>
      <c r="C135" s="253" t="s">
        <v>77</v>
      </c>
      <c r="D135" s="253"/>
      <c r="E135" s="179" t="s">
        <v>78</v>
      </c>
      <c r="F135" s="184"/>
      <c r="G135" s="184"/>
      <c r="H135" s="81"/>
      <c r="I135" s="184"/>
      <c r="J135" s="254" t="s">
        <v>79</v>
      </c>
      <c r="K135" s="255">
        <f>NET_publicv4_EUR</f>
        <v>2.35</v>
      </c>
      <c r="M135" s="16"/>
      <c r="N135" s="194"/>
      <c r="O135" s="154"/>
    </row>
    <row r="136" spans="1:26" ht="25" customHeight="1">
      <c r="B136" s="135" t="s">
        <v>80</v>
      </c>
      <c r="C136" s="256" t="s">
        <v>81</v>
      </c>
      <c r="D136" s="256"/>
      <c r="E136" s="50" t="s">
        <v>78</v>
      </c>
      <c r="F136" s="257"/>
      <c r="G136" s="257"/>
      <c r="H136" s="277"/>
      <c r="I136" s="257"/>
      <c r="J136" s="258" t="s">
        <v>19</v>
      </c>
      <c r="K136" s="259">
        <f>NET_publicv6_EUR</f>
        <v>0</v>
      </c>
      <c r="M136" s="16"/>
      <c r="N136" s="194"/>
      <c r="O136" s="154"/>
    </row>
    <row r="137" spans="1:26" ht="25" customHeight="1">
      <c r="B137" s="133" t="s">
        <v>82</v>
      </c>
      <c r="C137" s="253" t="s">
        <v>83</v>
      </c>
      <c r="D137" s="253"/>
      <c r="E137" s="260"/>
      <c r="F137" s="261"/>
      <c r="G137" s="261"/>
      <c r="H137" s="356"/>
      <c r="I137" s="261"/>
      <c r="J137" s="254" t="s">
        <v>84</v>
      </c>
      <c r="K137" s="255">
        <f>NET_ingress_EUR</f>
        <v>0</v>
      </c>
      <c r="M137" s="16"/>
      <c r="N137" s="194"/>
      <c r="O137" s="154"/>
    </row>
    <row r="138" spans="1:26" ht="25" customHeight="1">
      <c r="B138" s="135" t="s">
        <v>85</v>
      </c>
      <c r="C138" s="256" t="s">
        <v>83</v>
      </c>
      <c r="D138" s="256"/>
      <c r="E138" s="50"/>
      <c r="F138" s="257"/>
      <c r="G138" s="257"/>
      <c r="H138" s="277"/>
      <c r="I138" s="257"/>
      <c r="J138" s="262" t="s">
        <v>84</v>
      </c>
      <c r="K138" s="259">
        <f>NET_egress_EUR</f>
        <v>0</v>
      </c>
      <c r="M138" s="16"/>
      <c r="N138" s="194"/>
      <c r="O138" s="154"/>
    </row>
    <row r="139" spans="1:26" ht="25" customHeight="1">
      <c r="B139" s="133" t="s">
        <v>86</v>
      </c>
      <c r="C139" s="253" t="s">
        <v>87</v>
      </c>
      <c r="D139" s="253"/>
      <c r="E139" s="184" t="s">
        <v>88</v>
      </c>
      <c r="F139" s="261"/>
      <c r="G139" s="261"/>
      <c r="H139" s="356"/>
      <c r="I139" s="261"/>
      <c r="J139" s="254" t="s">
        <v>89</v>
      </c>
      <c r="K139" s="953" t="s">
        <v>115</v>
      </c>
      <c r="M139" s="16"/>
    </row>
    <row r="140" spans="1:26" ht="25" customHeight="1">
      <c r="B140" s="135" t="s">
        <v>90</v>
      </c>
      <c r="C140" s="256" t="s">
        <v>91</v>
      </c>
      <c r="D140" s="256"/>
      <c r="E140" s="50"/>
      <c r="F140" s="257"/>
      <c r="G140" s="257"/>
      <c r="H140" s="277"/>
      <c r="I140" s="257"/>
      <c r="J140" s="258" t="s">
        <v>19</v>
      </c>
      <c r="K140" s="259">
        <f>NET_rdns_EUR</f>
        <v>0</v>
      </c>
      <c r="M140" s="16"/>
      <c r="N140" s="194"/>
      <c r="O140" s="154"/>
    </row>
    <row r="141" spans="1:26" ht="25" customHeight="1">
      <c r="B141" s="133" t="s">
        <v>92</v>
      </c>
      <c r="C141" s="253" t="s">
        <v>93</v>
      </c>
      <c r="D141" s="253"/>
      <c r="E141" s="184"/>
      <c r="F141" s="261"/>
      <c r="G141" s="261"/>
      <c r="H141" s="356"/>
      <c r="I141" s="261"/>
      <c r="J141" s="263" t="s">
        <v>19</v>
      </c>
      <c r="K141" s="255">
        <v>0</v>
      </c>
      <c r="M141" s="16"/>
      <c r="N141" s="194"/>
      <c r="O141" s="154"/>
    </row>
    <row r="142" spans="1:26" ht="25" customHeight="1">
      <c r="B142" s="264"/>
      <c r="C142" s="265"/>
      <c r="D142" s="266"/>
      <c r="E142" s="266"/>
      <c r="F142" s="266"/>
      <c r="G142" s="266"/>
      <c r="H142" s="940"/>
      <c r="I142" s="266"/>
      <c r="J142" s="265"/>
      <c r="K142" s="267"/>
      <c r="M142" s="16"/>
      <c r="N142" s="194"/>
      <c r="O142" s="154"/>
    </row>
    <row r="143" spans="1:26" ht="25" customHeight="1">
      <c r="C143" s="268"/>
      <c r="J143" s="268"/>
      <c r="M143" s="16"/>
      <c r="N143" s="194"/>
      <c r="O143" s="154"/>
    </row>
    <row r="144" spans="1:26" ht="25" customHeight="1">
      <c r="C144" s="268"/>
      <c r="J144" s="268"/>
      <c r="M144" s="16"/>
      <c r="N144" s="194"/>
      <c r="O144" s="154"/>
    </row>
    <row r="145" spans="1:18" ht="25" customHeight="1">
      <c r="B145" s="64" t="s">
        <v>94</v>
      </c>
      <c r="C145" s="131"/>
      <c r="D145" s="131"/>
      <c r="E145" s="131"/>
      <c r="F145" s="131"/>
      <c r="G145" s="131"/>
      <c r="H145" s="941"/>
      <c r="I145" s="131"/>
      <c r="J145" s="269"/>
      <c r="M145" s="16"/>
      <c r="N145" s="194"/>
      <c r="O145" s="154"/>
    </row>
    <row r="146" spans="1:18" ht="25" customHeight="1">
      <c r="B146" s="72" t="s">
        <v>95</v>
      </c>
      <c r="M146" s="16"/>
    </row>
    <row r="147" spans="1:18" ht="25" customHeight="1">
      <c r="B147" s="252" t="s">
        <v>10</v>
      </c>
      <c r="C147" s="251"/>
      <c r="D147" s="251"/>
      <c r="E147" s="172" t="s">
        <v>36</v>
      </c>
      <c r="F147" s="172"/>
      <c r="G147" s="172"/>
      <c r="H147" s="1"/>
      <c r="I147" s="172"/>
      <c r="J147" s="251" t="s">
        <v>74</v>
      </c>
      <c r="K147" s="174" t="s">
        <v>75</v>
      </c>
      <c r="M147" s="16"/>
      <c r="N147" s="194"/>
      <c r="O147" s="154"/>
    </row>
    <row r="148" spans="1:18" ht="25" customHeight="1">
      <c r="B148" s="133" t="s">
        <v>96</v>
      </c>
      <c r="C148" s="253"/>
      <c r="D148" s="184"/>
      <c r="E148" s="184" t="s">
        <v>97</v>
      </c>
      <c r="F148" s="184"/>
      <c r="G148" s="184"/>
      <c r="H148" s="81"/>
      <c r="I148" s="184"/>
      <c r="J148" s="254" t="s">
        <v>11</v>
      </c>
      <c r="K148" s="255">
        <f>SW_win.ser.201X_EUR</f>
        <v>16.45</v>
      </c>
      <c r="L148" s="192"/>
      <c r="M148" s="16"/>
      <c r="N148" s="194"/>
      <c r="O148" s="154"/>
      <c r="Q148" s="50"/>
      <c r="R148" s="50"/>
    </row>
    <row r="149" spans="1:18" ht="25" customHeight="1">
      <c r="B149" s="135" t="s">
        <v>98</v>
      </c>
      <c r="C149" s="256"/>
      <c r="D149" s="190"/>
      <c r="E149" s="190" t="s">
        <v>99</v>
      </c>
      <c r="F149" s="257"/>
      <c r="G149" s="257"/>
      <c r="H149" s="277"/>
      <c r="I149" s="257"/>
      <c r="J149" s="262" t="s">
        <v>11</v>
      </c>
      <c r="K149" s="259">
        <f>SW_ms.sql.ser_EUR</f>
        <v>115.526</v>
      </c>
      <c r="L149" s="192"/>
      <c r="M149" s="16"/>
      <c r="N149" s="194"/>
      <c r="O149" s="154"/>
      <c r="Q149" s="50"/>
      <c r="R149" s="50"/>
    </row>
    <row r="150" spans="1:18" ht="25" customHeight="1">
      <c r="A150" s="43"/>
      <c r="B150" s="133" t="s">
        <v>100</v>
      </c>
      <c r="C150" s="253"/>
      <c r="D150" s="184"/>
      <c r="E150" s="184" t="s">
        <v>101</v>
      </c>
      <c r="F150" s="184"/>
      <c r="G150" s="184"/>
      <c r="H150" s="81"/>
      <c r="I150" s="184"/>
      <c r="J150" s="254" t="s">
        <v>11</v>
      </c>
      <c r="K150" s="255">
        <f>SW_ms.sql.ser.ent_EUR</f>
        <v>448.00400000000002</v>
      </c>
      <c r="L150" s="192"/>
      <c r="M150" s="16"/>
      <c r="N150" s="194"/>
      <c r="O150" s="154"/>
      <c r="Q150" s="50"/>
      <c r="R150" s="50"/>
    </row>
    <row r="151" spans="1:18" ht="25" customHeight="1">
      <c r="B151" s="270"/>
      <c r="C151" s="271"/>
      <c r="D151" s="272"/>
      <c r="E151" s="273"/>
      <c r="F151" s="274"/>
      <c r="G151" s="274"/>
      <c r="H151" s="273"/>
      <c r="I151" s="274"/>
      <c r="J151" s="275"/>
      <c r="K151" s="276"/>
      <c r="M151" s="16"/>
      <c r="N151" s="194"/>
      <c r="O151" s="154"/>
    </row>
    <row r="152" spans="1:18" ht="25" customHeight="1">
      <c r="B152" s="135"/>
      <c r="C152" s="256"/>
      <c r="D152" s="50"/>
      <c r="E152" s="277"/>
      <c r="F152" s="257"/>
      <c r="G152" s="257"/>
      <c r="H152" s="277"/>
      <c r="I152" s="257"/>
      <c r="J152" s="278"/>
      <c r="K152" s="191"/>
      <c r="M152" s="16"/>
      <c r="N152" s="194"/>
      <c r="O152" s="154"/>
    </row>
    <row r="153" spans="1:18" ht="25" customHeight="1">
      <c r="M153" s="16"/>
      <c r="N153" s="194"/>
      <c r="O153" s="154"/>
    </row>
    <row r="154" spans="1:18" ht="25" customHeight="1">
      <c r="B154" s="64" t="s">
        <v>666</v>
      </c>
      <c r="C154" s="131"/>
      <c r="D154" s="131"/>
      <c r="F154" s="131"/>
      <c r="G154" s="131"/>
      <c r="H154" s="941"/>
      <c r="I154" s="131"/>
      <c r="J154" s="131"/>
      <c r="M154" s="16"/>
      <c r="N154" s="194"/>
      <c r="O154" s="154"/>
    </row>
    <row r="155" spans="1:18" ht="25" customHeight="1">
      <c r="B155" s="72" t="s">
        <v>667</v>
      </c>
      <c r="M155" s="16"/>
    </row>
    <row r="156" spans="1:18" ht="25" customHeight="1">
      <c r="B156" s="252" t="s">
        <v>10</v>
      </c>
      <c r="C156" s="251"/>
      <c r="D156" s="251"/>
      <c r="E156" s="172" t="s">
        <v>36</v>
      </c>
      <c r="F156" s="172"/>
      <c r="G156" s="172"/>
      <c r="H156" s="1"/>
      <c r="I156" s="172"/>
      <c r="J156" s="2"/>
      <c r="K156" s="174" t="s">
        <v>75</v>
      </c>
      <c r="M156" s="16"/>
      <c r="N156" s="194"/>
      <c r="O156" s="154"/>
    </row>
    <row r="157" spans="1:18" ht="25" customHeight="1">
      <c r="B157" s="133" t="s">
        <v>647</v>
      </c>
      <c r="C157" s="253"/>
      <c r="D157" s="184"/>
      <c r="E157" s="184" t="s">
        <v>103</v>
      </c>
      <c r="F157" s="184"/>
      <c r="G157" s="184"/>
      <c r="H157" s="81"/>
      <c r="I157" s="184"/>
      <c r="J157" s="279"/>
      <c r="K157" s="954">
        <f>PAAS_man.elasticsearch_EUR</f>
        <v>0.188</v>
      </c>
      <c r="M157" s="16"/>
      <c r="N157" s="194"/>
      <c r="O157" s="154"/>
    </row>
    <row r="158" spans="1:18" ht="25" customHeight="1">
      <c r="B158" s="135" t="s">
        <v>653</v>
      </c>
      <c r="C158" s="256"/>
      <c r="D158" s="190"/>
      <c r="E158" s="190" t="s">
        <v>651</v>
      </c>
      <c r="F158" s="257"/>
      <c r="G158" s="257"/>
      <c r="H158" s="277"/>
      <c r="I158" s="257"/>
      <c r="J158" s="278"/>
      <c r="K158" s="955">
        <f>PAAS_man.mariadb_EUR</f>
        <v>0.188</v>
      </c>
      <c r="M158" s="16"/>
      <c r="N158" s="194"/>
      <c r="O158" s="154"/>
    </row>
    <row r="159" spans="1:18" ht="25" customHeight="1">
      <c r="B159" s="133" t="s">
        <v>648</v>
      </c>
      <c r="C159" s="253"/>
      <c r="D159" s="184"/>
      <c r="E159" s="184" t="s">
        <v>652</v>
      </c>
      <c r="F159" s="184"/>
      <c r="G159" s="184"/>
      <c r="H159" s="81"/>
      <c r="I159" s="184"/>
      <c r="J159" s="279"/>
      <c r="K159" s="954">
        <f>PAAS_man.elasticsearch_EUR</f>
        <v>0.188</v>
      </c>
      <c r="M159" s="16"/>
      <c r="N159" s="194"/>
      <c r="O159" s="154"/>
    </row>
    <row r="160" spans="1:18" ht="25" customHeight="1">
      <c r="B160" s="135" t="s">
        <v>649</v>
      </c>
      <c r="C160" s="256"/>
      <c r="D160" s="190"/>
      <c r="E160" s="190" t="s">
        <v>105</v>
      </c>
      <c r="F160" s="257"/>
      <c r="G160" s="257"/>
      <c r="H160" s="277"/>
      <c r="I160" s="257"/>
      <c r="J160" s="278"/>
      <c r="K160" s="955">
        <f>PAAS_man.redis_EUR</f>
        <v>0.188</v>
      </c>
      <c r="M160" s="16"/>
      <c r="N160" s="194"/>
      <c r="O160" s="154"/>
    </row>
    <row r="161" spans="1:20" ht="25" customHeight="1">
      <c r="B161" s="280" t="s">
        <v>650</v>
      </c>
      <c r="C161" s="253"/>
      <c r="D161" s="184"/>
      <c r="E161" s="184" t="s">
        <v>396</v>
      </c>
      <c r="F161" s="184"/>
      <c r="G161" s="184"/>
      <c r="H161" s="81"/>
      <c r="I161" s="184"/>
      <c r="J161" s="279"/>
      <c r="K161" s="954">
        <f>PAAS_man.nats_EUR</f>
        <v>0.188</v>
      </c>
      <c r="M161" s="16"/>
      <c r="N161" s="194"/>
      <c r="O161" s="154"/>
    </row>
    <row r="162" spans="1:20" ht="25" customHeight="1">
      <c r="B162" s="270"/>
      <c r="C162" s="271"/>
      <c r="D162" s="281"/>
      <c r="E162" s="273"/>
      <c r="F162" s="274"/>
      <c r="G162" s="274"/>
      <c r="H162" s="273"/>
      <c r="I162" s="274"/>
      <c r="J162" s="275"/>
      <c r="K162" s="276"/>
      <c r="M162" s="16"/>
      <c r="N162" s="194"/>
      <c r="O162" s="154"/>
    </row>
    <row r="163" spans="1:20" ht="25" customHeight="1">
      <c r="B163" s="135"/>
      <c r="C163" s="256"/>
      <c r="D163" s="190"/>
      <c r="E163" s="277"/>
      <c r="F163" s="257"/>
      <c r="G163" s="278"/>
      <c r="H163" s="294"/>
      <c r="I163" s="282"/>
      <c r="M163" s="16"/>
    </row>
    <row r="164" spans="1:20" ht="25" customHeight="1">
      <c r="A164" s="43"/>
      <c r="B164" s="283"/>
      <c r="C164" s="228"/>
      <c r="D164" s="228"/>
      <c r="E164" s="228"/>
      <c r="F164" s="229"/>
      <c r="G164" s="230"/>
      <c r="H164" s="192"/>
      <c r="I164" s="192"/>
      <c r="J164" s="192"/>
      <c r="K164" s="193"/>
      <c r="L164" s="194"/>
      <c r="M164" s="16"/>
      <c r="N164" s="50"/>
      <c r="O164" s="50"/>
    </row>
    <row r="165" spans="1:20" s="34" customFormat="1" ht="25" customHeight="1">
      <c r="A165" s="43"/>
      <c r="B165" s="957" t="s">
        <v>106</v>
      </c>
      <c r="C165" s="957"/>
      <c r="D165" s="957"/>
      <c r="E165" s="957"/>
      <c r="F165" s="957"/>
      <c r="G165" s="957"/>
      <c r="H165" s="957"/>
      <c r="I165" s="957"/>
      <c r="J165" s="957"/>
      <c r="K165" s="957"/>
      <c r="M165" s="16"/>
    </row>
    <row r="166" spans="1:20" s="34" customFormat="1" ht="25" customHeight="1">
      <c r="A166" s="43"/>
      <c r="B166" s="957"/>
      <c r="C166" s="957"/>
      <c r="D166" s="957"/>
      <c r="E166" s="957"/>
      <c r="F166" s="957"/>
      <c r="G166" s="957"/>
      <c r="H166" s="957"/>
      <c r="I166" s="957"/>
      <c r="J166" s="957"/>
      <c r="K166" s="957"/>
      <c r="M166" s="16"/>
    </row>
    <row r="167" spans="1:20" s="34" customFormat="1" ht="25" customHeight="1">
      <c r="A167" s="43"/>
      <c r="B167" s="957"/>
      <c r="C167" s="957"/>
      <c r="D167" s="957"/>
      <c r="E167" s="957"/>
      <c r="F167" s="957"/>
      <c r="G167" s="957"/>
      <c r="H167" s="957"/>
      <c r="I167" s="957"/>
      <c r="J167" s="957"/>
      <c r="K167" s="957"/>
      <c r="M167" s="16"/>
    </row>
    <row r="168" spans="1:20" s="34" customFormat="1" ht="25" customHeight="1">
      <c r="A168" s="43"/>
      <c r="B168" s="961" t="s">
        <v>107</v>
      </c>
      <c r="C168" s="961"/>
      <c r="D168" s="961"/>
      <c r="E168" s="961"/>
      <c r="F168" s="961"/>
      <c r="H168" s="924"/>
      <c r="J168" s="49"/>
      <c r="K168" s="47"/>
      <c r="M168" s="16"/>
    </row>
    <row r="169" spans="1:20" s="34" customFormat="1" ht="25" customHeight="1">
      <c r="A169" s="43"/>
      <c r="B169" s="959" t="s">
        <v>6</v>
      </c>
      <c r="C169" s="959"/>
      <c r="D169" s="959"/>
      <c r="E169" s="959"/>
      <c r="F169" s="959"/>
      <c r="G169" s="53"/>
      <c r="H169" s="925"/>
      <c r="I169" s="53"/>
      <c r="J169" s="55"/>
      <c r="K169" s="56"/>
      <c r="L169" s="53"/>
      <c r="M169" s="16"/>
    </row>
    <row r="170" spans="1:20" s="34" customFormat="1" ht="25" customHeight="1">
      <c r="A170" s="6"/>
      <c r="B170" s="4"/>
      <c r="C170" s="60"/>
      <c r="D170" s="60"/>
      <c r="E170" s="60"/>
      <c r="F170" s="60"/>
      <c r="G170" s="53"/>
      <c r="H170" s="925"/>
      <c r="I170" s="53"/>
      <c r="J170" s="55"/>
      <c r="K170" s="56"/>
      <c r="L170" s="53"/>
      <c r="M170" s="16"/>
    </row>
    <row r="171" spans="1:20" ht="25" customHeight="1">
      <c r="B171" s="64" t="s">
        <v>108</v>
      </c>
      <c r="C171" s="131"/>
      <c r="D171" s="131"/>
      <c r="F171" s="131"/>
      <c r="G171" s="131"/>
      <c r="H171" s="941"/>
      <c r="I171" s="131"/>
      <c r="J171" s="131"/>
      <c r="K171" s="285"/>
      <c r="L171" s="131"/>
      <c r="M171" s="16"/>
      <c r="O171" s="194"/>
      <c r="P171" s="194"/>
      <c r="Q171" s="154"/>
      <c r="S171" s="50"/>
      <c r="T171" s="50"/>
    </row>
    <row r="172" spans="1:20" ht="25" customHeight="1">
      <c r="B172" s="72" t="s">
        <v>109</v>
      </c>
      <c r="M172" s="16"/>
    </row>
    <row r="173" spans="1:20" ht="25" customHeight="1">
      <c r="B173" s="252" t="s">
        <v>10</v>
      </c>
      <c r="C173" s="251"/>
      <c r="D173" s="172" t="s">
        <v>36</v>
      </c>
      <c r="E173" s="172"/>
      <c r="F173" s="172"/>
      <c r="G173" s="172"/>
      <c r="H173" s="1"/>
      <c r="I173" s="251" t="s">
        <v>74</v>
      </c>
      <c r="J173" s="251"/>
      <c r="K173" s="174" t="s">
        <v>131</v>
      </c>
      <c r="L173" s="192"/>
      <c r="M173" s="16"/>
      <c r="N173" s="194"/>
      <c r="O173" s="154"/>
      <c r="Q173" s="50"/>
      <c r="R173" s="50"/>
    </row>
    <row r="174" spans="1:20" ht="25" customHeight="1">
      <c r="B174" s="133" t="s">
        <v>110</v>
      </c>
      <c r="C174" s="253"/>
      <c r="D174" s="184" t="s">
        <v>111</v>
      </c>
      <c r="E174" s="279"/>
      <c r="F174" s="184"/>
      <c r="G174" s="279"/>
      <c r="H174" s="293"/>
      <c r="I174" s="263" t="s">
        <v>19</v>
      </c>
      <c r="J174" s="263"/>
      <c r="K174" s="185">
        <v>0</v>
      </c>
      <c r="L174" s="192"/>
      <c r="M174" s="16"/>
      <c r="N174" s="194"/>
      <c r="O174" s="154"/>
      <c r="Q174" s="50"/>
      <c r="R174" s="50"/>
    </row>
    <row r="175" spans="1:20" ht="25" customHeight="1">
      <c r="B175" s="135" t="s">
        <v>112</v>
      </c>
      <c r="C175" s="256"/>
      <c r="D175" s="190" t="s">
        <v>113</v>
      </c>
      <c r="E175" s="277"/>
      <c r="F175" s="257"/>
      <c r="G175" s="278"/>
      <c r="H175" s="294"/>
      <c r="I175" s="262" t="s">
        <v>114</v>
      </c>
      <c r="J175" s="262"/>
      <c r="K175" s="191" t="s">
        <v>115</v>
      </c>
      <c r="L175" s="192"/>
      <c r="M175" s="16"/>
      <c r="N175" s="194"/>
      <c r="O175" s="154"/>
      <c r="Q175" s="50"/>
      <c r="R175" s="50"/>
    </row>
    <row r="176" spans="1:20" ht="25" customHeight="1">
      <c r="A176" s="73"/>
      <c r="B176" s="270"/>
      <c r="C176" s="271"/>
      <c r="D176" s="271"/>
      <c r="E176" s="273"/>
      <c r="F176" s="274"/>
      <c r="G176" s="275"/>
      <c r="H176" s="942"/>
      <c r="I176" s="286"/>
      <c r="J176" s="286"/>
      <c r="K176" s="276"/>
      <c r="L176" s="192"/>
      <c r="M176" s="16"/>
      <c r="N176" s="194"/>
      <c r="O176" s="154"/>
      <c r="Q176" s="50"/>
      <c r="R176" s="50"/>
    </row>
    <row r="177" spans="1:18" ht="25" customHeight="1">
      <c r="B177" s="135"/>
      <c r="C177" s="256"/>
      <c r="D177" s="190"/>
      <c r="E177" s="277"/>
      <c r="F177" s="257"/>
      <c r="G177" s="278"/>
      <c r="H177" s="294"/>
      <c r="I177" s="262"/>
      <c r="J177" s="262"/>
      <c r="K177" s="191"/>
      <c r="L177" s="192"/>
      <c r="M177" s="16"/>
      <c r="N177" s="194"/>
      <c r="O177" s="154"/>
      <c r="Q177" s="50"/>
      <c r="R177" s="50"/>
    </row>
    <row r="178" spans="1:18" s="78" customFormat="1" ht="25" customHeight="1">
      <c r="A178" s="6"/>
      <c r="B178" s="64" t="s">
        <v>116</v>
      </c>
      <c r="C178" s="287"/>
      <c r="D178" s="287"/>
      <c r="F178" s="287"/>
      <c r="G178" s="287"/>
      <c r="H178" s="943"/>
      <c r="I178" s="288"/>
      <c r="J178" s="288"/>
      <c r="K178" s="289"/>
      <c r="L178" s="290"/>
      <c r="M178" s="16"/>
      <c r="N178" s="291"/>
      <c r="O178" s="292"/>
      <c r="Q178" s="292"/>
      <c r="R178" s="292"/>
    </row>
    <row r="179" spans="1:18" ht="25" customHeight="1">
      <c r="B179" s="72" t="s">
        <v>117</v>
      </c>
      <c r="M179" s="16"/>
    </row>
    <row r="180" spans="1:18" ht="25" customHeight="1">
      <c r="B180" s="252" t="s">
        <v>10</v>
      </c>
      <c r="C180" s="251"/>
      <c r="D180" s="172" t="s">
        <v>36</v>
      </c>
      <c r="E180" s="172"/>
      <c r="F180" s="172"/>
      <c r="G180" s="172"/>
      <c r="H180" s="1"/>
      <c r="I180" s="251" t="s">
        <v>74</v>
      </c>
      <c r="J180" s="251"/>
      <c r="K180" s="174" t="s">
        <v>131</v>
      </c>
      <c r="L180" s="192"/>
      <c r="M180" s="16"/>
      <c r="N180" s="194"/>
      <c r="O180" s="154"/>
      <c r="Q180" s="50"/>
      <c r="R180" s="50"/>
    </row>
    <row r="181" spans="1:18" ht="25" customHeight="1">
      <c r="B181" s="133" t="s">
        <v>118</v>
      </c>
      <c r="C181" s="253"/>
      <c r="D181" s="184" t="s">
        <v>119</v>
      </c>
      <c r="E181" s="279"/>
      <c r="F181" s="184"/>
      <c r="G181" s="279"/>
      <c r="H181" s="293"/>
      <c r="I181" s="254" t="s">
        <v>114</v>
      </c>
      <c r="J181" s="254"/>
      <c r="K181" s="185">
        <f>PS_consult.jun_EUR</f>
        <v>105.938</v>
      </c>
      <c r="L181" s="192"/>
      <c r="M181" s="16"/>
      <c r="N181" s="194"/>
      <c r="O181" s="154"/>
      <c r="Q181" s="50"/>
      <c r="R181" s="50"/>
    </row>
    <row r="182" spans="1:18" ht="25" customHeight="1">
      <c r="B182" s="135" t="s">
        <v>120</v>
      </c>
      <c r="C182" s="256"/>
      <c r="D182" s="190" t="s">
        <v>121</v>
      </c>
      <c r="E182" s="277"/>
      <c r="F182" s="257"/>
      <c r="G182" s="278"/>
      <c r="H182" s="294"/>
      <c r="I182" s="262" t="s">
        <v>114</v>
      </c>
      <c r="J182" s="262"/>
      <c r="K182" s="191">
        <f>PS_consult.sen_EUR</f>
        <v>129.15600000000001</v>
      </c>
      <c r="L182" s="192"/>
      <c r="M182" s="16"/>
      <c r="N182" s="194"/>
      <c r="O182" s="154"/>
      <c r="Q182" s="50"/>
      <c r="R182" s="50"/>
    </row>
    <row r="183" spans="1:18" ht="25" customHeight="1">
      <c r="B183" s="133" t="s">
        <v>122</v>
      </c>
      <c r="C183" s="253"/>
      <c r="D183" s="184" t="s">
        <v>123</v>
      </c>
      <c r="E183" s="279"/>
      <c r="F183" s="184"/>
      <c r="G183" s="279"/>
      <c r="H183" s="293"/>
      <c r="I183" s="254" t="s">
        <v>114</v>
      </c>
      <c r="J183" s="254"/>
      <c r="K183" s="185">
        <f>PS_cloudarch.jun_EUR</f>
        <v>120.038</v>
      </c>
      <c r="L183" s="192"/>
      <c r="M183" s="16"/>
      <c r="N183" s="194"/>
      <c r="O183" s="154"/>
      <c r="Q183" s="50"/>
      <c r="R183" s="50"/>
    </row>
    <row r="184" spans="1:18" ht="25" customHeight="1">
      <c r="B184" s="135" t="s">
        <v>124</v>
      </c>
      <c r="C184" s="256"/>
      <c r="D184" s="190" t="s">
        <v>125</v>
      </c>
      <c r="E184" s="190"/>
      <c r="F184" s="190"/>
      <c r="G184" s="278"/>
      <c r="H184" s="294"/>
      <c r="I184" s="262" t="s">
        <v>114</v>
      </c>
      <c r="J184" s="262"/>
      <c r="K184" s="191">
        <f>PS_cloudarch.sen_EUR</f>
        <v>129.15600000000001</v>
      </c>
      <c r="L184" s="192"/>
      <c r="M184" s="16"/>
      <c r="N184" s="194"/>
      <c r="O184" s="154"/>
      <c r="Q184" s="50"/>
      <c r="R184" s="50"/>
    </row>
    <row r="185" spans="1:18" ht="25" customHeight="1">
      <c r="B185" s="133" t="s">
        <v>126</v>
      </c>
      <c r="C185" s="253"/>
      <c r="D185" s="184" t="s">
        <v>127</v>
      </c>
      <c r="E185" s="279"/>
      <c r="F185" s="184"/>
      <c r="G185" s="279"/>
      <c r="H185" s="293"/>
      <c r="I185" s="254" t="s">
        <v>114</v>
      </c>
      <c r="J185" s="254"/>
      <c r="K185" s="185">
        <f>PS_pm.jun_EUR</f>
        <v>107.066</v>
      </c>
      <c r="L185" s="192"/>
      <c r="M185" s="16"/>
      <c r="N185" s="194"/>
      <c r="O185" s="154"/>
      <c r="Q185" s="50"/>
      <c r="R185" s="50"/>
    </row>
    <row r="186" spans="1:18" ht="25" customHeight="1">
      <c r="B186" s="135" t="s">
        <v>128</v>
      </c>
      <c r="C186" s="256"/>
      <c r="D186" s="190" t="s">
        <v>129</v>
      </c>
      <c r="E186" s="277"/>
      <c r="F186" s="257"/>
      <c r="G186" s="278"/>
      <c r="H186" s="294"/>
      <c r="I186" s="262" t="s">
        <v>114</v>
      </c>
      <c r="J186" s="262"/>
      <c r="K186" s="191">
        <f>PS_pm.sen_EUR</f>
        <v>129.15600000000001</v>
      </c>
      <c r="L186" s="192"/>
      <c r="M186" s="16"/>
      <c r="N186" s="194"/>
      <c r="O186" s="154"/>
      <c r="Q186" s="50"/>
      <c r="R186" s="50"/>
    </row>
    <row r="187" spans="1:18" ht="25" customHeight="1">
      <c r="B187" s="270"/>
      <c r="C187" s="271"/>
      <c r="D187" s="281"/>
      <c r="E187" s="273"/>
      <c r="F187" s="274"/>
      <c r="G187" s="275"/>
      <c r="H187" s="942"/>
      <c r="I187" s="286"/>
      <c r="J187" s="286"/>
      <c r="K187" s="276"/>
      <c r="L187" s="192"/>
      <c r="M187" s="16"/>
      <c r="N187" s="194"/>
      <c r="O187" s="154"/>
      <c r="Q187" s="50"/>
      <c r="R187" s="50"/>
    </row>
    <row r="188" spans="1:18" ht="25" customHeight="1">
      <c r="B188" s="283"/>
      <c r="C188" s="228"/>
      <c r="D188" s="228"/>
      <c r="E188" s="228"/>
      <c r="F188" s="229"/>
      <c r="G188" s="230"/>
      <c r="H188" s="192"/>
      <c r="I188" s="192"/>
      <c r="J188" s="192"/>
      <c r="K188" s="193"/>
      <c r="L188" s="194"/>
      <c r="M188" s="16"/>
      <c r="N188" s="50"/>
      <c r="O188" s="50"/>
    </row>
    <row r="189" spans="1:18" ht="25" customHeight="1">
      <c r="A189" s="295"/>
      <c r="B189" s="296"/>
      <c r="C189" s="297"/>
      <c r="D189" s="297"/>
      <c r="E189" s="297"/>
      <c r="F189" s="298"/>
      <c r="G189" s="299"/>
      <c r="H189" s="300"/>
      <c r="I189" s="300"/>
      <c r="J189" s="301"/>
      <c r="K189" s="302"/>
      <c r="L189" s="303"/>
      <c r="M189" s="16"/>
      <c r="N189" s="50"/>
      <c r="O189" s="50"/>
    </row>
    <row r="190" spans="1:18" s="34" customFormat="1" ht="25" customHeight="1">
      <c r="A190" s="26"/>
      <c r="B190" s="304"/>
      <c r="C190" s="305"/>
      <c r="D190" s="305"/>
      <c r="E190" s="305"/>
      <c r="F190" s="306"/>
      <c r="G190" s="307"/>
      <c r="H190" s="308"/>
      <c r="I190" s="308"/>
      <c r="J190" s="309"/>
      <c r="K190" s="310"/>
      <c r="L190" s="29"/>
      <c r="M190" s="16"/>
    </row>
    <row r="191" spans="1:18" s="34" customFormat="1" ht="25" customHeight="1">
      <c r="A191" s="26"/>
      <c r="B191" s="304"/>
      <c r="C191" s="305"/>
      <c r="D191" s="305"/>
      <c r="E191" s="305"/>
      <c r="F191" s="306"/>
      <c r="G191" s="307"/>
      <c r="H191" s="308"/>
      <c r="I191" s="308"/>
      <c r="J191" s="309"/>
      <c r="K191" s="310"/>
      <c r="L191" s="29"/>
      <c r="M191" s="16"/>
    </row>
    <row r="192" spans="1:18" s="34" customFormat="1" ht="25" customHeight="1">
      <c r="A192" s="26"/>
      <c r="B192" s="304"/>
      <c r="C192" s="305"/>
      <c r="D192" s="305"/>
      <c r="E192" s="305"/>
      <c r="F192" s="306"/>
      <c r="G192" s="307"/>
      <c r="H192" s="308"/>
      <c r="I192" s="308"/>
      <c r="J192" s="309"/>
      <c r="K192" s="310"/>
      <c r="L192" s="29"/>
      <c r="M192" s="16"/>
    </row>
    <row r="193" spans="1:20" s="34" customFormat="1" ht="25" customHeight="1">
      <c r="A193" s="26"/>
      <c r="B193" s="962" t="s">
        <v>136</v>
      </c>
      <c r="C193" s="962"/>
      <c r="D193" s="962"/>
      <c r="E193" s="962"/>
      <c r="F193" s="962"/>
      <c r="G193" s="962"/>
      <c r="H193" s="944"/>
      <c r="I193" s="148"/>
      <c r="J193" s="29"/>
      <c r="K193" s="32"/>
      <c r="L193" s="29"/>
      <c r="M193" s="16"/>
    </row>
    <row r="194" spans="1:20" s="34" customFormat="1" ht="25" customHeight="1">
      <c r="A194" s="26"/>
      <c r="B194" s="962"/>
      <c r="C194" s="962"/>
      <c r="D194" s="962"/>
      <c r="E194" s="962"/>
      <c r="F194" s="962"/>
      <c r="G194" s="962"/>
      <c r="H194" s="944"/>
      <c r="I194" s="148"/>
      <c r="J194" s="29"/>
      <c r="K194" s="32"/>
      <c r="L194" s="29"/>
      <c r="M194" s="16"/>
    </row>
    <row r="195" spans="1:20" s="34" customFormat="1" ht="25" customHeight="1">
      <c r="A195" s="26"/>
      <c r="B195" s="962"/>
      <c r="C195" s="962"/>
      <c r="D195" s="962"/>
      <c r="E195" s="962"/>
      <c r="F195" s="962"/>
      <c r="G195" s="962"/>
      <c r="H195" s="944"/>
      <c r="I195" s="148"/>
      <c r="J195" s="29"/>
      <c r="K195" s="32"/>
      <c r="L195" s="29"/>
      <c r="M195" s="16"/>
    </row>
    <row r="196" spans="1:20" s="34" customFormat="1" ht="25" customHeight="1">
      <c r="A196" s="26"/>
      <c r="B196" s="963" t="s">
        <v>6</v>
      </c>
      <c r="C196" s="963"/>
      <c r="D196" s="963"/>
      <c r="E196" s="963"/>
      <c r="F196" s="963"/>
      <c r="G196" s="29"/>
      <c r="H196" s="944"/>
      <c r="I196" s="148"/>
      <c r="J196" s="29"/>
      <c r="K196" s="32"/>
      <c r="L196" s="312"/>
      <c r="M196" s="16"/>
    </row>
    <row r="197" spans="1:20" s="34" customFormat="1" ht="25" customHeight="1">
      <c r="A197" s="26"/>
      <c r="B197" s="27"/>
      <c r="C197" s="28"/>
      <c r="D197" s="28"/>
      <c r="E197" s="28"/>
      <c r="F197" s="28"/>
      <c r="G197" s="29"/>
      <c r="H197" s="944"/>
      <c r="I197" s="148"/>
      <c r="J197" s="29"/>
      <c r="K197" s="32"/>
      <c r="L197" s="312"/>
      <c r="M197" s="16"/>
    </row>
    <row r="198" spans="1:20" s="34" customFormat="1" ht="25" customHeight="1">
      <c r="A198" s="26"/>
      <c r="B198" s="21" t="s">
        <v>137</v>
      </c>
      <c r="C198" s="28"/>
      <c r="D198" s="28"/>
      <c r="E198" s="28"/>
      <c r="F198" s="28"/>
      <c r="G198" s="29"/>
      <c r="H198" s="944"/>
      <c r="I198" s="148"/>
      <c r="J198" s="29"/>
      <c r="K198" s="32"/>
      <c r="L198" s="312"/>
      <c r="M198" s="16"/>
    </row>
    <row r="199" spans="1:20" s="34" customFormat="1" ht="25" customHeight="1">
      <c r="A199" s="26"/>
      <c r="B199" s="23" t="s">
        <v>138</v>
      </c>
      <c r="C199" s="28"/>
      <c r="D199" s="28"/>
      <c r="E199" s="28"/>
      <c r="F199" s="28"/>
      <c r="G199" s="29"/>
      <c r="H199" s="944"/>
      <c r="I199" s="29"/>
      <c r="J199" s="33"/>
      <c r="K199" s="32"/>
      <c r="L199" s="312"/>
      <c r="M199" s="16"/>
    </row>
    <row r="200" spans="1:20" s="34" customFormat="1" ht="25" customHeight="1">
      <c r="A200" s="26"/>
      <c r="B200" s="24" t="s">
        <v>3</v>
      </c>
      <c r="C200" s="313"/>
      <c r="D200" s="313"/>
      <c r="E200" s="313"/>
      <c r="F200" s="313"/>
      <c r="G200" s="312"/>
      <c r="H200" s="945"/>
      <c r="I200" s="312"/>
      <c r="J200" s="315"/>
      <c r="K200" s="316"/>
      <c r="L200" s="312"/>
      <c r="M200" s="16"/>
    </row>
    <row r="201" spans="1:20" s="143" customFormat="1" ht="25" customHeight="1">
      <c r="A201" s="317"/>
      <c r="B201" s="311"/>
      <c r="C201" s="318"/>
      <c r="D201" s="318"/>
      <c r="E201" s="318"/>
      <c r="F201" s="318"/>
      <c r="G201" s="312"/>
      <c r="H201" s="945"/>
      <c r="I201" s="312"/>
      <c r="J201" s="315"/>
      <c r="K201" s="316"/>
      <c r="L201" s="319"/>
      <c r="M201" s="16"/>
      <c r="N201" s="320"/>
      <c r="O201" s="175"/>
      <c r="P201" s="175"/>
      <c r="Q201" s="175"/>
      <c r="R201" s="175"/>
      <c r="S201" s="175"/>
      <c r="T201" s="175"/>
    </row>
    <row r="202" spans="1:20" ht="25" customHeight="1">
      <c r="A202" s="11"/>
      <c r="B202" s="321" t="s">
        <v>139</v>
      </c>
      <c r="C202" s="322"/>
      <c r="D202" s="323"/>
      <c r="E202" s="322"/>
      <c r="F202" s="324"/>
      <c r="G202" s="324"/>
      <c r="H202" s="323"/>
      <c r="I202" s="322"/>
      <c r="J202" s="324" t="s">
        <v>136</v>
      </c>
      <c r="K202" s="325"/>
      <c r="L202" s="326"/>
      <c r="M202" s="16"/>
      <c r="N202" s="249"/>
    </row>
    <row r="203" spans="1:20" ht="25" customHeight="1">
      <c r="A203" s="11"/>
      <c r="B203" s="327" t="s">
        <v>140</v>
      </c>
      <c r="C203" s="328"/>
      <c r="D203" s="329"/>
      <c r="E203" s="328"/>
      <c r="F203" s="328"/>
      <c r="G203" s="330"/>
      <c r="H203" s="946"/>
      <c r="I203" s="329"/>
      <c r="J203" s="332">
        <f>K27+K72+K55+K94+K84</f>
        <v>0</v>
      </c>
      <c r="K203" s="185"/>
      <c r="L203" s="13"/>
      <c r="M203" s="16"/>
      <c r="N203" s="249"/>
    </row>
    <row r="204" spans="1:20" ht="25" customHeight="1">
      <c r="A204" s="11"/>
      <c r="B204" s="333" t="s">
        <v>141</v>
      </c>
      <c r="C204" s="334" t="str">
        <f>K107&amp;" TB - S3"&amp;"     /     "&amp;K106&amp;" TB - Archive"</f>
        <v>0 TB - S3     /     0 TB - Archive</v>
      </c>
      <c r="D204" s="335"/>
      <c r="E204" s="335"/>
      <c r="F204" s="336"/>
      <c r="G204" s="337"/>
      <c r="H204" s="947"/>
      <c r="I204" s="338"/>
      <c r="J204" s="339">
        <f>K108</f>
        <v>0</v>
      </c>
      <c r="K204" s="185"/>
      <c r="L204" s="13"/>
      <c r="M204" s="16"/>
      <c r="N204" s="249"/>
    </row>
    <row r="205" spans="1:20" ht="25" customHeight="1">
      <c r="A205" s="11"/>
      <c r="B205" s="333" t="s">
        <v>142</v>
      </c>
      <c r="C205" s="340"/>
      <c r="D205" s="341"/>
      <c r="E205" s="342"/>
      <c r="F205" s="336"/>
      <c r="G205" s="337"/>
      <c r="H205" s="947"/>
      <c r="I205" s="338"/>
      <c r="J205" s="339">
        <f>K123</f>
        <v>0</v>
      </c>
      <c r="K205" s="185"/>
      <c r="L205" s="13"/>
      <c r="M205" s="16"/>
      <c r="N205" s="249"/>
    </row>
    <row r="206" spans="1:20" s="349" customFormat="1" ht="25" customHeight="1">
      <c r="A206" s="343"/>
      <c r="B206" s="344" t="s">
        <v>17</v>
      </c>
      <c r="C206" s="345"/>
      <c r="D206" s="345"/>
      <c r="E206" s="345"/>
      <c r="F206" s="345"/>
      <c r="G206" s="345"/>
      <c r="H206" s="948"/>
      <c r="I206" s="345"/>
      <c r="J206" s="346">
        <f>SUM(J203:J205)</f>
        <v>0</v>
      </c>
      <c r="K206" s="347"/>
      <c r="L206" s="348"/>
      <c r="M206" s="16"/>
    </row>
    <row r="207" spans="1:20" ht="25" customHeight="1">
      <c r="A207" s="11"/>
      <c r="B207" s="350"/>
      <c r="C207" s="351"/>
      <c r="D207" s="351"/>
      <c r="E207" s="351"/>
      <c r="F207" s="352"/>
      <c r="G207" s="353"/>
      <c r="H207" s="949"/>
      <c r="I207" s="354"/>
      <c r="J207" s="354"/>
      <c r="K207" s="355"/>
      <c r="L207" s="13"/>
      <c r="M207" s="16"/>
    </row>
    <row r="208" spans="1:20" ht="25" customHeight="1">
      <c r="A208" s="11"/>
      <c r="B208" s="20"/>
      <c r="C208" s="184"/>
      <c r="D208" s="356"/>
      <c r="E208" s="261"/>
      <c r="F208" s="279"/>
      <c r="G208" s="357"/>
      <c r="H208" s="81"/>
      <c r="I208" s="358"/>
      <c r="J208" s="359"/>
      <c r="K208" s="185"/>
      <c r="L208" s="13"/>
      <c r="M208" s="16"/>
    </row>
    <row r="209" spans="1:23" ht="25" customHeight="1">
      <c r="A209" s="360"/>
      <c r="B209" s="361"/>
      <c r="C209" s="219"/>
      <c r="D209" s="362"/>
      <c r="E209" s="363"/>
      <c r="F209" s="364"/>
      <c r="G209" s="365"/>
      <c r="H209" s="939"/>
      <c r="I209" s="366"/>
      <c r="J209" s="367"/>
      <c r="K209" s="220"/>
      <c r="L209" s="368"/>
      <c r="M209" s="16"/>
    </row>
    <row r="210" spans="1:23" s="379" customFormat="1" ht="25" customHeight="1">
      <c r="A210" s="369"/>
      <c r="B210" s="370"/>
      <c r="C210" s="371"/>
      <c r="D210" s="372"/>
      <c r="E210" s="373"/>
      <c r="F210" s="374"/>
      <c r="G210" s="375"/>
      <c r="H210" s="383"/>
      <c r="I210" s="376"/>
      <c r="J210" s="377"/>
      <c r="K210" s="378"/>
    </row>
    <row r="211" spans="1:23" s="379" customFormat="1" ht="25" customHeight="1">
      <c r="A211" s="369"/>
      <c r="B211" s="380" t="s">
        <v>143</v>
      </c>
      <c r="C211" s="371"/>
      <c r="D211" s="371"/>
      <c r="E211" s="371"/>
      <c r="F211" s="381"/>
      <c r="G211" s="382"/>
      <c r="H211" s="383"/>
      <c r="I211" s="383"/>
      <c r="J211" s="383"/>
      <c r="K211" s="378"/>
      <c r="L211" s="377"/>
      <c r="M211" s="377"/>
      <c r="N211" s="377"/>
    </row>
    <row r="212" spans="1:23" s="379" customFormat="1" ht="25" customHeight="1">
      <c r="A212" s="369"/>
      <c r="B212" s="380" t="s">
        <v>144</v>
      </c>
      <c r="C212" s="371"/>
      <c r="D212" s="371"/>
      <c r="E212" s="371"/>
      <c r="F212" s="381"/>
      <c r="G212" s="382"/>
      <c r="H212" s="383"/>
      <c r="I212" s="383"/>
      <c r="J212" s="383"/>
      <c r="K212" s="378"/>
      <c r="L212" s="377"/>
      <c r="M212" s="377"/>
      <c r="N212" s="377"/>
    </row>
    <row r="213" spans="1:23" s="379" customFormat="1" ht="25" customHeight="1">
      <c r="A213" s="369"/>
      <c r="B213" s="380" t="s">
        <v>660</v>
      </c>
      <c r="C213" s="371"/>
      <c r="D213" s="371"/>
      <c r="E213" s="371"/>
      <c r="F213" s="381"/>
      <c r="G213" s="382"/>
      <c r="H213" s="383"/>
      <c r="I213" s="383"/>
      <c r="J213" s="383"/>
      <c r="K213" s="378"/>
      <c r="L213" s="377"/>
      <c r="M213" s="377"/>
      <c r="N213" s="377"/>
    </row>
    <row r="214" spans="1:23" s="379" customFormat="1" ht="25" customHeight="1">
      <c r="A214" s="369"/>
      <c r="B214" s="380" t="s">
        <v>661</v>
      </c>
      <c r="C214" s="371"/>
      <c r="D214" s="371"/>
      <c r="E214" s="371"/>
      <c r="F214" s="381"/>
      <c r="G214" s="382"/>
      <c r="H214" s="383"/>
      <c r="I214" s="383"/>
      <c r="J214" s="383"/>
      <c r="K214" s="378"/>
      <c r="L214" s="377"/>
      <c r="M214" s="377"/>
      <c r="N214" s="377"/>
    </row>
    <row r="215" spans="1:23" s="379" customFormat="1" ht="25" customHeight="1">
      <c r="A215" s="369"/>
      <c r="B215" s="380"/>
      <c r="C215" s="371"/>
      <c r="D215" s="371"/>
      <c r="E215" s="371"/>
      <c r="F215" s="381"/>
      <c r="G215" s="382"/>
      <c r="H215" s="383"/>
      <c r="I215" s="383"/>
      <c r="J215" s="383"/>
      <c r="K215" s="378"/>
      <c r="L215" s="377"/>
      <c r="M215" s="377"/>
      <c r="N215" s="377"/>
    </row>
    <row r="216" spans="1:23" s="379" customFormat="1" ht="25" customHeight="1">
      <c r="A216" s="369"/>
      <c r="B216" s="370"/>
      <c r="C216" s="371"/>
      <c r="D216" s="371"/>
      <c r="E216" s="371"/>
      <c r="F216" s="381"/>
      <c r="G216" s="382"/>
      <c r="H216" s="383"/>
      <c r="I216" s="383"/>
      <c r="J216" s="383"/>
      <c r="K216" s="378"/>
      <c r="L216" s="377"/>
      <c r="M216" s="377"/>
      <c r="N216" s="377"/>
    </row>
    <row r="217" spans="1:23" s="379" customFormat="1" ht="25" customHeight="1">
      <c r="A217" s="369"/>
      <c r="B217" s="370"/>
      <c r="C217" s="371"/>
      <c r="D217" s="371"/>
      <c r="E217" s="371"/>
      <c r="F217" s="381"/>
      <c r="G217" s="382"/>
      <c r="H217" s="383"/>
      <c r="I217" s="383"/>
      <c r="J217" s="383"/>
      <c r="K217" s="378"/>
      <c r="L217" s="377"/>
      <c r="M217" s="377"/>
      <c r="N217" s="377"/>
    </row>
    <row r="218" spans="1:23" s="379" customFormat="1" ht="25" customHeight="1">
      <c r="A218" s="369"/>
      <c r="B218" s="370"/>
      <c r="C218" s="371"/>
      <c r="D218" s="371"/>
      <c r="E218" s="371"/>
      <c r="F218" s="381"/>
      <c r="G218" s="382"/>
      <c r="H218" s="383"/>
      <c r="I218" s="383"/>
      <c r="J218" s="383"/>
      <c r="K218" s="378"/>
      <c r="L218" s="377"/>
      <c r="M218" s="377"/>
      <c r="N218" s="377"/>
    </row>
    <row r="219" spans="1:23" s="379" customFormat="1" ht="25" customHeight="1">
      <c r="A219" s="369"/>
      <c r="B219" s="370"/>
      <c r="C219" s="371"/>
      <c r="D219" s="371"/>
      <c r="E219" s="371"/>
      <c r="F219" s="381"/>
      <c r="G219" s="382"/>
      <c r="H219" s="383"/>
      <c r="I219" s="383"/>
      <c r="J219" s="383"/>
      <c r="K219" s="378"/>
      <c r="L219" s="377"/>
      <c r="M219" s="377"/>
      <c r="N219" s="377"/>
    </row>
    <row r="220" spans="1:23" s="384" customFormat="1" ht="25" customHeight="1">
      <c r="A220" s="369"/>
      <c r="B220" s="370"/>
      <c r="C220" s="371"/>
      <c r="D220" s="371"/>
      <c r="E220" s="371"/>
      <c r="F220" s="381"/>
      <c r="G220" s="382"/>
      <c r="H220" s="383"/>
      <c r="I220" s="383"/>
      <c r="J220" s="383"/>
      <c r="K220" s="378"/>
      <c r="L220" s="377"/>
      <c r="M220" s="377"/>
      <c r="N220" s="377"/>
      <c r="O220" s="379"/>
      <c r="P220" s="379"/>
      <c r="Q220" s="379"/>
      <c r="R220" s="379"/>
      <c r="S220" s="379"/>
      <c r="T220" s="379"/>
      <c r="U220" s="379"/>
      <c r="V220" s="379"/>
      <c r="W220" s="379"/>
    </row>
    <row r="221" spans="1:23" s="379" customFormat="1" ht="25" customHeight="1">
      <c r="A221" s="369"/>
      <c r="B221" s="370"/>
      <c r="C221" s="371"/>
      <c r="D221" s="371"/>
      <c r="E221" s="371"/>
      <c r="F221" s="381"/>
      <c r="G221" s="382"/>
      <c r="H221" s="383"/>
      <c r="I221" s="383"/>
      <c r="J221" s="383"/>
      <c r="K221" s="378"/>
      <c r="L221" s="377"/>
      <c r="M221" s="377"/>
      <c r="N221" s="377"/>
    </row>
    <row r="222" spans="1:23" s="379" customFormat="1" ht="25" customHeight="1">
      <c r="A222" s="369"/>
      <c r="B222" s="370"/>
      <c r="C222" s="371"/>
      <c r="D222" s="371"/>
      <c r="E222" s="371"/>
      <c r="F222" s="381"/>
      <c r="G222" s="382"/>
      <c r="H222" s="383"/>
      <c r="I222" s="383"/>
      <c r="J222" s="383"/>
      <c r="K222" s="378"/>
      <c r="L222" s="377"/>
      <c r="M222" s="377"/>
      <c r="N222" s="377"/>
    </row>
    <row r="223" spans="1:23" s="379" customFormat="1" ht="25" customHeight="1">
      <c r="A223" s="369"/>
      <c r="B223" s="370"/>
      <c r="C223" s="371"/>
      <c r="D223" s="371"/>
      <c r="E223" s="371"/>
      <c r="F223" s="381"/>
      <c r="G223" s="382"/>
      <c r="H223" s="383"/>
      <c r="I223" s="383"/>
      <c r="J223" s="383"/>
      <c r="K223" s="378"/>
      <c r="L223" s="377"/>
      <c r="M223" s="377"/>
      <c r="N223" s="377"/>
    </row>
    <row r="224" spans="1:23" s="379" customFormat="1" ht="25" customHeight="1">
      <c r="A224" s="369"/>
      <c r="B224" s="370"/>
      <c r="C224" s="371"/>
      <c r="D224" s="371"/>
      <c r="E224" s="371"/>
      <c r="F224" s="381"/>
      <c r="G224" s="382"/>
      <c r="H224" s="383"/>
      <c r="I224" s="383"/>
      <c r="J224" s="383"/>
      <c r="K224" s="378"/>
      <c r="L224" s="377"/>
      <c r="M224" s="377"/>
      <c r="N224" s="377"/>
    </row>
    <row r="225" spans="1:14" s="379" customFormat="1" ht="25" customHeight="1">
      <c r="A225" s="369"/>
      <c r="B225" s="370"/>
      <c r="C225" s="371"/>
      <c r="D225" s="371"/>
      <c r="E225" s="371"/>
      <c r="F225" s="381"/>
      <c r="G225" s="382"/>
      <c r="H225" s="383"/>
      <c r="I225" s="383"/>
      <c r="J225" s="383"/>
      <c r="K225" s="378"/>
      <c r="L225" s="377"/>
      <c r="M225" s="377"/>
      <c r="N225" s="377"/>
    </row>
    <row r="226" spans="1:14" s="379" customFormat="1" ht="25" customHeight="1">
      <c r="A226" s="369"/>
      <c r="B226" s="370"/>
      <c r="C226" s="371"/>
      <c r="D226" s="371"/>
      <c r="E226" s="371"/>
      <c r="F226" s="381"/>
      <c r="G226" s="382"/>
      <c r="H226" s="383"/>
      <c r="I226" s="383"/>
      <c r="J226" s="383"/>
      <c r="K226" s="378"/>
      <c r="L226" s="377"/>
      <c r="M226" s="377"/>
      <c r="N226" s="377"/>
    </row>
    <row r="227" spans="1:14" s="379" customFormat="1" ht="25" customHeight="1">
      <c r="A227" s="369"/>
      <c r="B227" s="370"/>
      <c r="C227" s="371"/>
      <c r="D227" s="371"/>
      <c r="E227" s="371"/>
      <c r="F227" s="381"/>
      <c r="G227" s="382"/>
      <c r="H227" s="383"/>
      <c r="I227" s="383"/>
      <c r="J227" s="383"/>
      <c r="K227" s="378"/>
      <c r="L227" s="377"/>
      <c r="M227" s="377"/>
      <c r="N227" s="377"/>
    </row>
    <row r="228" spans="1:14" s="379" customFormat="1" ht="25" customHeight="1">
      <c r="A228" s="369"/>
      <c r="B228" s="370"/>
      <c r="C228" s="371"/>
      <c r="D228" s="371"/>
      <c r="E228" s="371"/>
      <c r="F228" s="381"/>
      <c r="G228" s="382"/>
      <c r="H228" s="383"/>
      <c r="I228" s="383"/>
      <c r="J228" s="383"/>
      <c r="K228" s="378"/>
      <c r="L228" s="377"/>
      <c r="M228" s="377"/>
      <c r="N228" s="377"/>
    </row>
    <row r="229" spans="1:14" s="379" customFormat="1" ht="25" customHeight="1">
      <c r="A229" s="369"/>
      <c r="B229" s="370"/>
      <c r="C229" s="371"/>
      <c r="D229" s="371"/>
      <c r="E229" s="371"/>
      <c r="F229" s="381"/>
      <c r="G229" s="382"/>
      <c r="H229" s="383"/>
      <c r="I229" s="383"/>
      <c r="J229" s="383"/>
      <c r="K229" s="378"/>
      <c r="L229" s="377"/>
      <c r="M229" s="377"/>
      <c r="N229" s="377"/>
    </row>
    <row r="230" spans="1:14" s="379" customFormat="1" ht="25" customHeight="1">
      <c r="A230" s="369"/>
      <c r="B230" s="370"/>
      <c r="C230" s="371"/>
      <c r="D230" s="371"/>
      <c r="E230" s="371"/>
      <c r="F230" s="381"/>
      <c r="G230" s="382"/>
      <c r="H230" s="383"/>
      <c r="I230" s="383"/>
      <c r="J230" s="383"/>
      <c r="K230" s="378"/>
      <c r="L230" s="377"/>
      <c r="M230" s="377"/>
      <c r="N230" s="377"/>
    </row>
    <row r="231" spans="1:14" s="379" customFormat="1" ht="25" customHeight="1">
      <c r="A231" s="369"/>
      <c r="B231" s="370"/>
      <c r="C231" s="371"/>
      <c r="D231" s="371"/>
      <c r="E231" s="371"/>
      <c r="F231" s="381"/>
      <c r="G231" s="382"/>
      <c r="H231" s="383"/>
      <c r="I231" s="383"/>
      <c r="J231" s="383"/>
      <c r="K231" s="378"/>
      <c r="L231" s="377"/>
      <c r="M231" s="377"/>
      <c r="N231" s="377"/>
    </row>
    <row r="232" spans="1:14" s="379" customFormat="1" ht="25" customHeight="1">
      <c r="A232" s="369"/>
      <c r="B232" s="370"/>
      <c r="C232" s="371"/>
      <c r="D232" s="371"/>
      <c r="E232" s="371"/>
      <c r="F232" s="381"/>
      <c r="G232" s="382"/>
      <c r="H232" s="383"/>
      <c r="I232" s="383"/>
      <c r="J232" s="383"/>
      <c r="K232" s="378"/>
      <c r="L232" s="377"/>
      <c r="M232" s="377"/>
      <c r="N232" s="377"/>
    </row>
    <row r="233" spans="1:14" s="379" customFormat="1" ht="25" customHeight="1">
      <c r="A233" s="369"/>
      <c r="B233" s="370"/>
      <c r="C233" s="371"/>
      <c r="D233" s="371"/>
      <c r="E233" s="371"/>
      <c r="F233" s="381"/>
      <c r="G233" s="382"/>
      <c r="H233" s="383"/>
      <c r="I233" s="383"/>
      <c r="J233" s="383"/>
      <c r="K233" s="378"/>
      <c r="L233" s="377"/>
      <c r="M233" s="377"/>
      <c r="N233" s="377"/>
    </row>
    <row r="234" spans="1:14" s="379" customFormat="1" ht="25" customHeight="1">
      <c r="A234" s="369"/>
      <c r="B234" s="370"/>
      <c r="C234" s="371"/>
      <c r="D234" s="371"/>
      <c r="E234" s="371"/>
      <c r="F234" s="381"/>
      <c r="G234" s="382"/>
      <c r="H234" s="383"/>
      <c r="I234" s="383"/>
      <c r="J234" s="383"/>
      <c r="K234" s="378"/>
      <c r="L234" s="377"/>
      <c r="M234" s="377"/>
      <c r="N234" s="377"/>
    </row>
    <row r="235" spans="1:14" s="379" customFormat="1" ht="25" customHeight="1">
      <c r="A235" s="369"/>
      <c r="B235" s="370"/>
      <c r="C235" s="371"/>
      <c r="D235" s="371"/>
      <c r="E235" s="371"/>
      <c r="F235" s="381"/>
      <c r="G235" s="382"/>
      <c r="H235" s="383"/>
      <c r="I235" s="383"/>
      <c r="J235" s="383"/>
      <c r="K235" s="378"/>
      <c r="L235" s="377"/>
      <c r="M235" s="377"/>
      <c r="N235" s="377"/>
    </row>
    <row r="236" spans="1:14" s="379" customFormat="1" ht="25" customHeight="1">
      <c r="A236" s="369"/>
      <c r="B236" s="370"/>
      <c r="C236" s="371"/>
      <c r="D236" s="371"/>
      <c r="E236" s="371"/>
      <c r="F236" s="381"/>
      <c r="G236" s="382"/>
      <c r="H236" s="383"/>
      <c r="I236" s="383"/>
      <c r="J236" s="383"/>
      <c r="K236" s="378"/>
      <c r="L236" s="377"/>
      <c r="M236" s="377"/>
      <c r="N236" s="377"/>
    </row>
    <row r="237" spans="1:14" s="379" customFormat="1" ht="25" customHeight="1">
      <c r="A237" s="369"/>
      <c r="B237" s="370"/>
      <c r="C237" s="371"/>
      <c r="D237" s="371"/>
      <c r="E237" s="371"/>
      <c r="F237" s="381"/>
      <c r="G237" s="382"/>
      <c r="H237" s="383"/>
      <c r="I237" s="383"/>
      <c r="J237" s="383"/>
      <c r="K237" s="378"/>
      <c r="L237" s="377"/>
      <c r="M237" s="377"/>
      <c r="N237" s="377"/>
    </row>
    <row r="238" spans="1:14" s="379" customFormat="1" ht="25" customHeight="1">
      <c r="A238" s="369"/>
      <c r="B238" s="370"/>
      <c r="C238" s="371"/>
      <c r="D238" s="371"/>
      <c r="E238" s="371"/>
      <c r="F238" s="381"/>
      <c r="G238" s="382"/>
      <c r="H238" s="383"/>
      <c r="I238" s="383"/>
      <c r="J238" s="383"/>
      <c r="K238" s="378"/>
      <c r="L238" s="377"/>
      <c r="M238" s="377"/>
      <c r="N238" s="377"/>
    </row>
    <row r="239" spans="1:14" s="379" customFormat="1" ht="25" customHeight="1">
      <c r="A239" s="369"/>
      <c r="B239" s="370"/>
      <c r="C239" s="371"/>
      <c r="D239" s="371"/>
      <c r="E239" s="371"/>
      <c r="F239" s="381"/>
      <c r="G239" s="382"/>
      <c r="H239" s="383"/>
      <c r="I239" s="383"/>
      <c r="J239" s="383"/>
      <c r="K239" s="378"/>
      <c r="L239" s="377"/>
      <c r="M239" s="377"/>
      <c r="N239" s="377"/>
    </row>
    <row r="240" spans="1:14" s="379" customFormat="1" ht="25" customHeight="1">
      <c r="A240" s="369"/>
      <c r="B240" s="370"/>
      <c r="H240" s="383"/>
      <c r="K240" s="378"/>
      <c r="M240" s="385"/>
    </row>
    <row r="241" spans="1:13" s="379" customFormat="1" ht="25" customHeight="1">
      <c r="A241" s="369"/>
      <c r="B241" s="370"/>
      <c r="H241" s="383"/>
      <c r="K241" s="378"/>
      <c r="M241" s="385"/>
    </row>
    <row r="242" spans="1:13" s="379" customFormat="1" ht="25" customHeight="1">
      <c r="A242" s="369"/>
      <c r="B242" s="370"/>
      <c r="H242" s="383"/>
      <c r="K242" s="378"/>
      <c r="M242" s="385"/>
    </row>
    <row r="243" spans="1:13" s="379" customFormat="1" ht="25" customHeight="1">
      <c r="A243" s="369"/>
      <c r="B243" s="370"/>
      <c r="H243" s="383"/>
      <c r="K243" s="378"/>
      <c r="M243" s="385"/>
    </row>
    <row r="244" spans="1:13" s="379" customFormat="1" ht="25" customHeight="1">
      <c r="A244" s="369"/>
      <c r="B244" s="370"/>
      <c r="H244" s="383"/>
      <c r="K244" s="378"/>
      <c r="M244" s="385"/>
    </row>
    <row r="245" spans="1:13" s="379" customFormat="1" ht="25" customHeight="1">
      <c r="A245" s="369"/>
      <c r="B245" s="370"/>
      <c r="H245" s="383"/>
      <c r="K245" s="378"/>
      <c r="M245" s="385"/>
    </row>
    <row r="246" spans="1:13" s="379" customFormat="1" ht="25" customHeight="1">
      <c r="A246" s="369"/>
      <c r="B246" s="370"/>
      <c r="H246" s="383"/>
      <c r="K246" s="378"/>
      <c r="M246" s="385"/>
    </row>
    <row r="247" spans="1:13" s="379" customFormat="1" ht="25" customHeight="1">
      <c r="A247" s="369"/>
      <c r="B247" s="370"/>
      <c r="H247" s="383"/>
      <c r="K247" s="378"/>
      <c r="M247" s="385"/>
    </row>
    <row r="248" spans="1:13" s="379" customFormat="1" ht="25" customHeight="1">
      <c r="A248" s="369"/>
      <c r="B248" s="370"/>
      <c r="H248" s="383"/>
      <c r="K248" s="378"/>
      <c r="M248" s="385"/>
    </row>
    <row r="249" spans="1:13" s="379" customFormat="1" ht="25" customHeight="1">
      <c r="A249" s="369"/>
      <c r="B249" s="370"/>
      <c r="H249" s="383"/>
      <c r="K249" s="378"/>
      <c r="M249" s="385"/>
    </row>
    <row r="250" spans="1:13" s="379" customFormat="1" ht="25" customHeight="1">
      <c r="A250" s="369"/>
      <c r="B250" s="370"/>
      <c r="H250" s="383"/>
      <c r="K250" s="378"/>
      <c r="M250" s="385"/>
    </row>
    <row r="251" spans="1:13" s="379" customFormat="1" ht="25" customHeight="1">
      <c r="A251" s="369"/>
      <c r="B251" s="370"/>
      <c r="H251" s="383"/>
      <c r="K251" s="378"/>
      <c r="M251" s="385"/>
    </row>
    <row r="252" spans="1:13" s="379" customFormat="1" ht="25" customHeight="1">
      <c r="A252" s="369"/>
      <c r="B252" s="370"/>
      <c r="H252" s="383"/>
      <c r="K252" s="378"/>
      <c r="M252" s="385"/>
    </row>
    <row r="253" spans="1:13" s="379" customFormat="1" ht="25" customHeight="1">
      <c r="A253" s="369"/>
      <c r="B253" s="370"/>
      <c r="H253" s="383"/>
      <c r="K253" s="378"/>
      <c r="M253" s="385"/>
    </row>
    <row r="254" spans="1:13" s="379" customFormat="1" ht="25" customHeight="1">
      <c r="A254" s="369"/>
      <c r="B254" s="370"/>
      <c r="H254" s="383"/>
      <c r="K254" s="378"/>
      <c r="M254" s="385"/>
    </row>
    <row r="255" spans="1:13" s="379" customFormat="1" ht="25" customHeight="1">
      <c r="A255" s="369"/>
      <c r="B255" s="370"/>
      <c r="H255" s="383"/>
      <c r="K255" s="378"/>
      <c r="M255" s="385"/>
    </row>
    <row r="256" spans="1:13" s="379" customFormat="1" ht="25" customHeight="1">
      <c r="A256" s="369"/>
      <c r="B256" s="370"/>
      <c r="H256" s="383"/>
      <c r="K256" s="378"/>
      <c r="M256" s="385"/>
    </row>
    <row r="257" spans="1:13" s="379" customFormat="1" ht="25" customHeight="1">
      <c r="A257" s="369"/>
      <c r="B257" s="370"/>
      <c r="H257" s="383"/>
      <c r="K257" s="378"/>
      <c r="M257" s="385"/>
    </row>
    <row r="258" spans="1:13" s="379" customFormat="1" ht="25" customHeight="1">
      <c r="A258" s="369"/>
      <c r="B258" s="370"/>
      <c r="H258" s="383"/>
      <c r="K258" s="378"/>
      <c r="M258" s="385"/>
    </row>
    <row r="259" spans="1:13" s="379" customFormat="1" ht="25" customHeight="1">
      <c r="A259" s="369"/>
      <c r="B259" s="370"/>
      <c r="H259" s="383"/>
      <c r="K259" s="378"/>
      <c r="M259" s="385"/>
    </row>
    <row r="260" spans="1:13" s="379" customFormat="1" ht="25" customHeight="1">
      <c r="A260" s="369"/>
      <c r="B260" s="370"/>
      <c r="H260" s="383"/>
      <c r="K260" s="378"/>
      <c r="M260" s="385"/>
    </row>
    <row r="261" spans="1:13" s="379" customFormat="1" ht="25" customHeight="1">
      <c r="A261" s="369"/>
      <c r="B261" s="370"/>
      <c r="H261" s="383"/>
      <c r="K261" s="378"/>
      <c r="M261" s="385"/>
    </row>
    <row r="262" spans="1:13" s="379" customFormat="1" ht="25" customHeight="1">
      <c r="A262" s="369"/>
      <c r="B262" s="370"/>
      <c r="H262" s="383"/>
      <c r="K262" s="378"/>
      <c r="M262" s="385"/>
    </row>
    <row r="263" spans="1:13" s="379" customFormat="1" ht="25" customHeight="1">
      <c r="A263" s="369"/>
      <c r="B263" s="370"/>
      <c r="H263" s="383"/>
      <c r="K263" s="378"/>
      <c r="M263" s="385"/>
    </row>
    <row r="264" spans="1:13" s="379" customFormat="1" ht="25" customHeight="1">
      <c r="A264" s="369"/>
      <c r="B264" s="370"/>
      <c r="H264" s="383"/>
      <c r="K264" s="378"/>
      <c r="M264" s="385"/>
    </row>
    <row r="265" spans="1:13" s="379" customFormat="1" ht="25" customHeight="1">
      <c r="A265" s="369"/>
      <c r="B265" s="370"/>
      <c r="H265" s="383"/>
      <c r="K265" s="378"/>
      <c r="M265" s="385"/>
    </row>
    <row r="266" spans="1:13" s="379" customFormat="1" ht="25" customHeight="1">
      <c r="A266" s="369"/>
      <c r="B266" s="370"/>
      <c r="H266" s="383"/>
      <c r="K266" s="378"/>
      <c r="M266" s="385"/>
    </row>
    <row r="267" spans="1:13" s="379" customFormat="1" ht="25" customHeight="1">
      <c r="A267" s="369"/>
      <c r="B267" s="370"/>
      <c r="H267" s="383"/>
      <c r="K267" s="378"/>
      <c r="M267" s="385"/>
    </row>
    <row r="268" spans="1:13" s="379" customFormat="1" ht="25" customHeight="1">
      <c r="A268" s="369"/>
      <c r="B268" s="370"/>
      <c r="H268" s="383"/>
      <c r="K268" s="378"/>
      <c r="M268" s="385"/>
    </row>
    <row r="269" spans="1:13" s="379" customFormat="1" ht="25" customHeight="1">
      <c r="A269" s="369"/>
      <c r="B269" s="370"/>
      <c r="H269" s="383"/>
      <c r="K269" s="378"/>
      <c r="M269" s="385"/>
    </row>
    <row r="270" spans="1:13" s="379" customFormat="1" ht="25" customHeight="1">
      <c r="A270" s="369"/>
      <c r="B270" s="370"/>
      <c r="H270" s="383"/>
      <c r="K270" s="378"/>
      <c r="M270" s="385"/>
    </row>
    <row r="271" spans="1:13" s="379" customFormat="1" ht="25" customHeight="1">
      <c r="A271" s="369"/>
      <c r="B271" s="370"/>
      <c r="H271" s="383"/>
      <c r="K271" s="378"/>
      <c r="M271" s="385"/>
    </row>
    <row r="272" spans="1:13" s="379" customFormat="1" ht="25" customHeight="1">
      <c r="A272" s="369"/>
      <c r="B272" s="370"/>
      <c r="H272" s="383"/>
      <c r="K272" s="378"/>
      <c r="M272" s="385"/>
    </row>
    <row r="273" spans="1:13" s="379" customFormat="1" ht="25" customHeight="1">
      <c r="A273" s="369"/>
      <c r="B273" s="370"/>
      <c r="H273" s="383"/>
      <c r="K273" s="378"/>
      <c r="M273" s="385"/>
    </row>
    <row r="274" spans="1:13" s="379" customFormat="1" ht="25" customHeight="1">
      <c r="A274" s="369"/>
      <c r="B274" s="370"/>
      <c r="H274" s="383"/>
      <c r="K274" s="378"/>
      <c r="M274" s="385"/>
    </row>
    <row r="275" spans="1:13" s="379" customFormat="1" ht="25" customHeight="1">
      <c r="A275" s="369"/>
      <c r="B275" s="370"/>
      <c r="H275" s="383"/>
      <c r="K275" s="378"/>
      <c r="M275" s="385"/>
    </row>
    <row r="276" spans="1:13" s="379" customFormat="1" ht="25" customHeight="1">
      <c r="A276" s="369"/>
      <c r="B276" s="370"/>
      <c r="H276" s="383"/>
      <c r="K276" s="378"/>
      <c r="M276" s="385"/>
    </row>
    <row r="277" spans="1:13" s="379" customFormat="1" ht="25" customHeight="1">
      <c r="A277" s="369"/>
      <c r="B277" s="370"/>
      <c r="H277" s="383"/>
      <c r="K277" s="378"/>
      <c r="M277" s="385"/>
    </row>
    <row r="278" spans="1:13" s="379" customFormat="1" ht="25" customHeight="1">
      <c r="A278" s="369"/>
      <c r="B278" s="370"/>
      <c r="H278" s="383"/>
      <c r="K278" s="378"/>
      <c r="M278" s="385"/>
    </row>
    <row r="279" spans="1:13" s="379" customFormat="1" ht="25" customHeight="1">
      <c r="A279" s="369"/>
      <c r="B279" s="370"/>
      <c r="H279" s="383"/>
      <c r="K279" s="378"/>
      <c r="M279" s="385"/>
    </row>
    <row r="280" spans="1:13" s="379" customFormat="1" ht="25" customHeight="1">
      <c r="A280" s="369"/>
      <c r="B280" s="370"/>
      <c r="H280" s="383"/>
      <c r="K280" s="378"/>
      <c r="M280" s="385"/>
    </row>
    <row r="281" spans="1:13" s="379" customFormat="1" ht="25" customHeight="1">
      <c r="A281" s="369"/>
      <c r="B281" s="370"/>
      <c r="H281" s="383"/>
      <c r="K281" s="378"/>
      <c r="M281" s="385"/>
    </row>
    <row r="282" spans="1:13" s="379" customFormat="1" ht="25" customHeight="1">
      <c r="A282" s="369"/>
      <c r="B282" s="370"/>
      <c r="H282" s="383"/>
      <c r="K282" s="378"/>
      <c r="M282" s="385"/>
    </row>
    <row r="283" spans="1:13" s="379" customFormat="1" ht="25" customHeight="1">
      <c r="A283" s="369"/>
      <c r="B283" s="370"/>
      <c r="H283" s="383"/>
      <c r="K283" s="378"/>
      <c r="M283" s="385"/>
    </row>
    <row r="284" spans="1:13" s="379" customFormat="1" ht="25" customHeight="1">
      <c r="A284" s="369"/>
      <c r="B284" s="370"/>
      <c r="H284" s="383"/>
      <c r="K284" s="378"/>
      <c r="M284" s="385"/>
    </row>
    <row r="285" spans="1:13" s="379" customFormat="1" ht="25" customHeight="1">
      <c r="A285" s="369"/>
      <c r="B285" s="370"/>
      <c r="H285" s="383"/>
      <c r="K285" s="378"/>
      <c r="M285" s="385"/>
    </row>
    <row r="286" spans="1:13" s="379" customFormat="1" ht="25" customHeight="1">
      <c r="A286" s="369"/>
      <c r="B286" s="370"/>
      <c r="H286" s="383"/>
      <c r="K286" s="378"/>
      <c r="M286" s="385"/>
    </row>
    <row r="287" spans="1:13" s="379" customFormat="1" ht="25" customHeight="1">
      <c r="A287" s="369"/>
      <c r="B287" s="370"/>
      <c r="H287" s="383"/>
      <c r="K287" s="378"/>
      <c r="M287" s="385"/>
    </row>
    <row r="288" spans="1:13" s="379" customFormat="1" ht="25" customHeight="1">
      <c r="A288" s="369"/>
      <c r="B288" s="370"/>
      <c r="H288" s="383"/>
      <c r="K288" s="378"/>
      <c r="M288" s="385"/>
    </row>
    <row r="289" spans="1:13" s="379" customFormat="1" ht="25" customHeight="1">
      <c r="A289" s="6"/>
      <c r="B289" s="370"/>
      <c r="H289" s="383"/>
      <c r="K289" s="378"/>
      <c r="M289" s="385"/>
    </row>
    <row r="290" spans="1:13" s="379" customFormat="1" ht="25" customHeight="1">
      <c r="A290" s="6"/>
      <c r="B290" s="370"/>
      <c r="H290" s="383"/>
      <c r="K290" s="378"/>
      <c r="M290" s="385"/>
    </row>
    <row r="302" spans="1:13" ht="25" customHeight="1">
      <c r="B302" s="386"/>
      <c r="C302" s="190"/>
      <c r="D302" s="163"/>
    </row>
  </sheetData>
  <sheetProtection algorithmName="SHA-512" hashValue="8Q4gMkuqMK6+59wwEt42Zxct+sm84Srqd+SPe/i3E+tN8jsuIkd2FZQfVF7Y7ptgtgo+ZN5TPGl5E9NsfkstoQ==" saltValue="qPEafaWME1UPVvttYUkQ0w==" spinCount="100000" sheet="1" selectLockedCells="1"/>
  <mergeCells count="12">
    <mergeCell ref="B165:K167"/>
    <mergeCell ref="B168:F168"/>
    <mergeCell ref="B169:F169"/>
    <mergeCell ref="B193:G195"/>
    <mergeCell ref="B196:F196"/>
    <mergeCell ref="B127:G129"/>
    <mergeCell ref="B112:G114"/>
    <mergeCell ref="B4:C4"/>
    <mergeCell ref="B30:G32"/>
    <mergeCell ref="B98:G100"/>
    <mergeCell ref="B15:L17"/>
    <mergeCell ref="B23:E23"/>
  </mergeCells>
  <conditionalFormatting sqref="I25:I26 K25:K26">
    <cfRule type="cellIs" dxfId="67" priority="1" operator="greaterThan">
      <formula>0</formula>
    </cfRule>
  </conditionalFormatting>
  <conditionalFormatting sqref="I41:I54 K41:K54 I62:I71 K62:K71 I91:I93 K91:K93 I106:I107 K106:K107 I120:I122 K120:K122 J121:J122">
    <cfRule type="cellIs" dxfId="66" priority="5" operator="greaterThan">
      <formula>0</formula>
    </cfRule>
  </conditionalFormatting>
  <conditionalFormatting sqref="I79:I83 K79:K83">
    <cfRule type="cellIs" dxfId="65" priority="3" operator="greaterThan">
      <formula>0</formula>
    </cfRule>
  </conditionalFormatting>
  <hyperlinks>
    <hyperlink ref="B10" r:id="rId1" xr:uid="{00000000-0004-0000-0000-000000000000}"/>
    <hyperlink ref="B200" r:id="rId2" xr:uid="{00000000-0004-0000-0000-000003000000}"/>
    <hyperlink ref="B23" location="'SEK - Safesprings tjänster 2023'!I80" display="Central blocklagring kan köpas till instanserna. Se &quot;Central blocklagring&quot; i prislistan." xr:uid="{8A13AB83-657C-6144-8C5B-4B96F1330E6A}"/>
  </hyperlinks>
  <pageMargins left="0" right="0" top="0" bottom="0" header="0.511811023622047" footer="0"/>
  <pageSetup paperSize="9" orientation="portrait" horizontalDpi="300" verticalDpi="300"/>
  <headerFooter>
    <oddFooter>&amp;C&amp;P av 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300"/>
  <sheetViews>
    <sheetView showGridLines="0" tabSelected="1" zoomScaleNormal="100" workbookViewId="0">
      <selection activeCell="I25" sqref="I25"/>
    </sheetView>
  </sheetViews>
  <sheetFormatPr baseColWidth="10" defaultColWidth="15" defaultRowHeight="25" customHeight="1"/>
  <cols>
    <col min="1" max="1" width="11.83203125" style="6" customWidth="1"/>
    <col min="2" max="2" width="30.83203125" style="7" customWidth="1"/>
    <col min="3" max="10" width="14.83203125" style="8" customWidth="1"/>
    <col min="11" max="11" width="14.83203125" style="127" customWidth="1"/>
    <col min="12" max="12" width="14.83203125" style="8" customWidth="1"/>
    <col min="13" max="13" width="14.83203125" style="10" customWidth="1"/>
    <col min="14" max="14" width="30.83203125" style="7" customWidth="1"/>
    <col min="15" max="16384" width="15" style="8"/>
  </cols>
  <sheetData>
    <row r="1" spans="1:26" ht="25" customHeight="1">
      <c r="A1" s="11"/>
      <c r="B1" s="12"/>
      <c r="C1" s="5"/>
      <c r="D1" s="13"/>
      <c r="E1" s="13"/>
      <c r="F1" s="13"/>
      <c r="G1" s="13"/>
      <c r="H1" s="13"/>
      <c r="I1" s="13"/>
      <c r="J1" s="13"/>
      <c r="K1" s="387"/>
      <c r="L1" s="15"/>
      <c r="M1" s="16"/>
      <c r="N1" s="8"/>
    </row>
    <row r="2" spans="1:26" ht="25" customHeight="1">
      <c r="A2" s="11"/>
      <c r="B2" s="12"/>
      <c r="C2" s="5"/>
      <c r="D2" s="13"/>
      <c r="E2" s="13"/>
      <c r="F2" s="13"/>
      <c r="G2" s="13"/>
      <c r="H2" s="13"/>
      <c r="I2" s="13"/>
      <c r="J2" s="13"/>
      <c r="K2" s="387"/>
      <c r="L2" s="15"/>
      <c r="M2" s="16"/>
      <c r="N2" s="8"/>
    </row>
    <row r="3" spans="1:26" ht="25" customHeight="1">
      <c r="A3" s="11"/>
      <c r="B3" s="12"/>
      <c r="C3" s="5"/>
      <c r="D3" s="13"/>
      <c r="E3" s="13"/>
      <c r="F3" s="13"/>
      <c r="G3" s="13"/>
      <c r="H3" s="13"/>
      <c r="I3" s="13"/>
      <c r="J3" s="13"/>
      <c r="K3" s="387"/>
      <c r="L3" s="15"/>
      <c r="M3" s="16"/>
      <c r="N3" s="8"/>
    </row>
    <row r="4" spans="1:26" ht="25" customHeight="1">
      <c r="A4" s="11"/>
      <c r="B4" s="956"/>
      <c r="C4" s="956"/>
      <c r="D4" s="13"/>
      <c r="E4" s="13"/>
      <c r="F4" s="13"/>
      <c r="G4" s="13"/>
      <c r="H4" s="13"/>
      <c r="I4" s="13"/>
      <c r="J4" s="13"/>
      <c r="K4" s="387"/>
      <c r="L4" s="15"/>
      <c r="M4" s="16"/>
      <c r="N4" s="8"/>
    </row>
    <row r="5" spans="1:26" ht="25" customHeight="1">
      <c r="A5" s="11"/>
      <c r="B5" s="17" t="s">
        <v>646</v>
      </c>
      <c r="C5" s="18"/>
      <c r="D5" s="13"/>
      <c r="E5" s="13"/>
      <c r="F5" s="13"/>
      <c r="G5" s="13"/>
      <c r="H5" s="13"/>
      <c r="I5" s="13"/>
      <c r="J5" s="13"/>
      <c r="K5" s="387"/>
      <c r="L5" s="15"/>
      <c r="M5" s="16"/>
      <c r="N5" s="8"/>
    </row>
    <row r="6" spans="1:26" ht="25" customHeight="1">
      <c r="A6" s="11"/>
      <c r="B6" s="19"/>
      <c r="C6" s="5"/>
      <c r="D6" s="13"/>
      <c r="E6" s="13"/>
      <c r="F6" s="13"/>
      <c r="G6" s="13"/>
      <c r="H6" s="13"/>
      <c r="I6" s="13"/>
      <c r="J6" s="13"/>
      <c r="K6" s="387"/>
      <c r="L6" s="15"/>
      <c r="M6" s="16"/>
      <c r="N6" s="8"/>
    </row>
    <row r="7" spans="1:26" ht="25" customHeight="1">
      <c r="A7" s="11"/>
      <c r="B7" s="20"/>
      <c r="C7" s="5"/>
      <c r="D7" s="13"/>
      <c r="E7" s="13"/>
      <c r="F7" s="13"/>
      <c r="G7" s="13"/>
      <c r="H7" s="13"/>
      <c r="I7" s="13"/>
      <c r="J7" s="13"/>
      <c r="K7" s="387"/>
      <c r="L7" s="15"/>
      <c r="M7" s="16"/>
      <c r="N7" s="8"/>
    </row>
    <row r="8" spans="1:26" ht="25" customHeight="1">
      <c r="A8" s="11"/>
      <c r="B8" s="21" t="s">
        <v>145</v>
      </c>
      <c r="C8" s="5"/>
      <c r="D8" s="22" t="s">
        <v>146</v>
      </c>
      <c r="E8" s="13"/>
      <c r="F8" s="13"/>
      <c r="G8" s="13"/>
      <c r="H8" s="13"/>
      <c r="I8" s="13"/>
      <c r="J8" s="13"/>
      <c r="K8" s="387"/>
      <c r="L8" s="15"/>
      <c r="M8" s="16"/>
      <c r="N8" s="8"/>
    </row>
    <row r="9" spans="1:26" ht="25" customHeight="1">
      <c r="A9" s="11"/>
      <c r="B9" s="23" t="s">
        <v>147</v>
      </c>
      <c r="C9" s="5"/>
      <c r="D9" s="13"/>
      <c r="E9" s="13"/>
      <c r="F9" s="13"/>
      <c r="G9" s="13"/>
      <c r="H9" s="13"/>
      <c r="I9" s="13"/>
      <c r="J9" s="13"/>
      <c r="K9" s="387"/>
      <c r="L9" s="15"/>
      <c r="M9" s="16"/>
      <c r="N9" s="8"/>
    </row>
    <row r="10" spans="1:26" ht="25" customHeight="1">
      <c r="A10" s="11"/>
      <c r="B10" s="24" t="s">
        <v>3</v>
      </c>
      <c r="C10" s="25"/>
      <c r="D10" s="13"/>
      <c r="E10" s="13"/>
      <c r="F10" s="13"/>
      <c r="G10" s="13"/>
      <c r="H10" s="13"/>
      <c r="I10" s="13"/>
      <c r="J10" s="13"/>
      <c r="K10" s="387"/>
      <c r="L10" s="15"/>
      <c r="M10" s="16"/>
      <c r="N10" s="8"/>
    </row>
    <row r="11" spans="1:26" s="34" customFormat="1" ht="25" customHeight="1">
      <c r="A11" s="26"/>
      <c r="B11" s="27"/>
      <c r="C11" s="28"/>
      <c r="D11" s="29"/>
      <c r="E11" s="29"/>
      <c r="F11" s="29"/>
      <c r="G11" s="30"/>
      <c r="H11" s="30"/>
      <c r="I11" s="31"/>
      <c r="J11" s="29"/>
      <c r="K11" s="388"/>
      <c r="L11" s="33"/>
      <c r="M11" s="16"/>
      <c r="N11" s="8"/>
    </row>
    <row r="12" spans="1:26" s="34" customFormat="1" ht="25" customHeight="1">
      <c r="A12" s="35"/>
      <c r="B12" s="36"/>
      <c r="C12" s="37"/>
      <c r="D12" s="38"/>
      <c r="E12" s="38"/>
      <c r="F12" s="38"/>
      <c r="G12" s="39"/>
      <c r="H12" s="39"/>
      <c r="I12" s="40"/>
      <c r="J12" s="38"/>
      <c r="K12" s="389"/>
      <c r="L12" s="42"/>
      <c r="M12" s="16"/>
      <c r="N12" s="8"/>
    </row>
    <row r="13" spans="1:26" s="34" customFormat="1" ht="25" customHeight="1">
      <c r="A13" s="43"/>
      <c r="B13" s="44"/>
      <c r="G13" s="45"/>
      <c r="H13" s="45"/>
      <c r="I13" s="46"/>
      <c r="K13" s="390"/>
      <c r="L13" s="48"/>
      <c r="M13" s="16"/>
      <c r="N13" s="8"/>
    </row>
    <row r="14" spans="1:26" s="34" customFormat="1" ht="25" customHeight="1">
      <c r="A14" s="43"/>
      <c r="B14" s="44"/>
      <c r="G14" s="45"/>
      <c r="H14" s="45"/>
      <c r="I14" s="46"/>
      <c r="K14" s="390"/>
      <c r="L14" s="48"/>
      <c r="M14" s="16"/>
      <c r="N14" s="8"/>
    </row>
    <row r="15" spans="1:26" s="34" customFormat="1" ht="25" customHeight="1">
      <c r="A15" s="43"/>
      <c r="B15" s="957" t="s">
        <v>635</v>
      </c>
      <c r="C15" s="957"/>
      <c r="D15" s="957"/>
      <c r="E15" s="957"/>
      <c r="F15" s="957"/>
      <c r="G15" s="957"/>
      <c r="H15" s="957"/>
      <c r="I15" s="957"/>
      <c r="J15" s="957"/>
      <c r="K15" s="957"/>
      <c r="L15" s="958"/>
      <c r="M15" s="16"/>
      <c r="N15" s="8"/>
      <c r="S15" s="50"/>
      <c r="X15" s="50"/>
      <c r="Y15" s="50"/>
      <c r="Z15" s="50"/>
    </row>
    <row r="16" spans="1:26" s="34" customFormat="1" ht="25" customHeight="1">
      <c r="A16" s="43"/>
      <c r="B16" s="957"/>
      <c r="C16" s="957"/>
      <c r="D16" s="957"/>
      <c r="E16" s="957"/>
      <c r="F16" s="957"/>
      <c r="G16" s="957"/>
      <c r="H16" s="957"/>
      <c r="I16" s="957"/>
      <c r="J16" s="957"/>
      <c r="K16" s="957"/>
      <c r="L16" s="958"/>
      <c r="M16" s="16"/>
      <c r="N16" s="8"/>
      <c r="S16" s="50"/>
      <c r="X16" s="50"/>
      <c r="Y16" s="50"/>
      <c r="Z16" s="50"/>
    </row>
    <row r="17" spans="1:26" s="34" customFormat="1" ht="25" customHeight="1">
      <c r="A17" s="43"/>
      <c r="B17" s="957"/>
      <c r="C17" s="957"/>
      <c r="D17" s="957"/>
      <c r="E17" s="957"/>
      <c r="F17" s="957"/>
      <c r="G17" s="957"/>
      <c r="H17" s="957"/>
      <c r="I17" s="957"/>
      <c r="J17" s="957"/>
      <c r="K17" s="957"/>
      <c r="L17" s="958"/>
      <c r="M17" s="16"/>
      <c r="N17" s="8"/>
      <c r="S17" s="50"/>
      <c r="X17" s="50"/>
      <c r="Y17" s="50"/>
      <c r="Z17" s="50"/>
    </row>
    <row r="18" spans="1:26" s="34" customFormat="1" ht="25" customHeight="1">
      <c r="A18" s="43"/>
      <c r="B18" s="959" t="s">
        <v>150</v>
      </c>
      <c r="C18" s="959"/>
      <c r="D18" s="959"/>
      <c r="E18" s="959"/>
      <c r="F18" s="959"/>
      <c r="G18" s="53"/>
      <c r="H18" s="54"/>
      <c r="J18" s="55"/>
      <c r="K18" s="391"/>
      <c r="L18" s="57"/>
      <c r="M18" s="16"/>
      <c r="N18" s="8"/>
      <c r="S18" s="50"/>
      <c r="T18" s="50"/>
      <c r="U18" s="50"/>
      <c r="V18" s="50"/>
      <c r="W18" s="50"/>
      <c r="X18" s="50"/>
      <c r="Y18" s="50"/>
      <c r="Z18" s="50"/>
    </row>
    <row r="19" spans="1:26" s="34" customFormat="1" ht="25" customHeight="1">
      <c r="A19" s="43"/>
      <c r="B19" s="58" t="s">
        <v>151</v>
      </c>
      <c r="C19" s="59"/>
      <c r="D19" s="59"/>
      <c r="E19" s="60"/>
      <c r="F19" s="60"/>
      <c r="G19" s="53"/>
      <c r="H19" s="54"/>
      <c r="I19" s="53"/>
      <c r="J19" s="55"/>
      <c r="K19" s="391"/>
      <c r="L19" s="57"/>
      <c r="M19" s="16"/>
      <c r="N19" s="8"/>
      <c r="S19" s="50"/>
      <c r="T19" s="50"/>
      <c r="U19" s="50"/>
      <c r="V19" s="50"/>
      <c r="W19" s="62"/>
      <c r="X19" s="154"/>
      <c r="Y19" s="50"/>
      <c r="Z19" s="50"/>
    </row>
    <row r="20" spans="1:26" s="34" customFormat="1" ht="25" customHeight="1">
      <c r="A20" s="43"/>
      <c r="B20" s="4"/>
      <c r="C20" s="60"/>
      <c r="D20" s="60"/>
      <c r="E20" s="60"/>
      <c r="F20" s="60"/>
      <c r="G20" s="53"/>
      <c r="H20" s="54"/>
      <c r="I20" s="53"/>
      <c r="J20" s="55"/>
      <c r="K20" s="391"/>
      <c r="L20" s="57"/>
      <c r="M20" s="16"/>
      <c r="N20" s="8"/>
      <c r="P20" s="8"/>
      <c r="Q20" s="8"/>
      <c r="R20" s="8"/>
      <c r="S20" s="50"/>
      <c r="T20" s="50"/>
      <c r="U20" s="50"/>
      <c r="V20" s="50"/>
      <c r="W20" s="50"/>
      <c r="X20" s="50"/>
      <c r="Y20" s="62"/>
      <c r="Z20" s="50"/>
    </row>
    <row r="21" spans="1:26" s="34" customFormat="1" ht="25" customHeight="1">
      <c r="A21" s="43"/>
      <c r="B21" s="4"/>
      <c r="C21" s="60"/>
      <c r="D21" s="60"/>
      <c r="E21" s="60"/>
      <c r="F21" s="60"/>
      <c r="G21" s="53"/>
      <c r="H21" s="54"/>
      <c r="I21" s="53"/>
      <c r="J21" s="55"/>
      <c r="K21" s="391"/>
      <c r="L21" s="57"/>
      <c r="M21" s="16"/>
      <c r="N21" s="8"/>
      <c r="P21" s="8"/>
      <c r="Q21" s="8"/>
      <c r="R21" s="8"/>
      <c r="S21" s="50"/>
      <c r="T21" s="50"/>
      <c r="U21" s="50"/>
      <c r="V21" s="50"/>
      <c r="W21" s="50"/>
      <c r="X21" s="50"/>
      <c r="Y21" s="62"/>
      <c r="Z21" s="50"/>
    </row>
    <row r="22" spans="1:26" s="69" customFormat="1" ht="25" customHeight="1">
      <c r="A22" s="63"/>
      <c r="B22" s="64" t="s">
        <v>636</v>
      </c>
      <c r="C22" s="65"/>
      <c r="D22" s="65"/>
      <c r="E22" s="65"/>
      <c r="F22" s="65"/>
      <c r="G22" s="65"/>
      <c r="H22" s="66"/>
      <c r="I22" s="67"/>
      <c r="J22" s="67"/>
      <c r="K22" s="392"/>
      <c r="M22" s="16"/>
      <c r="N22" s="8"/>
      <c r="P22" s="70"/>
      <c r="Q22" s="70"/>
      <c r="R22" s="71"/>
    </row>
    <row r="23" spans="1:26" ht="25" customHeight="1">
      <c r="B23" s="960" t="s">
        <v>637</v>
      </c>
      <c r="C23" s="960"/>
      <c r="D23" s="960"/>
      <c r="E23" s="960"/>
      <c r="M23" s="16"/>
      <c r="N23" s="8"/>
    </row>
    <row r="24" spans="1:26" s="78" customFormat="1" ht="25" customHeight="1">
      <c r="A24" s="73"/>
      <c r="B24" s="74" t="s">
        <v>22</v>
      </c>
      <c r="C24" s="75"/>
      <c r="D24" s="75"/>
      <c r="E24" s="2"/>
      <c r="F24" s="2"/>
      <c r="G24" s="2" t="s">
        <v>30</v>
      </c>
      <c r="H24" s="2" t="s">
        <v>31</v>
      </c>
      <c r="I24" s="76" t="s">
        <v>32</v>
      </c>
      <c r="J24" s="75"/>
      <c r="K24" s="393" t="s">
        <v>26</v>
      </c>
      <c r="M24" s="16"/>
      <c r="N24" s="8"/>
      <c r="O24" s="8"/>
      <c r="P24" s="62"/>
      <c r="Q24" s="62"/>
      <c r="R24" s="79"/>
    </row>
    <row r="25" spans="1:26" s="50" customFormat="1" ht="25" customHeight="1">
      <c r="A25" s="43"/>
      <c r="B25" s="133" t="s">
        <v>633</v>
      </c>
      <c r="C25" s="81"/>
      <c r="D25" s="81"/>
      <c r="E25" s="82"/>
      <c r="F25" s="82"/>
      <c r="G25" s="137">
        <f t="shared" ref="G25:G26" si="0">H25/720</f>
        <v>6.8055555555555554</v>
      </c>
      <c r="H25" s="147">
        <v>4900</v>
      </c>
      <c r="I25" s="84"/>
      <c r="J25" s="28"/>
      <c r="K25" s="134">
        <f t="shared" ref="K25:K26" si="1">ROUNDUP(I25*H25,2)</f>
        <v>0</v>
      </c>
      <c r="M25" s="16"/>
      <c r="N25" s="8"/>
      <c r="O25" s="8"/>
      <c r="P25" s="62"/>
      <c r="R25" s="62"/>
    </row>
    <row r="26" spans="1:26" s="50" customFormat="1" ht="25" customHeight="1">
      <c r="A26" s="43"/>
      <c r="B26" s="135" t="s">
        <v>634</v>
      </c>
      <c r="C26" s="87"/>
      <c r="D26" s="87"/>
      <c r="E26" s="88"/>
      <c r="F26" s="88"/>
      <c r="G26" s="394">
        <f t="shared" si="0"/>
        <v>0</v>
      </c>
      <c r="H26" s="151">
        <v>0</v>
      </c>
      <c r="I26" s="84"/>
      <c r="J26" s="90"/>
      <c r="K26" s="136">
        <f t="shared" si="1"/>
        <v>0</v>
      </c>
      <c r="M26" s="16"/>
      <c r="N26" s="8"/>
      <c r="P26" s="62"/>
      <c r="R26" s="62"/>
    </row>
    <row r="27" spans="1:26" s="34" customFormat="1" ht="25" customHeight="1">
      <c r="A27" s="43"/>
      <c r="B27" s="93" t="s">
        <v>26</v>
      </c>
      <c r="C27" s="94"/>
      <c r="D27" s="94"/>
      <c r="E27" s="152"/>
      <c r="F27" s="152"/>
      <c r="G27" s="94"/>
      <c r="H27" s="94"/>
      <c r="I27" s="94" t="str">
        <f>SUM(I14:I26)&amp;" st"</f>
        <v>0 st</v>
      </c>
      <c r="J27" s="94"/>
      <c r="K27" s="138">
        <f>SUM(K14:K26)</f>
        <v>0</v>
      </c>
      <c r="L27" s="48"/>
      <c r="M27" s="16"/>
      <c r="N27" s="8"/>
    </row>
    <row r="28" spans="1:26" s="34" customFormat="1" ht="25" customHeight="1">
      <c r="A28" s="43"/>
      <c r="B28" s="920"/>
      <c r="C28" s="247"/>
      <c r="D28" s="247"/>
      <c r="E28" s="951"/>
      <c r="F28" s="951"/>
      <c r="G28" s="247"/>
      <c r="H28" s="247"/>
      <c r="I28" s="247"/>
      <c r="J28" s="247"/>
      <c r="K28" s="950"/>
      <c r="L28" s="48"/>
      <c r="M28" s="16"/>
      <c r="N28" s="8"/>
    </row>
    <row r="29" spans="1:26" s="34" customFormat="1" ht="25" customHeight="1">
      <c r="A29" s="43"/>
      <c r="B29" s="44"/>
      <c r="G29" s="45"/>
      <c r="H29" s="45"/>
      <c r="I29" s="46"/>
      <c r="K29" s="390"/>
      <c r="L29" s="48"/>
      <c r="M29" s="16"/>
      <c r="N29" s="8"/>
    </row>
    <row r="30" spans="1:26" s="34" customFormat="1" ht="25" customHeight="1">
      <c r="A30" s="43"/>
      <c r="B30" s="957" t="s">
        <v>148</v>
      </c>
      <c r="C30" s="957"/>
      <c r="D30" s="957"/>
      <c r="E30" s="957"/>
      <c r="F30" s="957"/>
      <c r="G30" s="957"/>
      <c r="H30" s="46"/>
      <c r="J30" s="49"/>
      <c r="K30" s="390"/>
      <c r="L30" s="48"/>
      <c r="M30" s="16"/>
      <c r="N30" s="8"/>
      <c r="S30" s="50"/>
      <c r="X30" s="50"/>
      <c r="Y30" s="50"/>
      <c r="Z30" s="50"/>
    </row>
    <row r="31" spans="1:26" s="34" customFormat="1" ht="25" customHeight="1">
      <c r="A31" s="43"/>
      <c r="B31" s="957"/>
      <c r="C31" s="957"/>
      <c r="D31" s="957"/>
      <c r="E31" s="957"/>
      <c r="F31" s="957"/>
      <c r="G31" s="957"/>
      <c r="H31" s="46"/>
      <c r="J31" s="49"/>
      <c r="K31" s="390"/>
      <c r="L31" s="48"/>
      <c r="M31" s="16"/>
      <c r="N31" s="8"/>
      <c r="S31" s="50"/>
      <c r="X31" s="50"/>
      <c r="Y31" s="50"/>
      <c r="Z31" s="50"/>
    </row>
    <row r="32" spans="1:26" s="34" customFormat="1" ht="25" customHeight="1">
      <c r="A32" s="43"/>
      <c r="B32" s="957"/>
      <c r="C32" s="957"/>
      <c r="D32" s="957"/>
      <c r="E32" s="957"/>
      <c r="F32" s="957"/>
      <c r="G32" s="957"/>
      <c r="H32" s="46"/>
      <c r="J32" s="49"/>
      <c r="K32" s="390"/>
      <c r="L32" s="48"/>
      <c r="M32" s="16"/>
      <c r="N32" s="8"/>
      <c r="S32" s="50"/>
      <c r="X32" s="50"/>
      <c r="Y32" s="50"/>
      <c r="Z32" s="50"/>
    </row>
    <row r="33" spans="1:26" s="34" customFormat="1" ht="25" customHeight="1">
      <c r="A33" s="43"/>
      <c r="B33" s="51" t="s">
        <v>149</v>
      </c>
      <c r="C33" s="52"/>
      <c r="D33" s="52"/>
      <c r="E33" s="52"/>
      <c r="F33" s="52"/>
      <c r="H33" s="46"/>
      <c r="J33" s="49"/>
      <c r="K33" s="390"/>
      <c r="L33" s="48"/>
      <c r="M33" s="16"/>
      <c r="N33" s="8"/>
      <c r="S33" s="50"/>
      <c r="T33" s="50"/>
      <c r="U33" s="50"/>
      <c r="V33" s="50"/>
      <c r="W33" s="50"/>
      <c r="X33" s="50"/>
      <c r="Y33" s="50"/>
      <c r="Z33" s="50"/>
    </row>
    <row r="34" spans="1:26" s="34" customFormat="1" ht="25" customHeight="1">
      <c r="A34" s="43"/>
      <c r="B34" s="959" t="s">
        <v>150</v>
      </c>
      <c r="C34" s="959"/>
      <c r="D34" s="959"/>
      <c r="E34" s="959"/>
      <c r="F34" s="959"/>
      <c r="G34" s="53"/>
      <c r="H34" s="54"/>
      <c r="J34" s="55"/>
      <c r="K34" s="391"/>
      <c r="L34" s="57"/>
      <c r="M34" s="16"/>
      <c r="N34" s="8"/>
      <c r="S34" s="50"/>
      <c r="T34" s="50"/>
      <c r="U34" s="50"/>
      <c r="V34" s="50"/>
      <c r="W34" s="50"/>
      <c r="X34" s="50"/>
      <c r="Y34" s="50"/>
      <c r="Z34" s="50"/>
    </row>
    <row r="35" spans="1:26" s="34" customFormat="1" ht="25" customHeight="1">
      <c r="A35" s="43"/>
      <c r="B35" s="58" t="s">
        <v>151</v>
      </c>
      <c r="C35" s="59"/>
      <c r="D35" s="59"/>
      <c r="E35" s="60"/>
      <c r="F35" s="60"/>
      <c r="G35" s="53"/>
      <c r="H35" s="54"/>
      <c r="I35" s="53"/>
      <c r="J35" s="55"/>
      <c r="K35" s="391"/>
      <c r="L35" s="57"/>
      <c r="M35" s="16"/>
      <c r="N35" s="8"/>
      <c r="S35" s="50"/>
      <c r="T35" s="50"/>
      <c r="U35" s="50"/>
      <c r="V35" s="50"/>
      <c r="W35" s="62"/>
      <c r="X35" s="154"/>
      <c r="Y35" s="50"/>
      <c r="Z35" s="50"/>
    </row>
    <row r="36" spans="1:26" s="34" customFormat="1" ht="25" customHeight="1">
      <c r="A36" s="43"/>
      <c r="B36" s="4"/>
      <c r="C36" s="60"/>
      <c r="D36" s="60"/>
      <c r="E36" s="60"/>
      <c r="F36" s="60"/>
      <c r="G36" s="53"/>
      <c r="H36" s="54"/>
      <c r="I36" s="53"/>
      <c r="J36" s="55"/>
      <c r="K36" s="391"/>
      <c r="L36" s="57"/>
      <c r="M36" s="16"/>
      <c r="N36" s="8"/>
      <c r="P36" s="8"/>
      <c r="Q36" s="8"/>
      <c r="R36" s="8"/>
      <c r="S36" s="50"/>
      <c r="T36" s="50"/>
      <c r="U36" s="50"/>
      <c r="V36" s="50"/>
      <c r="W36" s="50"/>
      <c r="X36" s="50"/>
      <c r="Y36" s="62"/>
      <c r="Z36" s="50"/>
    </row>
    <row r="37" spans="1:26" s="34" customFormat="1" ht="25" customHeight="1">
      <c r="A37" s="43"/>
      <c r="B37" s="4"/>
      <c r="C37" s="60"/>
      <c r="D37" s="60"/>
      <c r="E37" s="60"/>
      <c r="F37" s="60"/>
      <c r="G37" s="53"/>
      <c r="H37" s="54"/>
      <c r="I37" s="53"/>
      <c r="J37" s="55"/>
      <c r="K37" s="391"/>
      <c r="L37" s="57"/>
      <c r="M37" s="16"/>
      <c r="N37" s="8"/>
      <c r="P37" s="8"/>
      <c r="Q37" s="8"/>
      <c r="R37" s="8"/>
      <c r="S37" s="50"/>
      <c r="T37" s="50"/>
      <c r="U37" s="50"/>
      <c r="V37" s="50"/>
      <c r="W37" s="50"/>
      <c r="X37" s="50"/>
      <c r="Y37" s="62"/>
      <c r="Z37" s="50"/>
    </row>
    <row r="38" spans="1:26" s="69" customFormat="1" ht="25" customHeight="1">
      <c r="A38" s="63"/>
      <c r="B38" s="64" t="s">
        <v>152</v>
      </c>
      <c r="C38" s="65"/>
      <c r="D38" s="65"/>
      <c r="E38" s="65"/>
      <c r="F38" s="65"/>
      <c r="G38" s="65"/>
      <c r="H38" s="66"/>
      <c r="I38" s="67"/>
      <c r="J38" s="67"/>
      <c r="K38" s="392"/>
      <c r="M38" s="16"/>
      <c r="N38" s="8"/>
      <c r="P38" s="70"/>
      <c r="Q38" s="70"/>
      <c r="R38" s="71"/>
    </row>
    <row r="39" spans="1:26" ht="25" customHeight="1">
      <c r="B39" s="960" t="s">
        <v>153</v>
      </c>
      <c r="C39" s="960"/>
      <c r="D39" s="960"/>
      <c r="E39" s="960"/>
      <c r="M39" s="16"/>
      <c r="N39" s="8"/>
    </row>
    <row r="40" spans="1:26" s="78" customFormat="1" ht="25" customHeight="1">
      <c r="A40" s="73"/>
      <c r="B40" s="74" t="s">
        <v>22</v>
      </c>
      <c r="C40" s="75" t="s">
        <v>11</v>
      </c>
      <c r="D40" s="75" t="s">
        <v>154</v>
      </c>
      <c r="E40" s="2" t="s">
        <v>155</v>
      </c>
      <c r="F40" s="2"/>
      <c r="G40" s="2" t="s">
        <v>30</v>
      </c>
      <c r="H40" s="2" t="s">
        <v>31</v>
      </c>
      <c r="I40" s="76" t="s">
        <v>32</v>
      </c>
      <c r="J40" s="75"/>
      <c r="K40" s="393" t="s">
        <v>33</v>
      </c>
      <c r="M40" s="16"/>
      <c r="N40" s="8"/>
      <c r="O40" s="8"/>
      <c r="P40" s="62"/>
      <c r="Q40" s="62"/>
      <c r="R40" s="79"/>
    </row>
    <row r="41" spans="1:26" s="50" customFormat="1" ht="25" customHeight="1">
      <c r="A41" s="43"/>
      <c r="B41" s="133" t="s">
        <v>156</v>
      </c>
      <c r="C41" s="81">
        <v>2</v>
      </c>
      <c r="D41" s="81">
        <v>4</v>
      </c>
      <c r="E41" s="82">
        <v>100</v>
      </c>
      <c r="F41" s="82"/>
      <c r="G41" s="137">
        <f t="shared" ref="G41:G54" si="2">H41/720</f>
        <v>0.66666666666666663</v>
      </c>
      <c r="H41" s="147">
        <f t="shared" ref="H41:H54" si="3">C41*IAAS_vcpu_SEK+D41*IAAS_ram_SEK+E41*IAAS_nvme_SEK</f>
        <v>480</v>
      </c>
      <c r="I41" s="84"/>
      <c r="J41" s="28"/>
      <c r="K41" s="134">
        <f t="shared" ref="K41:K54" si="4">ROUNDUP(I41*H41,2)</f>
        <v>0</v>
      </c>
      <c r="M41" s="16"/>
      <c r="N41" s="8"/>
      <c r="P41" s="62"/>
      <c r="R41" s="62"/>
    </row>
    <row r="42" spans="1:26" s="50" customFormat="1" ht="25" customHeight="1">
      <c r="A42" s="43"/>
      <c r="B42" s="135" t="s">
        <v>157</v>
      </c>
      <c r="C42" s="87">
        <v>2</v>
      </c>
      <c r="D42" s="87">
        <v>4</v>
      </c>
      <c r="E42" s="88">
        <v>500</v>
      </c>
      <c r="F42" s="88"/>
      <c r="G42" s="394">
        <f t="shared" si="2"/>
        <v>1.2222222222222223</v>
      </c>
      <c r="H42" s="151">
        <f t="shared" si="3"/>
        <v>880</v>
      </c>
      <c r="I42" s="84"/>
      <c r="J42" s="90"/>
      <c r="K42" s="136">
        <f t="shared" si="4"/>
        <v>0</v>
      </c>
      <c r="M42" s="16"/>
      <c r="N42" s="8"/>
      <c r="P42" s="62"/>
      <c r="R42" s="62"/>
    </row>
    <row r="43" spans="1:26" s="50" customFormat="1" ht="25" customHeight="1">
      <c r="A43" s="43"/>
      <c r="B43" s="133" t="s">
        <v>158</v>
      </c>
      <c r="C43" s="81">
        <v>2</v>
      </c>
      <c r="D43" s="81">
        <v>4</v>
      </c>
      <c r="E43" s="82">
        <v>1000</v>
      </c>
      <c r="F43" s="82"/>
      <c r="G43" s="137">
        <f t="shared" si="2"/>
        <v>1.9166666666666667</v>
      </c>
      <c r="H43" s="147">
        <f t="shared" si="3"/>
        <v>1380</v>
      </c>
      <c r="I43" s="84"/>
      <c r="J43" s="28"/>
      <c r="K43" s="134">
        <f t="shared" si="4"/>
        <v>0</v>
      </c>
      <c r="M43" s="16"/>
      <c r="N43" s="8"/>
      <c r="P43" s="62"/>
      <c r="R43" s="62"/>
    </row>
    <row r="44" spans="1:26" s="50" customFormat="1" ht="25" customHeight="1">
      <c r="A44" s="43"/>
      <c r="B44" s="135" t="s">
        <v>159</v>
      </c>
      <c r="C44" s="87">
        <v>4</v>
      </c>
      <c r="D44" s="87">
        <v>8</v>
      </c>
      <c r="E44" s="88">
        <v>100</v>
      </c>
      <c r="F44" s="88"/>
      <c r="G44" s="394">
        <f t="shared" si="2"/>
        <v>1.1944444444444444</v>
      </c>
      <c r="H44" s="151">
        <f t="shared" si="3"/>
        <v>860</v>
      </c>
      <c r="I44" s="84"/>
      <c r="J44" s="90"/>
      <c r="K44" s="136">
        <f t="shared" si="4"/>
        <v>0</v>
      </c>
      <c r="M44" s="16"/>
      <c r="N44" s="8"/>
      <c r="P44" s="62"/>
      <c r="R44" s="62"/>
    </row>
    <row r="45" spans="1:26" s="50" customFormat="1" ht="25" customHeight="1">
      <c r="A45" s="43"/>
      <c r="B45" s="133" t="s">
        <v>160</v>
      </c>
      <c r="C45" s="81">
        <v>4</v>
      </c>
      <c r="D45" s="81">
        <v>8</v>
      </c>
      <c r="E45" s="82">
        <v>500</v>
      </c>
      <c r="F45" s="82"/>
      <c r="G45" s="137">
        <f t="shared" si="2"/>
        <v>1.75</v>
      </c>
      <c r="H45" s="147">
        <f t="shared" si="3"/>
        <v>1260</v>
      </c>
      <c r="I45" s="84"/>
      <c r="J45" s="28"/>
      <c r="K45" s="134">
        <f t="shared" si="4"/>
        <v>0</v>
      </c>
      <c r="M45" s="16"/>
      <c r="N45" s="8"/>
      <c r="P45" s="62"/>
      <c r="R45" s="62"/>
    </row>
    <row r="46" spans="1:26" s="50" customFormat="1" ht="25" customHeight="1">
      <c r="A46" s="43"/>
      <c r="B46" s="135" t="s">
        <v>161</v>
      </c>
      <c r="C46" s="87">
        <v>4</v>
      </c>
      <c r="D46" s="87">
        <v>8</v>
      </c>
      <c r="E46" s="88">
        <v>1000</v>
      </c>
      <c r="F46" s="88"/>
      <c r="G46" s="394">
        <f t="shared" si="2"/>
        <v>2.4444444444444446</v>
      </c>
      <c r="H46" s="151">
        <f t="shared" si="3"/>
        <v>1760</v>
      </c>
      <c r="I46" s="84"/>
      <c r="J46" s="90"/>
      <c r="K46" s="136">
        <f t="shared" si="4"/>
        <v>0</v>
      </c>
      <c r="M46" s="16"/>
      <c r="N46" s="8"/>
      <c r="P46" s="62"/>
      <c r="R46" s="62"/>
    </row>
    <row r="47" spans="1:26" s="50" customFormat="1" ht="25" customHeight="1">
      <c r="A47" s="43"/>
      <c r="B47" s="133" t="s">
        <v>162</v>
      </c>
      <c r="C47" s="81">
        <v>8</v>
      </c>
      <c r="D47" s="81">
        <v>16</v>
      </c>
      <c r="E47" s="82">
        <v>100</v>
      </c>
      <c r="F47" s="82"/>
      <c r="G47" s="137">
        <f t="shared" si="2"/>
        <v>2.25</v>
      </c>
      <c r="H47" s="147">
        <f t="shared" si="3"/>
        <v>1620</v>
      </c>
      <c r="I47" s="84"/>
      <c r="J47" s="28"/>
      <c r="K47" s="134">
        <f t="shared" si="4"/>
        <v>0</v>
      </c>
      <c r="M47" s="16"/>
      <c r="N47" s="8"/>
      <c r="P47" s="62"/>
      <c r="R47" s="62"/>
    </row>
    <row r="48" spans="1:26" s="50" customFormat="1" ht="25" customHeight="1">
      <c r="A48" s="43"/>
      <c r="B48" s="135" t="s">
        <v>163</v>
      </c>
      <c r="C48" s="87">
        <v>8</v>
      </c>
      <c r="D48" s="87">
        <v>16</v>
      </c>
      <c r="E48" s="88">
        <v>500</v>
      </c>
      <c r="F48" s="88"/>
      <c r="G48" s="394">
        <f t="shared" si="2"/>
        <v>2.8055555555555554</v>
      </c>
      <c r="H48" s="151">
        <f t="shared" si="3"/>
        <v>2020</v>
      </c>
      <c r="I48" s="84"/>
      <c r="J48" s="90"/>
      <c r="K48" s="136">
        <f t="shared" si="4"/>
        <v>0</v>
      </c>
      <c r="M48" s="16"/>
      <c r="N48" s="8"/>
      <c r="P48" s="62"/>
      <c r="R48" s="62"/>
    </row>
    <row r="49" spans="1:19" s="50" customFormat="1" ht="25" customHeight="1">
      <c r="A49" s="43"/>
      <c r="B49" s="133" t="s">
        <v>164</v>
      </c>
      <c r="C49" s="81">
        <v>8</v>
      </c>
      <c r="D49" s="81">
        <v>16</v>
      </c>
      <c r="E49" s="82">
        <v>1000</v>
      </c>
      <c r="F49" s="82"/>
      <c r="G49" s="137">
        <f t="shared" si="2"/>
        <v>3.5</v>
      </c>
      <c r="H49" s="147">
        <f t="shared" si="3"/>
        <v>2520</v>
      </c>
      <c r="I49" s="84"/>
      <c r="J49" s="28"/>
      <c r="K49" s="134">
        <f t="shared" si="4"/>
        <v>0</v>
      </c>
      <c r="M49" s="16"/>
      <c r="N49" s="8"/>
      <c r="P49" s="62"/>
      <c r="R49" s="62"/>
    </row>
    <row r="50" spans="1:19" s="50" customFormat="1" ht="25" customHeight="1">
      <c r="A50" s="43"/>
      <c r="B50" s="135" t="s">
        <v>165</v>
      </c>
      <c r="C50" s="87">
        <v>16</v>
      </c>
      <c r="D50" s="87">
        <v>32</v>
      </c>
      <c r="E50" s="88">
        <v>100</v>
      </c>
      <c r="F50" s="88"/>
      <c r="G50" s="394">
        <f t="shared" si="2"/>
        <v>4.3611111111111107</v>
      </c>
      <c r="H50" s="151">
        <f t="shared" si="3"/>
        <v>3140</v>
      </c>
      <c r="I50" s="84"/>
      <c r="J50" s="90"/>
      <c r="K50" s="136">
        <f t="shared" si="4"/>
        <v>0</v>
      </c>
      <c r="M50" s="16"/>
      <c r="N50" s="8"/>
      <c r="P50" s="62"/>
      <c r="R50" s="62"/>
    </row>
    <row r="51" spans="1:19" s="50" customFormat="1" ht="25" customHeight="1">
      <c r="A51" s="43"/>
      <c r="B51" s="133" t="s">
        <v>166</v>
      </c>
      <c r="C51" s="81">
        <v>16</v>
      </c>
      <c r="D51" s="81">
        <v>32</v>
      </c>
      <c r="E51" s="82">
        <v>500</v>
      </c>
      <c r="F51" s="82"/>
      <c r="G51" s="137">
        <f t="shared" si="2"/>
        <v>4.916666666666667</v>
      </c>
      <c r="H51" s="147">
        <f t="shared" si="3"/>
        <v>3540</v>
      </c>
      <c r="I51" s="84"/>
      <c r="J51" s="28"/>
      <c r="K51" s="134">
        <f t="shared" si="4"/>
        <v>0</v>
      </c>
      <c r="M51" s="16"/>
      <c r="N51" s="8"/>
      <c r="P51" s="62"/>
      <c r="R51" s="62"/>
    </row>
    <row r="52" spans="1:19" s="50" customFormat="1" ht="25" customHeight="1">
      <c r="A52" s="43"/>
      <c r="B52" s="135" t="s">
        <v>167</v>
      </c>
      <c r="C52" s="87">
        <v>16</v>
      </c>
      <c r="D52" s="87">
        <v>32</v>
      </c>
      <c r="E52" s="88">
        <v>1000</v>
      </c>
      <c r="F52" s="88"/>
      <c r="G52" s="394">
        <f t="shared" si="2"/>
        <v>5.6111111111111107</v>
      </c>
      <c r="H52" s="151">
        <f t="shared" si="3"/>
        <v>4040</v>
      </c>
      <c r="I52" s="84"/>
      <c r="J52" s="90"/>
      <c r="K52" s="136">
        <f t="shared" si="4"/>
        <v>0</v>
      </c>
      <c r="M52" s="16"/>
      <c r="N52" s="8"/>
      <c r="P52" s="62"/>
      <c r="R52" s="62"/>
    </row>
    <row r="53" spans="1:19" s="50" customFormat="1" ht="25" customHeight="1">
      <c r="A53" s="43"/>
      <c r="B53" s="133" t="s">
        <v>631</v>
      </c>
      <c r="C53" s="81">
        <v>16</v>
      </c>
      <c r="D53" s="81">
        <v>64</v>
      </c>
      <c r="E53" s="82">
        <v>500</v>
      </c>
      <c r="F53" s="82"/>
      <c r="G53" s="137">
        <f t="shared" si="2"/>
        <v>7.3611111111111107</v>
      </c>
      <c r="H53" s="147">
        <f t="shared" si="3"/>
        <v>5300</v>
      </c>
      <c r="I53" s="84"/>
      <c r="J53" s="28"/>
      <c r="K53" s="134">
        <f t="shared" si="4"/>
        <v>0</v>
      </c>
      <c r="M53" s="16"/>
      <c r="N53" s="8"/>
      <c r="P53" s="62"/>
      <c r="R53" s="62"/>
    </row>
    <row r="54" spans="1:19" s="50" customFormat="1" ht="25" customHeight="1">
      <c r="A54" s="43"/>
      <c r="B54" s="135" t="s">
        <v>168</v>
      </c>
      <c r="C54" s="87">
        <v>32</v>
      </c>
      <c r="D54" s="87">
        <v>64</v>
      </c>
      <c r="E54" s="88">
        <v>1000</v>
      </c>
      <c r="F54" s="88"/>
      <c r="G54" s="394">
        <f t="shared" si="2"/>
        <v>9.8333333333333339</v>
      </c>
      <c r="H54" s="151">
        <f t="shared" si="3"/>
        <v>7080</v>
      </c>
      <c r="I54" s="84"/>
      <c r="J54" s="90"/>
      <c r="K54" s="136">
        <f t="shared" si="4"/>
        <v>0</v>
      </c>
      <c r="M54" s="16"/>
      <c r="N54" s="8"/>
      <c r="P54" s="62"/>
      <c r="R54" s="62"/>
    </row>
    <row r="55" spans="1:19" s="97" customFormat="1" ht="25" customHeight="1">
      <c r="A55" s="92"/>
      <c r="B55" s="93" t="s">
        <v>26</v>
      </c>
      <c r="C55" s="94" t="str">
        <f t="array" ref="C55">SUM(C41:C54*I41:I54)&amp;" st"</f>
        <v>0 st</v>
      </c>
      <c r="D55" s="94" t="str">
        <f t="array" ref="D55">SUM(D41:D54*I41:I54)&amp;" GB"</f>
        <v>0 GB</v>
      </c>
      <c r="E55" s="152" t="str">
        <f t="array" ref="E55">SUM(E41:E54*I41:I54)&amp;" GB"</f>
        <v>0 GB</v>
      </c>
      <c r="F55" s="152"/>
      <c r="G55" s="94"/>
      <c r="H55" s="94"/>
      <c r="I55" s="94" t="str">
        <f>SUM(I41:I54)&amp;" st"</f>
        <v>0 st</v>
      </c>
      <c r="J55" s="94"/>
      <c r="K55" s="138">
        <f>SUM(K41:K54)</f>
        <v>0</v>
      </c>
      <c r="M55" s="16"/>
      <c r="N55" s="8"/>
      <c r="P55" s="98"/>
      <c r="R55" s="98"/>
    </row>
    <row r="56" spans="1:19" s="50" customFormat="1" ht="25" customHeight="1">
      <c r="A56" s="43"/>
      <c r="B56" s="100"/>
      <c r="C56" s="100"/>
      <c r="D56" s="100"/>
      <c r="E56" s="101"/>
      <c r="F56" s="101"/>
      <c r="G56" s="102"/>
      <c r="H56" s="103"/>
      <c r="I56" s="105"/>
      <c r="J56" s="106"/>
      <c r="K56" s="124"/>
      <c r="M56" s="16"/>
      <c r="N56" s="8"/>
      <c r="P56" s="62"/>
      <c r="R56" s="62"/>
    </row>
    <row r="57" spans="1:19" s="50" customFormat="1" ht="25" customHeight="1">
      <c r="A57" s="43"/>
      <c r="B57" s="100"/>
      <c r="C57" s="100"/>
      <c r="D57" s="100"/>
      <c r="E57" s="101"/>
      <c r="F57" s="101"/>
      <c r="G57" s="102"/>
      <c r="H57" s="103"/>
      <c r="I57" s="105"/>
      <c r="J57" s="106"/>
      <c r="K57" s="124"/>
      <c r="M57" s="16"/>
      <c r="N57" s="8"/>
      <c r="P57" s="62"/>
      <c r="R57" s="62"/>
    </row>
    <row r="58" spans="1:19" ht="25" customHeight="1">
      <c r="B58" s="108"/>
      <c r="C58" s="109"/>
      <c r="D58" s="109"/>
      <c r="E58" s="109"/>
      <c r="F58" s="109"/>
      <c r="G58" s="109"/>
      <c r="H58" s="110"/>
      <c r="I58" s="111"/>
      <c r="J58" s="109"/>
      <c r="K58" s="125"/>
      <c r="M58" s="16"/>
      <c r="N58" s="8"/>
      <c r="P58" s="62"/>
      <c r="Q58" s="62"/>
      <c r="R58" s="79"/>
    </row>
    <row r="59" spans="1:19" s="78" customFormat="1" ht="25" customHeight="1">
      <c r="A59" s="73"/>
      <c r="B59" s="64" t="s">
        <v>169</v>
      </c>
      <c r="C59" s="113"/>
      <c r="D59" s="113"/>
      <c r="K59" s="126"/>
      <c r="M59" s="16"/>
      <c r="N59" s="8"/>
    </row>
    <row r="60" spans="1:19" ht="25" customHeight="1">
      <c r="B60" s="3" t="s">
        <v>153</v>
      </c>
      <c r="C60" s="395"/>
      <c r="D60" s="395"/>
      <c r="E60" s="395"/>
      <c r="F60" s="395"/>
      <c r="M60" s="16"/>
      <c r="N60" s="8"/>
    </row>
    <row r="61" spans="1:19" s="130" customFormat="1" ht="25" customHeight="1">
      <c r="A61" s="115"/>
      <c r="B61" s="74" t="s">
        <v>22</v>
      </c>
      <c r="C61" s="75" t="s">
        <v>11</v>
      </c>
      <c r="D61" s="75" t="s">
        <v>154</v>
      </c>
      <c r="E61" s="2" t="s">
        <v>155</v>
      </c>
      <c r="F61" s="2"/>
      <c r="G61" s="142" t="s">
        <v>30</v>
      </c>
      <c r="H61" s="2" t="s">
        <v>31</v>
      </c>
      <c r="I61" s="76" t="s">
        <v>32</v>
      </c>
      <c r="J61" s="75"/>
      <c r="K61" s="393" t="s">
        <v>33</v>
      </c>
      <c r="M61" s="16"/>
      <c r="N61" s="8"/>
      <c r="O61" s="131"/>
      <c r="P61" s="132"/>
      <c r="Q61" s="132"/>
      <c r="R61" s="132"/>
      <c r="S61" s="131"/>
    </row>
    <row r="62" spans="1:19" s="50" customFormat="1" ht="25" customHeight="1">
      <c r="A62" s="43"/>
      <c r="B62" s="133" t="s">
        <v>170</v>
      </c>
      <c r="C62" s="81">
        <v>1</v>
      </c>
      <c r="D62" s="81">
        <v>2</v>
      </c>
      <c r="E62" s="116">
        <v>0</v>
      </c>
      <c r="F62" s="116"/>
      <c r="G62" s="137">
        <f t="shared" ref="G62:G71" si="5">H62/720</f>
        <v>0.2638888888888889</v>
      </c>
      <c r="H62" s="147">
        <f t="shared" ref="H62:H71" si="6">C62*IAAS_vcpu_SEK+D62*IAAS_ram_SEK+E62*IAAS_ssd_SEK</f>
        <v>190</v>
      </c>
      <c r="I62" s="84"/>
      <c r="J62" s="28"/>
      <c r="K62" s="134">
        <f t="shared" ref="K62:K71" si="7">ROUNDUP(I62*H62,2)</f>
        <v>0</v>
      </c>
      <c r="M62" s="16"/>
      <c r="N62" s="8"/>
      <c r="O62" s="118"/>
    </row>
    <row r="63" spans="1:19" s="50" customFormat="1" ht="25" customHeight="1">
      <c r="A63" s="43"/>
      <c r="B63" s="135" t="s">
        <v>171</v>
      </c>
      <c r="C63" s="87">
        <v>1</v>
      </c>
      <c r="D63" s="87">
        <v>4</v>
      </c>
      <c r="E63" s="119">
        <v>0</v>
      </c>
      <c r="F63" s="119"/>
      <c r="G63" s="394">
        <f t="shared" si="5"/>
        <v>0.41666666666666669</v>
      </c>
      <c r="H63" s="151">
        <f t="shared" si="6"/>
        <v>300</v>
      </c>
      <c r="I63" s="84"/>
      <c r="J63" s="90"/>
      <c r="K63" s="136">
        <f t="shared" si="7"/>
        <v>0</v>
      </c>
      <c r="L63" s="120"/>
      <c r="M63" s="16"/>
      <c r="N63" s="8"/>
      <c r="O63" s="118"/>
    </row>
    <row r="64" spans="1:19" s="50" customFormat="1" ht="25" customHeight="1">
      <c r="A64" s="43"/>
      <c r="B64" s="133" t="s">
        <v>172</v>
      </c>
      <c r="C64" s="81">
        <v>2</v>
      </c>
      <c r="D64" s="81">
        <v>4</v>
      </c>
      <c r="E64" s="116">
        <v>0</v>
      </c>
      <c r="F64" s="116"/>
      <c r="G64" s="137">
        <f t="shared" si="5"/>
        <v>0.52777777777777779</v>
      </c>
      <c r="H64" s="147">
        <f t="shared" si="6"/>
        <v>380</v>
      </c>
      <c r="I64" s="84"/>
      <c r="J64" s="28"/>
      <c r="K64" s="134">
        <f t="shared" si="7"/>
        <v>0</v>
      </c>
      <c r="L64" s="120"/>
      <c r="M64" s="16"/>
      <c r="N64" s="8"/>
      <c r="O64" s="118"/>
    </row>
    <row r="65" spans="1:19" s="50" customFormat="1" ht="25" customHeight="1">
      <c r="A65" s="43"/>
      <c r="B65" s="135" t="s">
        <v>173</v>
      </c>
      <c r="C65" s="87">
        <v>2</v>
      </c>
      <c r="D65" s="87">
        <v>8</v>
      </c>
      <c r="E65" s="119">
        <v>0</v>
      </c>
      <c r="F65" s="119"/>
      <c r="G65" s="394">
        <f t="shared" si="5"/>
        <v>0.83333333333333337</v>
      </c>
      <c r="H65" s="151">
        <f t="shared" si="6"/>
        <v>600</v>
      </c>
      <c r="I65" s="84"/>
      <c r="J65" s="90"/>
      <c r="K65" s="136">
        <f t="shared" si="7"/>
        <v>0</v>
      </c>
      <c r="L65" s="120"/>
      <c r="M65" s="16"/>
      <c r="N65" s="8"/>
      <c r="O65" s="121"/>
    </row>
    <row r="66" spans="1:19" s="50" customFormat="1" ht="25" customHeight="1">
      <c r="A66" s="43"/>
      <c r="B66" s="133" t="s">
        <v>174</v>
      </c>
      <c r="C66" s="81">
        <v>4</v>
      </c>
      <c r="D66" s="81">
        <v>8</v>
      </c>
      <c r="E66" s="116">
        <v>0</v>
      </c>
      <c r="F66" s="116"/>
      <c r="G66" s="137">
        <f t="shared" si="5"/>
        <v>1.0555555555555556</v>
      </c>
      <c r="H66" s="147">
        <f t="shared" si="6"/>
        <v>760</v>
      </c>
      <c r="I66" s="84"/>
      <c r="J66" s="28"/>
      <c r="K66" s="134">
        <f t="shared" si="7"/>
        <v>0</v>
      </c>
      <c r="L66" s="120"/>
      <c r="M66" s="16"/>
      <c r="N66" s="8"/>
    </row>
    <row r="67" spans="1:19" s="50" customFormat="1" ht="25" customHeight="1">
      <c r="A67" s="43"/>
      <c r="B67" s="135" t="s">
        <v>175</v>
      </c>
      <c r="C67" s="87">
        <v>4</v>
      </c>
      <c r="D67" s="87">
        <v>16</v>
      </c>
      <c r="E67" s="119">
        <v>0</v>
      </c>
      <c r="F67" s="119"/>
      <c r="G67" s="394">
        <f t="shared" si="5"/>
        <v>1.6666666666666667</v>
      </c>
      <c r="H67" s="151">
        <f t="shared" si="6"/>
        <v>1200</v>
      </c>
      <c r="I67" s="84"/>
      <c r="J67" s="90"/>
      <c r="K67" s="136">
        <f t="shared" si="7"/>
        <v>0</v>
      </c>
      <c r="L67" s="120"/>
      <c r="M67" s="16"/>
      <c r="N67" s="8"/>
    </row>
    <row r="68" spans="1:19" s="50" customFormat="1" ht="25" customHeight="1">
      <c r="A68" s="43"/>
      <c r="B68" s="133" t="s">
        <v>176</v>
      </c>
      <c r="C68" s="81">
        <v>8</v>
      </c>
      <c r="D68" s="81">
        <v>16</v>
      </c>
      <c r="E68" s="116">
        <v>0</v>
      </c>
      <c r="F68" s="116"/>
      <c r="G68" s="137">
        <f t="shared" si="5"/>
        <v>2.1111111111111112</v>
      </c>
      <c r="H68" s="147">
        <f t="shared" si="6"/>
        <v>1520</v>
      </c>
      <c r="I68" s="84"/>
      <c r="J68" s="28"/>
      <c r="K68" s="134">
        <f t="shared" si="7"/>
        <v>0</v>
      </c>
      <c r="L68" s="120"/>
      <c r="M68" s="16"/>
      <c r="N68" s="8"/>
    </row>
    <row r="69" spans="1:19" s="50" customFormat="1" ht="25" customHeight="1">
      <c r="A69" s="43"/>
      <c r="B69" s="135" t="s">
        <v>177</v>
      </c>
      <c r="C69" s="87">
        <v>8</v>
      </c>
      <c r="D69" s="87">
        <v>32</v>
      </c>
      <c r="E69" s="119">
        <v>0</v>
      </c>
      <c r="F69" s="119"/>
      <c r="G69" s="394">
        <f t="shared" si="5"/>
        <v>3.3333333333333335</v>
      </c>
      <c r="H69" s="151">
        <f t="shared" si="6"/>
        <v>2400</v>
      </c>
      <c r="I69" s="84"/>
      <c r="J69" s="90"/>
      <c r="K69" s="136">
        <f t="shared" si="7"/>
        <v>0</v>
      </c>
      <c r="L69" s="120"/>
      <c r="M69" s="16"/>
      <c r="N69" s="8"/>
    </row>
    <row r="70" spans="1:19" s="50" customFormat="1" ht="25" customHeight="1">
      <c r="A70" s="43"/>
      <c r="B70" s="133" t="s">
        <v>178</v>
      </c>
      <c r="C70" s="81">
        <v>16</v>
      </c>
      <c r="D70" s="81">
        <v>32</v>
      </c>
      <c r="E70" s="116">
        <v>0</v>
      </c>
      <c r="F70" s="116"/>
      <c r="G70" s="137">
        <f t="shared" si="5"/>
        <v>4.2222222222222223</v>
      </c>
      <c r="H70" s="147">
        <f t="shared" si="6"/>
        <v>3040</v>
      </c>
      <c r="I70" s="84"/>
      <c r="J70" s="28"/>
      <c r="K70" s="134">
        <f t="shared" si="7"/>
        <v>0</v>
      </c>
      <c r="L70" s="120"/>
      <c r="M70" s="16"/>
      <c r="N70" s="8"/>
      <c r="P70" s="62"/>
      <c r="Q70" s="62"/>
      <c r="R70" s="62"/>
    </row>
    <row r="71" spans="1:19" s="50" customFormat="1" ht="25" customHeight="1">
      <c r="A71" s="43"/>
      <c r="B71" s="135" t="s">
        <v>179</v>
      </c>
      <c r="C71" s="87">
        <v>16</v>
      </c>
      <c r="D71" s="87">
        <v>64</v>
      </c>
      <c r="E71" s="119">
        <v>0</v>
      </c>
      <c r="F71" s="119"/>
      <c r="G71" s="394">
        <f t="shared" si="5"/>
        <v>6.666666666666667</v>
      </c>
      <c r="H71" s="151">
        <f t="shared" si="6"/>
        <v>4800</v>
      </c>
      <c r="I71" s="84"/>
      <c r="J71" s="90"/>
      <c r="K71" s="136">
        <f t="shared" si="7"/>
        <v>0</v>
      </c>
      <c r="L71" s="120"/>
      <c r="M71" s="16"/>
      <c r="N71" s="8"/>
      <c r="P71" s="62"/>
      <c r="Q71" s="62"/>
      <c r="R71" s="62"/>
    </row>
    <row r="72" spans="1:19" s="97" customFormat="1" ht="25" customHeight="1">
      <c r="A72" s="43"/>
      <c r="B72" s="93" t="s">
        <v>26</v>
      </c>
      <c r="C72" s="94">
        <f t="array" ref="C72">SUM(C62:C71*I62:I71)</f>
        <v>0</v>
      </c>
      <c r="D72" s="94">
        <f t="array" ref="D72">SUM(D62:D71*I62:I71)</f>
        <v>0</v>
      </c>
      <c r="E72" s="122"/>
      <c r="F72" s="122"/>
      <c r="G72" s="94"/>
      <c r="H72" s="94"/>
      <c r="I72" s="94" t="str">
        <f>SUM(I62:I71)&amp;" st"</f>
        <v>0 st</v>
      </c>
      <c r="J72" s="94"/>
      <c r="K72" s="138">
        <f>SUM(K62:K71)</f>
        <v>0</v>
      </c>
      <c r="M72" s="16"/>
      <c r="N72" s="8"/>
      <c r="P72" s="98"/>
      <c r="R72" s="98"/>
    </row>
    <row r="73" spans="1:19" s="50" customFormat="1" ht="25" customHeight="1">
      <c r="A73" s="43"/>
      <c r="B73" s="100"/>
      <c r="C73" s="100"/>
      <c r="D73" s="100"/>
      <c r="E73" s="101"/>
      <c r="F73" s="102"/>
      <c r="G73" s="103"/>
      <c r="H73" s="104"/>
      <c r="I73" s="105"/>
      <c r="J73" s="106"/>
      <c r="K73" s="124"/>
      <c r="M73" s="16"/>
      <c r="N73" s="8"/>
      <c r="P73" s="62"/>
      <c r="R73" s="62"/>
    </row>
    <row r="74" spans="1:19" s="50" customFormat="1" ht="25" customHeight="1">
      <c r="A74" s="43"/>
      <c r="B74" s="100"/>
      <c r="C74" s="100"/>
      <c r="D74" s="100"/>
      <c r="E74" s="101"/>
      <c r="F74" s="102"/>
      <c r="G74" s="103"/>
      <c r="H74" s="104"/>
      <c r="I74" s="105"/>
      <c r="J74" s="106"/>
      <c r="K74" s="124"/>
      <c r="M74" s="16"/>
      <c r="N74" s="8"/>
      <c r="P74" s="62"/>
      <c r="R74" s="62"/>
    </row>
    <row r="75" spans="1:19" ht="25" customHeight="1">
      <c r="B75" s="108"/>
      <c r="C75" s="109"/>
      <c r="D75" s="109"/>
      <c r="E75" s="109"/>
      <c r="F75" s="109"/>
      <c r="G75" s="110"/>
      <c r="H75" s="111"/>
      <c r="I75" s="111"/>
      <c r="J75" s="109"/>
      <c r="K75" s="125"/>
      <c r="M75" s="16"/>
      <c r="N75" s="8"/>
      <c r="P75" s="62"/>
      <c r="Q75" s="62"/>
      <c r="R75" s="79"/>
    </row>
    <row r="76" spans="1:19" s="78" customFormat="1" ht="25" customHeight="1">
      <c r="A76" s="73"/>
      <c r="B76" s="64" t="s">
        <v>180</v>
      </c>
      <c r="C76" s="113"/>
      <c r="D76" s="113"/>
      <c r="K76" s="126"/>
      <c r="M76" s="16"/>
      <c r="N76" s="8"/>
    </row>
    <row r="77" spans="1:19" ht="25" customHeight="1">
      <c r="B77" s="960" t="s">
        <v>153</v>
      </c>
      <c r="C77" s="960"/>
      <c r="D77" s="960"/>
      <c r="E77" s="960"/>
      <c r="M77" s="16"/>
      <c r="N77" s="8"/>
    </row>
    <row r="78" spans="1:19" s="130" customFormat="1" ht="25" customHeight="1">
      <c r="A78" s="115"/>
      <c r="B78" s="74" t="s">
        <v>22</v>
      </c>
      <c r="C78" s="75" t="s">
        <v>11</v>
      </c>
      <c r="D78" s="75" t="s">
        <v>154</v>
      </c>
      <c r="E78" s="2" t="s">
        <v>155</v>
      </c>
      <c r="F78" s="1" t="s">
        <v>628</v>
      </c>
      <c r="G78" s="142" t="s">
        <v>30</v>
      </c>
      <c r="H78" s="2" t="s">
        <v>31</v>
      </c>
      <c r="I78" s="76" t="s">
        <v>32</v>
      </c>
      <c r="J78" s="75"/>
      <c r="K78" s="393" t="s">
        <v>33</v>
      </c>
      <c r="M78" s="16"/>
      <c r="N78" s="8"/>
      <c r="O78" s="131"/>
      <c r="P78" s="132"/>
      <c r="Q78" s="132"/>
      <c r="R78" s="132"/>
      <c r="S78" s="131"/>
    </row>
    <row r="79" spans="1:19" s="50" customFormat="1" ht="25" customHeight="1">
      <c r="A79" s="43"/>
      <c r="B79" s="133" t="s">
        <v>23</v>
      </c>
      <c r="C79" s="81">
        <v>4</v>
      </c>
      <c r="D79" s="81">
        <v>16</v>
      </c>
      <c r="E79" s="116">
        <v>125</v>
      </c>
      <c r="F79" s="116" t="s">
        <v>629</v>
      </c>
      <c r="G79" s="137">
        <f>H79/720</f>
        <v>4.645833333333333</v>
      </c>
      <c r="H79" s="147">
        <f>C79*IAAS_vcpu_SEK+D79*IAAS_ram_SEK+E79*IAAS_nvme_SEK+1*IAAS_GPU_A2_SEK</f>
        <v>3345</v>
      </c>
      <c r="I79" s="84"/>
      <c r="J79" s="28"/>
      <c r="K79" s="134">
        <f>ROUNDUP(I79*H79,2)</f>
        <v>0</v>
      </c>
      <c r="M79" s="16"/>
      <c r="N79" s="8"/>
      <c r="O79" s="118"/>
    </row>
    <row r="80" spans="1:19" s="50" customFormat="1" ht="25" customHeight="1">
      <c r="A80" s="43"/>
      <c r="B80" s="135" t="s">
        <v>24</v>
      </c>
      <c r="C80" s="87">
        <v>8</v>
      </c>
      <c r="D80" s="87">
        <v>32</v>
      </c>
      <c r="E80" s="119">
        <v>250</v>
      </c>
      <c r="F80" s="119" t="s">
        <v>629</v>
      </c>
      <c r="G80" s="394">
        <f>H80/720</f>
        <v>6.4861111111111107</v>
      </c>
      <c r="H80" s="151">
        <f>C80*IAAS_vcpu_SEK+D80*IAAS_ram_SEK+E80*IAAS_nvme_SEK+1*IAAS_GPU_A2_SEK</f>
        <v>4670</v>
      </c>
      <c r="I80" s="84"/>
      <c r="J80" s="90"/>
      <c r="K80" s="136">
        <f>ROUNDUP(I80*H80,2)</f>
        <v>0</v>
      </c>
      <c r="L80" s="120"/>
      <c r="M80" s="16"/>
      <c r="N80" s="8"/>
      <c r="O80" s="118"/>
    </row>
    <row r="81" spans="1:20" s="50" customFormat="1" ht="25" customHeight="1">
      <c r="A81" s="43"/>
      <c r="B81" s="133" t="s">
        <v>25</v>
      </c>
      <c r="C81" s="81">
        <v>4</v>
      </c>
      <c r="D81" s="81">
        <v>8</v>
      </c>
      <c r="E81" s="116">
        <v>0</v>
      </c>
      <c r="F81" s="116" t="s">
        <v>629</v>
      </c>
      <c r="G81" s="137">
        <f>H81/720</f>
        <v>3.8611111111111112</v>
      </c>
      <c r="H81" s="147">
        <f>C81*IAAS_vcpu_SEK+D81*IAAS_ram_SEK+E81*IAAS_nvme_SEK+1*IAAS_GPU_A2_SEK</f>
        <v>2780</v>
      </c>
      <c r="I81" s="84"/>
      <c r="J81" s="28"/>
      <c r="K81" s="134">
        <f>ROUNDUP(I81*H81,2)</f>
        <v>0</v>
      </c>
      <c r="L81" s="120"/>
      <c r="M81" s="16"/>
      <c r="N81" s="8"/>
      <c r="O81" s="118"/>
    </row>
    <row r="82" spans="1:20" s="50" customFormat="1" ht="25" customHeight="1">
      <c r="A82" s="43"/>
      <c r="B82" s="396" t="s">
        <v>181</v>
      </c>
      <c r="C82" s="87">
        <v>8</v>
      </c>
      <c r="D82" s="87">
        <v>16</v>
      </c>
      <c r="E82" s="119">
        <v>0</v>
      </c>
      <c r="F82" s="119" t="s">
        <v>629</v>
      </c>
      <c r="G82" s="394">
        <f t="shared" ref="G82" si="8">H82/720</f>
        <v>4.916666666666667</v>
      </c>
      <c r="H82" s="151">
        <f>C82*IAAS_vcpu_SEK+D82*IAAS_ram_SEK+E82*IAAS_nvme_SEK+1*IAAS_GPU_A2_SEK</f>
        <v>3540</v>
      </c>
      <c r="I82" s="84"/>
      <c r="J82" s="90"/>
      <c r="K82" s="136">
        <f>ROUNDUP(I82*H82,2)</f>
        <v>0</v>
      </c>
      <c r="L82" s="120"/>
      <c r="M82" s="16"/>
      <c r="N82" s="8"/>
      <c r="O82" s="118"/>
    </row>
    <row r="83" spans="1:20" s="50" customFormat="1" ht="25" customHeight="1">
      <c r="A83" s="43"/>
      <c r="B83" s="133" t="s">
        <v>626</v>
      </c>
      <c r="C83" s="81">
        <v>32</v>
      </c>
      <c r="D83" s="81">
        <v>192</v>
      </c>
      <c r="E83" s="116">
        <v>0</v>
      </c>
      <c r="F83" s="116" t="s">
        <v>630</v>
      </c>
      <c r="G83" s="137">
        <f>H83/720</f>
        <v>33.366666666666667</v>
      </c>
      <c r="H83" s="147">
        <f>C83*IAAS_vcpu_SEK+D83*IAAS_ram_SEK+E83*IAAS_nvme_SEK+1*IAAS_GPU_H100_SEK</f>
        <v>24024</v>
      </c>
      <c r="I83" s="84"/>
      <c r="J83" s="28"/>
      <c r="K83" s="134">
        <f>ROUNDUP(I83*H83,2)</f>
        <v>0</v>
      </c>
      <c r="L83" s="120"/>
      <c r="M83" s="16"/>
      <c r="N83" s="8"/>
      <c r="O83" s="121"/>
    </row>
    <row r="84" spans="1:20" s="97" customFormat="1" ht="25" customHeight="1">
      <c r="A84" s="43"/>
      <c r="B84" s="93" t="s">
        <v>26</v>
      </c>
      <c r="C84" s="94" t="str">
        <f t="array" ref="C84">SUM(C79:C83*I79:I83)&amp;" st"</f>
        <v>0 st</v>
      </c>
      <c r="D84" s="94" t="str">
        <f>SUMPRODUCT(D79:D83,I79:I83)&amp;" GB"</f>
        <v>0 GB</v>
      </c>
      <c r="E84" s="94" t="str">
        <f>SUMPRODUCT(E79:E83,I79:I83)&amp;" GB"</f>
        <v>0 GB</v>
      </c>
      <c r="F84" s="94"/>
      <c r="G84" s="94"/>
      <c r="H84" s="94"/>
      <c r="I84" s="94" t="str">
        <f>SUM(I79:I83)&amp;" st"</f>
        <v>0 st</v>
      </c>
      <c r="J84" s="94"/>
      <c r="K84" s="138">
        <f>SUM(K79:K83)</f>
        <v>0</v>
      </c>
      <c r="M84" s="16"/>
      <c r="N84" s="8"/>
      <c r="P84" s="98"/>
      <c r="R84" s="98"/>
    </row>
    <row r="85" spans="1:20" ht="25" customHeight="1">
      <c r="A85" s="43"/>
      <c r="B85" s="99"/>
      <c r="C85" s="139"/>
      <c r="D85" s="139"/>
      <c r="E85" s="139"/>
      <c r="G85" s="139"/>
      <c r="H85" s="103"/>
      <c r="I85" s="140"/>
      <c r="J85" s="106"/>
      <c r="K85" s="124"/>
      <c r="M85" s="16"/>
      <c r="N85" s="8"/>
      <c r="P85" s="62"/>
      <c r="Q85" s="62"/>
      <c r="R85" s="79"/>
    </row>
    <row r="86" spans="1:20" ht="25" customHeight="1">
      <c r="B86" s="168"/>
      <c r="C86" s="169"/>
      <c r="D86" s="169"/>
      <c r="E86" s="169"/>
      <c r="F86" s="169"/>
      <c r="G86" s="169"/>
      <c r="H86" s="914"/>
      <c r="I86" s="105"/>
      <c r="J86" s="105"/>
      <c r="K86" s="398"/>
      <c r="L86" s="140"/>
      <c r="M86" s="16"/>
      <c r="N86" s="8"/>
    </row>
    <row r="87" spans="1:20" s="50" customFormat="1" ht="25" customHeight="1">
      <c r="A87" s="43"/>
      <c r="B87" s="170"/>
      <c r="C87" s="153"/>
      <c r="D87" s="153"/>
      <c r="E87" s="153"/>
      <c r="F87" s="153"/>
      <c r="G87" s="153"/>
      <c r="H87" s="913">
        <f>H83-24024</f>
        <v>0</v>
      </c>
      <c r="I87" s="154"/>
      <c r="J87" s="154"/>
      <c r="K87" s="397"/>
      <c r="L87" s="171"/>
      <c r="M87" s="16"/>
      <c r="N87" s="8"/>
      <c r="Q87" s="62"/>
      <c r="S87" s="62"/>
    </row>
    <row r="88" spans="1:20" ht="25" customHeight="1">
      <c r="B88" s="64" t="s">
        <v>182</v>
      </c>
      <c r="C88" s="156"/>
      <c r="D88" s="156"/>
      <c r="E88" s="156"/>
      <c r="F88" s="156"/>
      <c r="G88" s="156"/>
      <c r="H88" s="154"/>
      <c r="I88" s="154"/>
      <c r="J88" s="154"/>
      <c r="K88" s="397"/>
      <c r="L88" s="171"/>
      <c r="M88" s="16"/>
      <c r="N88" s="8"/>
      <c r="O88" s="50"/>
      <c r="P88" s="50"/>
      <c r="Q88" s="50"/>
      <c r="R88" s="62"/>
      <c r="S88" s="50"/>
      <c r="T88" s="79"/>
    </row>
    <row r="89" spans="1:20" ht="25" customHeight="1">
      <c r="B89" s="72" t="s">
        <v>183</v>
      </c>
      <c r="M89" s="16"/>
      <c r="N89" s="8"/>
    </row>
    <row r="90" spans="1:20" s="175" customFormat="1" ht="25" customHeight="1">
      <c r="A90" s="178"/>
      <c r="B90" s="74" t="s">
        <v>22</v>
      </c>
      <c r="C90" s="172" t="s">
        <v>184</v>
      </c>
      <c r="D90" s="172"/>
      <c r="E90" s="172"/>
      <c r="F90" s="172"/>
      <c r="G90" s="1" t="s">
        <v>30</v>
      </c>
      <c r="H90" s="2" t="s">
        <v>31</v>
      </c>
      <c r="I90" s="173" t="s">
        <v>185</v>
      </c>
      <c r="J90" s="172"/>
      <c r="K90" s="399" t="s">
        <v>186</v>
      </c>
      <c r="L90" s="132"/>
      <c r="M90" s="16"/>
      <c r="N90" s="8"/>
      <c r="R90" s="176"/>
      <c r="S90" s="176"/>
      <c r="T90" s="177"/>
    </row>
    <row r="91" spans="1:20" s="50" customFormat="1" ht="25" customHeight="1">
      <c r="A91" s="43"/>
      <c r="B91" s="133" t="s">
        <v>39</v>
      </c>
      <c r="C91" s="179" t="s">
        <v>40</v>
      </c>
      <c r="D91" s="180"/>
      <c r="E91" s="180"/>
      <c r="F91" s="180"/>
      <c r="G91" s="400">
        <f>H91/720</f>
        <v>1.6666666666666666E-3</v>
      </c>
      <c r="H91" s="159">
        <f>VOLUME_large_SEK</f>
        <v>1.2</v>
      </c>
      <c r="I91" s="183"/>
      <c r="J91" s="184"/>
      <c r="K91" s="401">
        <f>ROUNDUP(I91*H91,2)</f>
        <v>0</v>
      </c>
      <c r="L91" s="154"/>
      <c r="M91" s="16"/>
      <c r="N91" s="8"/>
    </row>
    <row r="92" spans="1:20" s="50" customFormat="1" ht="25" customHeight="1">
      <c r="A92" s="43"/>
      <c r="B92" s="135" t="s">
        <v>41</v>
      </c>
      <c r="C92" s="50" t="s">
        <v>42</v>
      </c>
      <c r="D92" s="167"/>
      <c r="E92" s="167"/>
      <c r="F92" s="167"/>
      <c r="G92" s="402">
        <f>H92/720</f>
        <v>5.0000000000000001E-3</v>
      </c>
      <c r="H92" s="162">
        <f>VOLUME_fast_SEK</f>
        <v>3.6</v>
      </c>
      <c r="I92" s="189"/>
      <c r="J92" s="190"/>
      <c r="K92" s="403">
        <f>ROUNDUP(I92*H92,2)</f>
        <v>0</v>
      </c>
      <c r="L92" s="154"/>
      <c r="M92" s="16"/>
      <c r="N92" s="8"/>
      <c r="T92" s="62"/>
    </row>
    <row r="93" spans="1:20" s="50" customFormat="1" ht="25" customHeight="1">
      <c r="A93" s="43"/>
      <c r="B93" s="133" t="s">
        <v>43</v>
      </c>
      <c r="C93" s="179" t="s">
        <v>44</v>
      </c>
      <c r="D93" s="180"/>
      <c r="E93" s="180"/>
      <c r="F93" s="180"/>
      <c r="G93" s="400">
        <f>H93/720</f>
        <v>1.6666666666666666E-3</v>
      </c>
      <c r="H93" s="159">
        <f>VOLUME_large_SEK</f>
        <v>1.2</v>
      </c>
      <c r="I93" s="183"/>
      <c r="J93" s="184"/>
      <c r="K93" s="401">
        <f>ROUNDUP(I93*H93,2)</f>
        <v>0</v>
      </c>
      <c r="L93" s="154"/>
      <c r="M93" s="16"/>
      <c r="N93" s="8"/>
    </row>
    <row r="94" spans="1:20" s="97" customFormat="1" ht="25" customHeight="1">
      <c r="A94" s="92"/>
      <c r="B94" s="93" t="s">
        <v>26</v>
      </c>
      <c r="C94" s="94"/>
      <c r="D94" s="94"/>
      <c r="E94" s="94"/>
      <c r="F94" s="94"/>
      <c r="G94" s="94"/>
      <c r="H94" s="94"/>
      <c r="I94" s="94" t="str">
        <f>SUM(I91:I93)&amp;" GB"</f>
        <v>0 GB</v>
      </c>
      <c r="J94" s="94"/>
      <c r="K94" s="138">
        <f>SUM(K91:K93)</f>
        <v>0</v>
      </c>
      <c r="M94" s="16"/>
      <c r="N94" s="8"/>
      <c r="P94" s="98"/>
      <c r="R94" s="98"/>
    </row>
    <row r="95" spans="1:20" ht="25" customHeight="1">
      <c r="B95" s="168"/>
      <c r="C95" s="168"/>
      <c r="D95" s="169"/>
      <c r="E95" s="169"/>
      <c r="F95" s="169"/>
      <c r="G95" s="169"/>
      <c r="H95" s="167"/>
      <c r="I95" s="192"/>
      <c r="J95" s="192"/>
      <c r="K95" s="404"/>
      <c r="L95" s="194"/>
      <c r="M95" s="16"/>
      <c r="N95" s="8"/>
    </row>
    <row r="96" spans="1:20" s="34" customFormat="1" ht="25" customHeight="1">
      <c r="A96" s="43"/>
      <c r="B96" s="168"/>
      <c r="C96" s="169"/>
      <c r="D96" s="169"/>
      <c r="E96" s="169"/>
      <c r="F96" s="169"/>
      <c r="G96" s="169"/>
      <c r="H96" s="192"/>
      <c r="I96" s="192"/>
      <c r="J96" s="192"/>
      <c r="K96" s="405"/>
      <c r="L96" s="195"/>
      <c r="M96" s="16"/>
      <c r="N96" s="8"/>
    </row>
    <row r="97" spans="1:20" s="34" customFormat="1" ht="25" customHeight="1">
      <c r="A97" s="43"/>
      <c r="B97" s="957" t="s">
        <v>187</v>
      </c>
      <c r="C97" s="957"/>
      <c r="D97" s="957"/>
      <c r="E97" s="957"/>
      <c r="F97" s="957"/>
      <c r="G97" s="957"/>
      <c r="H97" s="957"/>
      <c r="I97" s="957"/>
      <c r="J97" s="957"/>
      <c r="K97" s="957"/>
      <c r="M97" s="16"/>
      <c r="N97" s="8"/>
    </row>
    <row r="98" spans="1:20" s="34" customFormat="1" ht="25" customHeight="1">
      <c r="A98" s="43"/>
      <c r="B98" s="957"/>
      <c r="C98" s="957"/>
      <c r="D98" s="957"/>
      <c r="E98" s="957"/>
      <c r="F98" s="957"/>
      <c r="G98" s="957"/>
      <c r="H98" s="957"/>
      <c r="I98" s="957"/>
      <c r="J98" s="957"/>
      <c r="K98" s="957"/>
      <c r="M98" s="16"/>
      <c r="N98" s="8"/>
    </row>
    <row r="99" spans="1:20" s="34" customFormat="1" ht="25" customHeight="1">
      <c r="A99" s="43"/>
      <c r="B99" s="957"/>
      <c r="C99" s="957"/>
      <c r="D99" s="957"/>
      <c r="E99" s="957"/>
      <c r="F99" s="957"/>
      <c r="G99" s="957"/>
      <c r="H99" s="957"/>
      <c r="I99" s="957"/>
      <c r="J99" s="957"/>
      <c r="K99" s="957"/>
      <c r="M99" s="16"/>
      <c r="N99" s="8"/>
    </row>
    <row r="100" spans="1:20" s="34" customFormat="1" ht="25" customHeight="1">
      <c r="A100" s="43"/>
      <c r="B100" s="51" t="s">
        <v>675</v>
      </c>
      <c r="C100" s="51"/>
      <c r="D100" s="51"/>
      <c r="E100" s="51"/>
      <c r="F100" s="51"/>
      <c r="H100" s="46"/>
      <c r="J100" s="49"/>
      <c r="K100" s="390"/>
      <c r="M100" s="16"/>
      <c r="N100" s="8"/>
    </row>
    <row r="101" spans="1:20" s="200" customFormat="1" ht="25" customHeight="1">
      <c r="A101" s="201"/>
      <c r="B101" s="4" t="s">
        <v>150</v>
      </c>
      <c r="C101" s="4"/>
      <c r="D101" s="4"/>
      <c r="E101" s="4"/>
      <c r="F101" s="4"/>
      <c r="G101" s="196"/>
      <c r="H101" s="197"/>
      <c r="I101" s="196"/>
      <c r="J101" s="198"/>
      <c r="K101" s="406"/>
      <c r="L101" s="196"/>
      <c r="M101" s="16"/>
      <c r="N101" s="8"/>
    </row>
    <row r="102" spans="1:20" s="34" customFormat="1" ht="25" customHeight="1">
      <c r="A102" s="43"/>
      <c r="B102" s="58" t="s">
        <v>151</v>
      </c>
      <c r="C102" s="59"/>
      <c r="D102" s="59"/>
      <c r="E102" s="60"/>
      <c r="F102" s="60"/>
      <c r="G102" s="53"/>
      <c r="H102" s="54"/>
      <c r="I102" s="53"/>
      <c r="J102" s="55"/>
      <c r="K102" s="391"/>
      <c r="L102" s="61"/>
      <c r="M102" s="16"/>
      <c r="N102" s="8"/>
      <c r="O102" s="50"/>
      <c r="P102" s="50"/>
    </row>
    <row r="103" spans="1:20" s="50" customFormat="1" ht="25" customHeight="1">
      <c r="A103" s="43"/>
      <c r="B103" s="170"/>
      <c r="C103" s="153"/>
      <c r="D103" s="153"/>
      <c r="E103" s="153"/>
      <c r="F103" s="153"/>
      <c r="G103" s="153"/>
      <c r="H103" s="154"/>
      <c r="I103" s="154"/>
      <c r="J103" s="154"/>
      <c r="K103" s="397"/>
      <c r="L103" s="171"/>
      <c r="M103" s="16"/>
      <c r="N103" s="8"/>
      <c r="R103" s="62"/>
      <c r="T103" s="62"/>
    </row>
    <row r="104" spans="1:20" s="34" customFormat="1" ht="25" customHeight="1">
      <c r="A104" s="43"/>
      <c r="B104" s="74" t="s">
        <v>22</v>
      </c>
      <c r="C104" s="202"/>
      <c r="D104" s="2"/>
      <c r="E104" s="2"/>
      <c r="F104" s="172"/>
      <c r="G104" s="2" t="s">
        <v>188</v>
      </c>
      <c r="H104" s="172"/>
      <c r="I104" s="173" t="s">
        <v>51</v>
      </c>
      <c r="J104" s="2"/>
      <c r="K104" s="399" t="s">
        <v>38</v>
      </c>
      <c r="L104" s="57"/>
      <c r="M104" s="16"/>
      <c r="N104" s="8"/>
    </row>
    <row r="105" spans="1:20" s="209" customFormat="1" ht="25" customHeight="1">
      <c r="A105" s="210"/>
      <c r="B105" s="133" t="s">
        <v>49</v>
      </c>
      <c r="C105" s="407" t="s">
        <v>189</v>
      </c>
      <c r="D105" s="407"/>
      <c r="E105" s="203"/>
      <c r="F105" s="204"/>
      <c r="G105" s="408">
        <f>S3_archive.50_SEK</f>
        <v>350</v>
      </c>
      <c r="H105" s="204"/>
      <c r="I105" s="206"/>
      <c r="J105" s="207"/>
      <c r="K105" s="409">
        <f>I105*G105</f>
        <v>0</v>
      </c>
      <c r="L105" s="208"/>
      <c r="M105" s="16"/>
      <c r="N105" s="8"/>
    </row>
    <row r="106" spans="1:20" s="50" customFormat="1" ht="25" customHeight="1">
      <c r="A106" s="43"/>
      <c r="B106" s="135" t="s">
        <v>50</v>
      </c>
      <c r="C106" s="50" t="s">
        <v>190</v>
      </c>
      <c r="D106" s="167"/>
      <c r="E106" s="167"/>
      <c r="F106" s="188"/>
      <c r="G106" s="410">
        <f>S3_storage50_SEK</f>
        <v>500</v>
      </c>
      <c r="H106" s="212"/>
      <c r="I106" s="213"/>
      <c r="J106" s="190"/>
      <c r="K106" s="403">
        <f>I106*G106</f>
        <v>0</v>
      </c>
      <c r="L106" s="154"/>
      <c r="M106" s="16"/>
      <c r="N106" s="8"/>
      <c r="T106" s="62"/>
    </row>
    <row r="107" spans="1:20" s="97" customFormat="1" ht="25" customHeight="1">
      <c r="A107" s="92"/>
      <c r="B107" s="93" t="s">
        <v>26</v>
      </c>
      <c r="C107" s="94"/>
      <c r="D107" s="94"/>
      <c r="E107" s="94"/>
      <c r="F107" s="94"/>
      <c r="G107" s="94"/>
      <c r="H107" s="94"/>
      <c r="I107" s="94"/>
      <c r="J107" s="94"/>
      <c r="K107" s="138">
        <f>SUM(K105:K106)</f>
        <v>0</v>
      </c>
      <c r="M107" s="16"/>
      <c r="N107" s="8"/>
      <c r="P107" s="98"/>
      <c r="R107" s="98"/>
    </row>
    <row r="108" spans="1:20" s="143" customFormat="1" ht="25" customHeight="1">
      <c r="A108" s="144"/>
      <c r="B108" s="4"/>
      <c r="C108" s="139"/>
      <c r="D108" s="60"/>
      <c r="E108" s="60"/>
      <c r="F108" s="60"/>
      <c r="G108" s="53"/>
      <c r="H108" s="54"/>
      <c r="I108" s="104"/>
      <c r="J108" s="61"/>
      <c r="K108" s="391"/>
      <c r="L108" s="57"/>
      <c r="M108" s="16"/>
      <c r="N108" s="8"/>
      <c r="O108" s="175"/>
      <c r="P108" s="175"/>
      <c r="Q108" s="175"/>
      <c r="R108" s="175"/>
      <c r="S108" s="175"/>
    </row>
    <row r="109" spans="1:20" ht="25" customHeight="1">
      <c r="B109" s="227"/>
      <c r="C109" s="228"/>
      <c r="D109" s="228"/>
      <c r="E109" s="228"/>
      <c r="F109" s="229"/>
      <c r="G109" s="230"/>
      <c r="H109" s="192"/>
      <c r="I109" s="192"/>
      <c r="J109" s="192"/>
      <c r="K109" s="404"/>
      <c r="L109" s="194"/>
      <c r="M109" s="16"/>
      <c r="N109" s="8"/>
      <c r="Q109" s="34"/>
    </row>
    <row r="110" spans="1:20" s="34" customFormat="1" ht="25" customHeight="1">
      <c r="A110" s="43"/>
      <c r="B110" s="957" t="s">
        <v>191</v>
      </c>
      <c r="C110" s="957"/>
      <c r="D110" s="957"/>
      <c r="E110" s="957"/>
      <c r="F110" s="957"/>
      <c r="G110" s="957"/>
      <c r="H110" s="46"/>
      <c r="J110" s="49"/>
      <c r="K110" s="390"/>
      <c r="L110" s="49"/>
      <c r="M110" s="16"/>
      <c r="N110" s="8"/>
    </row>
    <row r="111" spans="1:20" s="34" customFormat="1" ht="25" customHeight="1">
      <c r="A111" s="43"/>
      <c r="B111" s="957"/>
      <c r="C111" s="957"/>
      <c r="D111" s="957"/>
      <c r="E111" s="957"/>
      <c r="F111" s="957"/>
      <c r="G111" s="957"/>
      <c r="H111" s="46"/>
      <c r="J111" s="49"/>
      <c r="K111" s="390"/>
      <c r="L111" s="49"/>
      <c r="M111" s="16"/>
      <c r="N111" s="8"/>
    </row>
    <row r="112" spans="1:20" s="34" customFormat="1" ht="25" customHeight="1">
      <c r="A112" s="43"/>
      <c r="B112" s="957"/>
      <c r="C112" s="957"/>
      <c r="D112" s="957"/>
      <c r="E112" s="957"/>
      <c r="F112" s="957"/>
      <c r="G112" s="957"/>
      <c r="H112" s="46"/>
      <c r="J112" s="49"/>
      <c r="K112" s="390"/>
      <c r="L112" s="49"/>
      <c r="M112" s="16"/>
      <c r="N112" s="8"/>
    </row>
    <row r="113" spans="1:32" s="34" customFormat="1" ht="25" customHeight="1">
      <c r="A113" s="43"/>
      <c r="B113" s="51" t="s">
        <v>192</v>
      </c>
      <c r="C113" s="51"/>
      <c r="D113" s="51"/>
      <c r="E113" s="51"/>
      <c r="F113" s="51"/>
      <c r="H113" s="46"/>
      <c r="J113" s="49"/>
      <c r="K113" s="390"/>
      <c r="L113" s="49"/>
      <c r="M113" s="16"/>
      <c r="N113" s="8"/>
    </row>
    <row r="114" spans="1:32" s="34" customFormat="1" ht="25" customHeight="1">
      <c r="A114" s="43"/>
      <c r="B114" s="4" t="s">
        <v>193</v>
      </c>
      <c r="C114" s="4"/>
      <c r="D114" s="4"/>
      <c r="E114" s="4"/>
      <c r="F114" s="4"/>
      <c r="G114" s="53"/>
      <c r="H114" s="54"/>
      <c r="I114" s="53"/>
      <c r="J114" s="55"/>
      <c r="K114" s="391"/>
      <c r="L114" s="61"/>
      <c r="M114" s="16"/>
      <c r="N114" s="8"/>
    </row>
    <row r="115" spans="1:32" s="154" customFormat="1" ht="25" customHeight="1">
      <c r="A115" s="231"/>
      <c r="B115" s="58" t="s">
        <v>194</v>
      </c>
      <c r="C115" s="59"/>
      <c r="D115" s="59"/>
      <c r="E115" s="60"/>
      <c r="F115" s="60"/>
      <c r="G115" s="53"/>
      <c r="H115" s="54"/>
      <c r="I115" s="53"/>
      <c r="J115" s="55"/>
      <c r="K115" s="391"/>
      <c r="L115" s="61"/>
      <c r="M115" s="16"/>
      <c r="N115" s="8"/>
      <c r="O115" s="50"/>
      <c r="P115" s="50"/>
      <c r="Q115" s="50"/>
      <c r="R115" s="50"/>
      <c r="S115" s="50"/>
      <c r="T115" s="50"/>
      <c r="U115" s="50"/>
      <c r="X115" s="8"/>
      <c r="Y115" s="8"/>
      <c r="Z115" s="8"/>
    </row>
    <row r="116" spans="1:32" s="143" customFormat="1" ht="25" customHeight="1">
      <c r="A116" s="144"/>
      <c r="B116" s="232"/>
      <c r="C116" s="154"/>
      <c r="D116" s="154"/>
      <c r="E116" s="154"/>
      <c r="F116" s="154"/>
      <c r="G116" s="154"/>
      <c r="H116" s="154"/>
      <c r="I116" s="154"/>
      <c r="J116" s="154"/>
      <c r="K116" s="397"/>
      <c r="L116" s="154"/>
      <c r="M116" s="16"/>
      <c r="N116" s="8"/>
      <c r="P116" s="175"/>
      <c r="Q116" s="175"/>
      <c r="R116" s="175"/>
      <c r="S116" s="175"/>
      <c r="T116" s="175"/>
      <c r="U116" s="175"/>
    </row>
    <row r="117" spans="1:32" ht="25" customHeight="1">
      <c r="B117" s="74" t="s">
        <v>22</v>
      </c>
      <c r="C117" s="233"/>
      <c r="D117" s="233"/>
      <c r="E117" s="172" t="s">
        <v>195</v>
      </c>
      <c r="F117" s="233"/>
      <c r="G117" s="172" t="s">
        <v>196</v>
      </c>
      <c r="H117" s="172"/>
      <c r="I117" s="173" t="s">
        <v>197</v>
      </c>
      <c r="J117" s="1" t="s">
        <v>198</v>
      </c>
      <c r="K117" s="399" t="s">
        <v>65</v>
      </c>
      <c r="L117" s="171"/>
      <c r="M117" s="16"/>
      <c r="N117" s="8"/>
    </row>
    <row r="118" spans="1:32" ht="25" customHeight="1">
      <c r="B118" s="133" t="s">
        <v>66</v>
      </c>
      <c r="C118" s="180"/>
      <c r="D118" s="180"/>
      <c r="E118" s="235" t="s">
        <v>19</v>
      </c>
      <c r="F118" s="184"/>
      <c r="G118" s="412">
        <f>BAAS_on.demand_SEK</f>
        <v>2.4500000000000002</v>
      </c>
      <c r="H118" s="184"/>
      <c r="I118" s="206"/>
      <c r="J118" s="237" t="s">
        <v>19</v>
      </c>
      <c r="K118" s="401">
        <f>ROUNDUP(I118*G118,2)</f>
        <v>0</v>
      </c>
      <c r="L118" s="171"/>
      <c r="M118" s="16"/>
      <c r="N118" s="8"/>
    </row>
    <row r="119" spans="1:32" ht="25" customHeight="1">
      <c r="B119" s="135" t="s">
        <v>67</v>
      </c>
      <c r="C119" s="167"/>
      <c r="D119" s="167"/>
      <c r="E119" s="277">
        <v>5500</v>
      </c>
      <c r="F119" s="190"/>
      <c r="G119" s="120">
        <f>BAAS_small_SEK</f>
        <v>1.75</v>
      </c>
      <c r="H119" s="190"/>
      <c r="I119" s="240"/>
      <c r="J119" s="241">
        <v>0.75</v>
      </c>
      <c r="K119" s="403">
        <f>IF(I119&gt;0,$E$119+$G$119*MAX(0,I119*(1-$J$119)-1000),0)</f>
        <v>0</v>
      </c>
      <c r="L119" s="171"/>
      <c r="M119" s="16"/>
      <c r="N119" s="8"/>
    </row>
    <row r="120" spans="1:32" s="245" customFormat="1" ht="25" customHeight="1">
      <c r="A120" s="246"/>
      <c r="B120" s="164" t="s">
        <v>68</v>
      </c>
      <c r="C120" s="217"/>
      <c r="D120" s="217"/>
      <c r="E120" s="362">
        <v>9500</v>
      </c>
      <c r="F120" s="219"/>
      <c r="G120" s="412">
        <f>BAAS_large_SEK</f>
        <v>0.92</v>
      </c>
      <c r="H120" s="219"/>
      <c r="I120" s="243"/>
      <c r="J120" s="244">
        <v>0.75</v>
      </c>
      <c r="K120" s="411">
        <f>IF(I120&gt;0,$E$120+($G$120*(I120*(1-$J$120))),0)</f>
        <v>0</v>
      </c>
      <c r="L120" s="171"/>
      <c r="M120" s="16"/>
      <c r="N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2" s="97" customFormat="1" ht="25" customHeight="1">
      <c r="A121" s="92"/>
      <c r="B121" s="93" t="s">
        <v>26</v>
      </c>
      <c r="C121" s="94"/>
      <c r="D121" s="94"/>
      <c r="E121" s="94"/>
      <c r="F121" s="94"/>
      <c r="G121" s="94"/>
      <c r="H121" s="94"/>
      <c r="I121" s="94" t="str">
        <f>SUM(I118:I120)&amp;" GB"</f>
        <v>0 GB</v>
      </c>
      <c r="J121" s="94"/>
      <c r="K121" s="138">
        <f>SUM(K118:K120)</f>
        <v>0</v>
      </c>
      <c r="M121" s="16"/>
      <c r="N121" s="8"/>
      <c r="P121" s="98"/>
      <c r="R121" s="98"/>
    </row>
    <row r="122" spans="1:32" s="245" customFormat="1" ht="25" customHeight="1">
      <c r="A122" s="246"/>
      <c r="B122" s="99"/>
      <c r="C122" s="139"/>
      <c r="D122" s="139"/>
      <c r="E122" s="139"/>
      <c r="F122" s="247"/>
      <c r="G122" s="104"/>
      <c r="H122" s="104"/>
      <c r="I122" s="104"/>
      <c r="J122" s="104"/>
      <c r="K122" s="413"/>
      <c r="L122" s="102"/>
      <c r="M122" s="16"/>
      <c r="N122" s="8"/>
      <c r="O122" s="249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25" customHeight="1">
      <c r="B123" s="227"/>
      <c r="C123" s="228"/>
      <c r="D123" s="228"/>
      <c r="E123" s="228"/>
      <c r="F123" s="229"/>
      <c r="G123" s="230"/>
      <c r="H123" s="192"/>
      <c r="I123" s="192"/>
      <c r="J123" s="192"/>
      <c r="K123" s="404"/>
      <c r="L123" s="208"/>
      <c r="M123" s="16"/>
      <c r="N123" s="8"/>
    </row>
    <row r="124" spans="1:32" s="143" customFormat="1" ht="25" customHeight="1">
      <c r="A124" s="144"/>
      <c r="B124" s="4"/>
      <c r="C124" s="139"/>
      <c r="D124" s="60"/>
      <c r="E124" s="60"/>
      <c r="F124" s="60"/>
      <c r="G124" s="53"/>
      <c r="H124" s="54"/>
      <c r="I124" s="53"/>
      <c r="J124" s="61"/>
      <c r="K124" s="391"/>
      <c r="L124" s="57"/>
      <c r="M124" s="16"/>
      <c r="N124" s="8"/>
      <c r="O124" s="175"/>
      <c r="P124" s="175"/>
      <c r="Q124" s="175"/>
      <c r="R124" s="175"/>
      <c r="S124" s="175"/>
    </row>
    <row r="125" spans="1:32" s="34" customFormat="1" ht="25" customHeight="1">
      <c r="A125" s="43"/>
      <c r="B125" s="957" t="s">
        <v>199</v>
      </c>
      <c r="C125" s="957"/>
      <c r="D125" s="957"/>
      <c r="E125" s="957"/>
      <c r="F125" s="957"/>
      <c r="G125" s="957"/>
      <c r="H125" s="46"/>
      <c r="J125" s="49"/>
      <c r="K125" s="390"/>
      <c r="M125" s="16"/>
      <c r="N125" s="8"/>
    </row>
    <row r="126" spans="1:32" s="34" customFormat="1" ht="25" customHeight="1">
      <c r="A126" s="43"/>
      <c r="B126" s="957"/>
      <c r="C126" s="957"/>
      <c r="D126" s="957"/>
      <c r="E126" s="957"/>
      <c r="F126" s="957"/>
      <c r="G126" s="957"/>
      <c r="H126" s="46"/>
      <c r="J126" s="49"/>
      <c r="K126" s="390"/>
      <c r="M126" s="16"/>
      <c r="N126" s="8"/>
    </row>
    <row r="127" spans="1:32" s="34" customFormat="1" ht="25" customHeight="1">
      <c r="A127" s="43"/>
      <c r="B127" s="957"/>
      <c r="C127" s="957"/>
      <c r="D127" s="957"/>
      <c r="E127" s="957"/>
      <c r="F127" s="957"/>
      <c r="G127" s="957"/>
      <c r="H127" s="46"/>
      <c r="J127" s="49"/>
      <c r="K127" s="390"/>
      <c r="M127" s="16"/>
      <c r="N127" s="8"/>
    </row>
    <row r="128" spans="1:32" s="34" customFormat="1" ht="25" customHeight="1">
      <c r="A128" s="43"/>
      <c r="B128" s="4" t="s">
        <v>193</v>
      </c>
      <c r="C128" s="200"/>
      <c r="D128" s="200"/>
      <c r="E128" s="200"/>
      <c r="F128" s="200"/>
      <c r="H128" s="46"/>
      <c r="J128" s="49"/>
      <c r="K128" s="390"/>
      <c r="M128" s="16"/>
      <c r="N128" s="8"/>
    </row>
    <row r="129" spans="1:19" s="34" customFormat="1" ht="25" customHeight="1">
      <c r="A129" s="43"/>
      <c r="B129" s="4"/>
      <c r="C129" s="60"/>
      <c r="D129" s="60"/>
      <c r="E129" s="60"/>
      <c r="F129" s="60"/>
      <c r="G129" s="53"/>
      <c r="H129" s="54"/>
      <c r="I129" s="53"/>
      <c r="J129" s="55"/>
      <c r="K129" s="391"/>
      <c r="L129" s="53"/>
      <c r="M129" s="16"/>
      <c r="N129" s="8"/>
    </row>
    <row r="130" spans="1:19" s="154" customFormat="1" ht="25" customHeight="1">
      <c r="A130" s="231"/>
      <c r="B130" s="64" t="s">
        <v>200</v>
      </c>
      <c r="C130" s="60"/>
      <c r="D130" s="60"/>
      <c r="E130" s="60"/>
      <c r="F130" s="60"/>
      <c r="G130" s="53"/>
      <c r="H130" s="53"/>
      <c r="I130" s="53"/>
      <c r="J130" s="55"/>
      <c r="K130" s="391"/>
      <c r="L130" s="53"/>
      <c r="M130" s="16"/>
      <c r="N130" s="8"/>
      <c r="O130" s="50"/>
      <c r="P130" s="50"/>
      <c r="Q130" s="50"/>
      <c r="R130" s="50"/>
      <c r="S130" s="50"/>
    </row>
    <row r="131" spans="1:19" ht="25" customHeight="1">
      <c r="B131" s="72" t="s">
        <v>201</v>
      </c>
      <c r="M131" s="16"/>
      <c r="N131" s="8"/>
    </row>
    <row r="132" spans="1:19" ht="25" customHeight="1">
      <c r="B132" s="252" t="s">
        <v>22</v>
      </c>
      <c r="C132" s="251" t="s">
        <v>202</v>
      </c>
      <c r="D132" s="251"/>
      <c r="E132" s="172" t="s">
        <v>184</v>
      </c>
      <c r="F132" s="172"/>
      <c r="G132" s="172"/>
      <c r="H132" s="172"/>
      <c r="I132" s="172"/>
      <c r="J132" s="251" t="s">
        <v>203</v>
      </c>
      <c r="K132" s="399" t="s">
        <v>204</v>
      </c>
      <c r="L132" s="131"/>
      <c r="M132" s="16"/>
      <c r="N132" s="8"/>
      <c r="O132" s="154"/>
    </row>
    <row r="133" spans="1:19" ht="25" customHeight="1">
      <c r="B133" s="133" t="s">
        <v>76</v>
      </c>
      <c r="C133" s="253" t="s">
        <v>77</v>
      </c>
      <c r="D133" s="253"/>
      <c r="E133" s="179" t="s">
        <v>205</v>
      </c>
      <c r="F133" s="184"/>
      <c r="G133" s="184"/>
      <c r="H133" s="184"/>
      <c r="I133" s="184"/>
      <c r="J133" s="254" t="s">
        <v>206</v>
      </c>
      <c r="K133" s="401">
        <f>NET_publicv4_SEK</f>
        <v>25</v>
      </c>
      <c r="M133" s="16"/>
      <c r="N133" s="8"/>
      <c r="O133" s="154"/>
    </row>
    <row r="134" spans="1:19" ht="25" customHeight="1">
      <c r="B134" s="135" t="s">
        <v>80</v>
      </c>
      <c r="C134" s="256" t="s">
        <v>81</v>
      </c>
      <c r="D134" s="256"/>
      <c r="E134" s="50" t="s">
        <v>205</v>
      </c>
      <c r="F134" s="257"/>
      <c r="G134" s="257"/>
      <c r="H134" s="257"/>
      <c r="I134" s="257"/>
      <c r="J134" s="258" t="s">
        <v>19</v>
      </c>
      <c r="K134" s="403">
        <f>NET_publicv6_SEK</f>
        <v>0</v>
      </c>
      <c r="M134" s="16"/>
      <c r="N134" s="8"/>
      <c r="O134" s="154"/>
    </row>
    <row r="135" spans="1:19" ht="25" customHeight="1">
      <c r="B135" s="133" t="s">
        <v>82</v>
      </c>
      <c r="C135" s="253" t="s">
        <v>207</v>
      </c>
      <c r="D135" s="253"/>
      <c r="E135" s="260"/>
      <c r="F135" s="261"/>
      <c r="G135" s="261"/>
      <c r="H135" s="261"/>
      <c r="I135" s="261"/>
      <c r="J135" s="254" t="s">
        <v>84</v>
      </c>
      <c r="K135" s="401">
        <f>NET_ingress_SEK</f>
        <v>0</v>
      </c>
      <c r="M135" s="16"/>
      <c r="N135" s="8"/>
      <c r="O135" s="154"/>
    </row>
    <row r="136" spans="1:19" ht="25" customHeight="1">
      <c r="B136" s="135" t="s">
        <v>85</v>
      </c>
      <c r="C136" s="256" t="s">
        <v>207</v>
      </c>
      <c r="D136" s="256"/>
      <c r="E136" s="50"/>
      <c r="F136" s="257"/>
      <c r="G136" s="257"/>
      <c r="H136" s="257"/>
      <c r="I136" s="257"/>
      <c r="J136" s="262" t="s">
        <v>84</v>
      </c>
      <c r="K136" s="403">
        <f>NET_egress_SEK</f>
        <v>0</v>
      </c>
      <c r="M136" s="16"/>
      <c r="N136" s="8"/>
      <c r="O136" s="154"/>
    </row>
    <row r="137" spans="1:19" ht="25" customHeight="1">
      <c r="B137" s="133" t="s">
        <v>86</v>
      </c>
      <c r="C137" s="253" t="s">
        <v>87</v>
      </c>
      <c r="D137" s="253"/>
      <c r="E137" s="184" t="s">
        <v>208</v>
      </c>
      <c r="F137" s="261"/>
      <c r="G137" s="261"/>
      <c r="H137" s="261"/>
      <c r="I137" s="261"/>
      <c r="J137" s="254" t="s">
        <v>209</v>
      </c>
      <c r="K137" s="401" t="s">
        <v>214</v>
      </c>
      <c r="M137" s="16"/>
      <c r="N137" s="8"/>
    </row>
    <row r="138" spans="1:19" ht="25" customHeight="1">
      <c r="B138" s="135" t="s">
        <v>90</v>
      </c>
      <c r="C138" s="256" t="s">
        <v>91</v>
      </c>
      <c r="D138" s="256"/>
      <c r="E138" s="50"/>
      <c r="F138" s="257"/>
      <c r="G138" s="257"/>
      <c r="H138" s="257"/>
      <c r="I138" s="257"/>
      <c r="J138" s="258" t="s">
        <v>19</v>
      </c>
      <c r="K138" s="403">
        <f>NET_rdns_SEK</f>
        <v>0</v>
      </c>
      <c r="M138" s="16"/>
      <c r="N138" s="8"/>
      <c r="O138" s="154"/>
    </row>
    <row r="139" spans="1:19" ht="25" customHeight="1">
      <c r="B139" s="133" t="s">
        <v>92</v>
      </c>
      <c r="C139" s="253" t="s">
        <v>93</v>
      </c>
      <c r="D139" s="253"/>
      <c r="E139" s="184"/>
      <c r="F139" s="261"/>
      <c r="G139" s="261"/>
      <c r="H139" s="261"/>
      <c r="I139" s="261"/>
      <c r="J139" s="263" t="s">
        <v>19</v>
      </c>
      <c r="K139" s="401">
        <v>0</v>
      </c>
      <c r="M139" s="16"/>
      <c r="N139" s="8"/>
      <c r="O139" s="154"/>
    </row>
    <row r="140" spans="1:19" ht="25" customHeight="1">
      <c r="B140" s="264"/>
      <c r="C140" s="265"/>
      <c r="D140" s="266"/>
      <c r="E140" s="266"/>
      <c r="F140" s="266"/>
      <c r="G140" s="266"/>
      <c r="H140" s="266"/>
      <c r="I140" s="266"/>
      <c r="J140" s="265"/>
      <c r="K140" s="414"/>
      <c r="M140" s="16"/>
      <c r="N140" s="8"/>
      <c r="O140" s="154"/>
    </row>
    <row r="141" spans="1:19" ht="25" customHeight="1">
      <c r="C141" s="268"/>
      <c r="J141" s="268"/>
      <c r="M141" s="16"/>
      <c r="N141" s="8"/>
      <c r="O141" s="154"/>
    </row>
    <row r="142" spans="1:19" ht="25" customHeight="1">
      <c r="C142" s="268"/>
      <c r="J142" s="268"/>
      <c r="M142" s="16"/>
      <c r="N142" s="8"/>
      <c r="O142" s="154"/>
    </row>
    <row r="143" spans="1:19" ht="25" customHeight="1">
      <c r="B143" s="64" t="s">
        <v>210</v>
      </c>
      <c r="C143" s="131"/>
      <c r="D143" s="131"/>
      <c r="E143" s="131"/>
      <c r="F143" s="131"/>
      <c r="G143" s="131"/>
      <c r="H143" s="131"/>
      <c r="I143" s="131"/>
      <c r="J143" s="269"/>
      <c r="M143" s="16"/>
      <c r="N143" s="8"/>
      <c r="O143" s="154"/>
    </row>
    <row r="144" spans="1:19" ht="25" customHeight="1">
      <c r="B144" s="72" t="s">
        <v>211</v>
      </c>
      <c r="M144" s="16"/>
      <c r="N144" s="8"/>
    </row>
    <row r="145" spans="1:18" ht="25" customHeight="1">
      <c r="B145" s="252" t="s">
        <v>22</v>
      </c>
      <c r="C145" s="251"/>
      <c r="D145" s="251"/>
      <c r="E145" s="251" t="s">
        <v>184</v>
      </c>
      <c r="F145" s="172"/>
      <c r="G145" s="172"/>
      <c r="H145" s="172"/>
      <c r="I145" s="172"/>
      <c r="J145" s="251" t="s">
        <v>203</v>
      </c>
      <c r="K145" s="399" t="s">
        <v>204</v>
      </c>
      <c r="M145" s="16"/>
      <c r="N145" s="8"/>
      <c r="O145" s="154"/>
    </row>
    <row r="146" spans="1:18" ht="25" customHeight="1">
      <c r="B146" s="133" t="s">
        <v>96</v>
      </c>
      <c r="C146" s="253"/>
      <c r="D146" s="184"/>
      <c r="E146" s="184" t="s">
        <v>97</v>
      </c>
      <c r="F146" s="184"/>
      <c r="G146" s="184"/>
      <c r="H146" s="184"/>
      <c r="I146" s="184"/>
      <c r="J146" s="254" t="s">
        <v>11</v>
      </c>
      <c r="K146" s="401">
        <f>SW_win.ser.201X_SEK</f>
        <v>175</v>
      </c>
      <c r="L146" s="192"/>
      <c r="M146" s="16"/>
      <c r="N146" s="8"/>
      <c r="O146" s="154"/>
      <c r="Q146" s="50"/>
      <c r="R146" s="50"/>
    </row>
    <row r="147" spans="1:18" s="34" customFormat="1" ht="25" customHeight="1">
      <c r="A147" s="43"/>
      <c r="B147" s="135" t="s">
        <v>98</v>
      </c>
      <c r="C147" s="256"/>
      <c r="D147" s="190"/>
      <c r="E147" s="190" t="s">
        <v>99</v>
      </c>
      <c r="F147" s="257"/>
      <c r="G147" s="257"/>
      <c r="H147" s="257"/>
      <c r="I147" s="257"/>
      <c r="J147" s="262" t="s">
        <v>11</v>
      </c>
      <c r="K147" s="403">
        <f>SW_ms.sql.ser_SEK</f>
        <v>1229</v>
      </c>
      <c r="M147" s="16"/>
      <c r="N147" s="8"/>
      <c r="O147" s="154"/>
    </row>
    <row r="148" spans="1:18" ht="25" customHeight="1">
      <c r="B148" s="133" t="s">
        <v>100</v>
      </c>
      <c r="C148" s="253"/>
      <c r="D148" s="184"/>
      <c r="E148" s="184" t="s">
        <v>101</v>
      </c>
      <c r="F148" s="184"/>
      <c r="G148" s="184"/>
      <c r="H148" s="184"/>
      <c r="I148" s="184"/>
      <c r="J148" s="254" t="s">
        <v>11</v>
      </c>
      <c r="K148" s="401">
        <f>SW_ms.sql.ser.ent_SEK</f>
        <v>4766</v>
      </c>
      <c r="L148" s="192"/>
      <c r="M148" s="16"/>
      <c r="N148" s="8"/>
      <c r="O148" s="154"/>
      <c r="Q148" s="50"/>
      <c r="R148" s="50"/>
    </row>
    <row r="149" spans="1:18" ht="25" customHeight="1">
      <c r="B149" s="270"/>
      <c r="C149" s="271"/>
      <c r="D149" s="272"/>
      <c r="E149" s="273"/>
      <c r="F149" s="274"/>
      <c r="G149" s="274"/>
      <c r="H149" s="274"/>
      <c r="I149" s="274"/>
      <c r="J149" s="275"/>
      <c r="K149" s="415"/>
      <c r="M149" s="16"/>
      <c r="N149" s="8"/>
      <c r="O149" s="154"/>
    </row>
    <row r="150" spans="1:18" ht="25" customHeight="1">
      <c r="B150" s="135"/>
      <c r="C150" s="256"/>
      <c r="D150" s="50"/>
      <c r="E150" s="277"/>
      <c r="F150" s="257"/>
      <c r="G150" s="257"/>
      <c r="H150" s="257"/>
      <c r="I150" s="257"/>
      <c r="J150" s="278"/>
      <c r="K150" s="416"/>
      <c r="M150" s="16"/>
      <c r="N150" s="8"/>
      <c r="O150" s="154"/>
    </row>
    <row r="151" spans="1:18" ht="25" customHeight="1">
      <c r="M151" s="16"/>
      <c r="N151" s="8"/>
      <c r="O151" s="154"/>
    </row>
    <row r="152" spans="1:18" ht="25" customHeight="1">
      <c r="B152" s="64" t="s">
        <v>212</v>
      </c>
      <c r="C152" s="131"/>
      <c r="D152" s="131"/>
      <c r="F152" s="131"/>
      <c r="G152" s="131"/>
      <c r="H152" s="131"/>
      <c r="I152" s="131"/>
      <c r="J152" s="131"/>
      <c r="M152" s="16"/>
      <c r="N152" s="8"/>
      <c r="O152" s="154"/>
    </row>
    <row r="153" spans="1:18" ht="25" customHeight="1">
      <c r="B153" s="72" t="s">
        <v>213</v>
      </c>
      <c r="M153" s="16"/>
      <c r="N153" s="8"/>
    </row>
    <row r="154" spans="1:18" ht="25" customHeight="1">
      <c r="B154" s="252" t="s">
        <v>22</v>
      </c>
      <c r="C154" s="251"/>
      <c r="D154" s="172"/>
      <c r="E154" s="251" t="s">
        <v>184</v>
      </c>
      <c r="F154" s="172"/>
      <c r="G154" s="172"/>
      <c r="H154" s="172"/>
      <c r="I154" s="172"/>
      <c r="J154" s="2"/>
      <c r="K154" s="399" t="s">
        <v>204</v>
      </c>
      <c r="M154" s="16"/>
      <c r="N154" s="8"/>
      <c r="O154" s="154"/>
    </row>
    <row r="155" spans="1:18" ht="25" customHeight="1">
      <c r="B155" s="133" t="s">
        <v>647</v>
      </c>
      <c r="C155" s="253"/>
      <c r="D155" s="184"/>
      <c r="E155" s="184" t="s">
        <v>103</v>
      </c>
      <c r="F155" s="184"/>
      <c r="G155" s="184"/>
      <c r="H155" s="184"/>
      <c r="I155" s="184"/>
      <c r="J155" s="279"/>
      <c r="K155" s="401">
        <f>PAAS_man.elasticsearch_SEK</f>
        <v>2</v>
      </c>
      <c r="M155" s="16"/>
      <c r="N155" s="8"/>
      <c r="O155" s="154"/>
    </row>
    <row r="156" spans="1:18" ht="25" customHeight="1">
      <c r="B156" s="135" t="s">
        <v>653</v>
      </c>
      <c r="C156" s="256"/>
      <c r="D156" s="190"/>
      <c r="E156" s="190" t="s">
        <v>651</v>
      </c>
      <c r="F156" s="257"/>
      <c r="G156" s="257"/>
      <c r="H156" s="257"/>
      <c r="I156" s="257"/>
      <c r="J156" s="278"/>
      <c r="K156" s="403">
        <f>PAAS_man.mariadb_SEK</f>
        <v>2</v>
      </c>
      <c r="M156" s="16"/>
      <c r="N156" s="8"/>
      <c r="O156" s="154"/>
    </row>
    <row r="157" spans="1:18" ht="25" customHeight="1">
      <c r="B157" s="133" t="s">
        <v>648</v>
      </c>
      <c r="C157" s="253"/>
      <c r="D157" s="184"/>
      <c r="E157" s="184" t="s">
        <v>652</v>
      </c>
      <c r="F157" s="184"/>
      <c r="G157" s="184"/>
      <c r="H157" s="184"/>
      <c r="I157" s="184"/>
      <c r="J157" s="279"/>
      <c r="K157" s="401">
        <f>PAAS_man.elasticsearch_SEK</f>
        <v>2</v>
      </c>
      <c r="M157" s="16"/>
      <c r="N157" s="8"/>
      <c r="O157" s="154"/>
    </row>
    <row r="158" spans="1:18" ht="25" customHeight="1">
      <c r="B158" s="135" t="s">
        <v>649</v>
      </c>
      <c r="C158" s="256"/>
      <c r="D158" s="190"/>
      <c r="E158" s="190" t="s">
        <v>105</v>
      </c>
      <c r="F158" s="257"/>
      <c r="G158" s="257"/>
      <c r="H158" s="257"/>
      <c r="I158" s="257"/>
      <c r="J158" s="278"/>
      <c r="K158" s="403">
        <f>PAAS_man.redis_SEK</f>
        <v>2</v>
      </c>
      <c r="M158" s="16"/>
      <c r="N158" s="8"/>
      <c r="O158" s="154"/>
    </row>
    <row r="159" spans="1:18" ht="25" customHeight="1">
      <c r="B159" s="280" t="s">
        <v>650</v>
      </c>
      <c r="C159" s="253"/>
      <c r="D159" s="184"/>
      <c r="E159" s="184" t="s">
        <v>396</v>
      </c>
      <c r="F159" s="184"/>
      <c r="G159" s="184"/>
      <c r="H159" s="184"/>
      <c r="I159" s="184"/>
      <c r="J159" s="279"/>
      <c r="K159" s="401">
        <f>PAAS_man.nats_SEK</f>
        <v>2</v>
      </c>
      <c r="M159" s="16"/>
      <c r="N159" s="8"/>
      <c r="O159" s="154"/>
    </row>
    <row r="160" spans="1:18" ht="25" customHeight="1">
      <c r="B160" s="270"/>
      <c r="C160" s="271"/>
      <c r="D160" s="281"/>
      <c r="E160" s="273"/>
      <c r="F160" s="274"/>
      <c r="G160" s="274"/>
      <c r="H160" s="274"/>
      <c r="I160" s="274"/>
      <c r="J160" s="275"/>
      <c r="K160" s="415"/>
      <c r="M160" s="16"/>
      <c r="N160" s="8"/>
      <c r="O160" s="154"/>
    </row>
    <row r="161" spans="1:20" ht="25" customHeight="1">
      <c r="B161" s="135"/>
      <c r="C161" s="256"/>
      <c r="D161" s="190"/>
      <c r="E161" s="277"/>
      <c r="F161" s="257"/>
      <c r="G161" s="278"/>
      <c r="H161" s="262"/>
      <c r="I161" s="282"/>
      <c r="M161" s="16"/>
      <c r="N161" s="8"/>
    </row>
    <row r="162" spans="1:20" ht="25" customHeight="1">
      <c r="B162" s="283"/>
      <c r="C162" s="228"/>
      <c r="D162" s="228"/>
      <c r="E162" s="228"/>
      <c r="F162" s="229"/>
      <c r="G162" s="230"/>
      <c r="H162" s="228"/>
      <c r="I162" s="192"/>
      <c r="K162" s="404"/>
      <c r="L162" s="194"/>
      <c r="M162" s="16"/>
      <c r="N162" s="8"/>
      <c r="O162" s="50"/>
    </row>
    <row r="163" spans="1:20" s="34" customFormat="1" ht="25" customHeight="1">
      <c r="A163" s="43"/>
      <c r="B163" s="957" t="s">
        <v>215</v>
      </c>
      <c r="C163" s="957"/>
      <c r="D163" s="957"/>
      <c r="E163" s="957"/>
      <c r="F163" s="957"/>
      <c r="G163" s="957"/>
      <c r="H163" s="284"/>
      <c r="J163" s="49"/>
      <c r="K163" s="390"/>
      <c r="M163" s="16"/>
      <c r="N163" s="8"/>
    </row>
    <row r="164" spans="1:20" s="34" customFormat="1" ht="25" customHeight="1">
      <c r="A164" s="43"/>
      <c r="B164" s="957"/>
      <c r="C164" s="957"/>
      <c r="D164" s="957"/>
      <c r="E164" s="957"/>
      <c r="F164" s="957"/>
      <c r="G164" s="957"/>
      <c r="H164" s="284"/>
      <c r="J164" s="49"/>
      <c r="K164" s="390"/>
      <c r="M164" s="16"/>
      <c r="N164" s="8"/>
    </row>
    <row r="165" spans="1:20" s="34" customFormat="1" ht="25" customHeight="1">
      <c r="A165" s="43"/>
      <c r="B165" s="957"/>
      <c r="C165" s="957"/>
      <c r="D165" s="957"/>
      <c r="E165" s="957"/>
      <c r="F165" s="957"/>
      <c r="G165" s="957"/>
      <c r="H165" s="284"/>
      <c r="J165" s="49"/>
      <c r="K165" s="390"/>
      <c r="M165" s="16"/>
      <c r="N165" s="8"/>
    </row>
    <row r="166" spans="1:20" s="34" customFormat="1" ht="25" customHeight="1">
      <c r="A166" s="43"/>
      <c r="B166" s="961" t="s">
        <v>216</v>
      </c>
      <c r="C166" s="961"/>
      <c r="D166" s="961"/>
      <c r="E166" s="961"/>
      <c r="F166" s="961"/>
      <c r="H166" s="284"/>
      <c r="J166" s="49"/>
      <c r="K166" s="390"/>
      <c r="M166" s="16"/>
      <c r="N166" s="8"/>
    </row>
    <row r="167" spans="1:20" s="34" customFormat="1" ht="25" customHeight="1">
      <c r="A167" s="43"/>
      <c r="B167" s="959" t="s">
        <v>193</v>
      </c>
      <c r="C167" s="959"/>
      <c r="D167" s="959"/>
      <c r="E167" s="959"/>
      <c r="F167" s="959"/>
      <c r="G167" s="53"/>
      <c r="H167" s="54"/>
      <c r="I167" s="53"/>
      <c r="J167" s="55"/>
      <c r="K167" s="391"/>
      <c r="L167" s="53"/>
      <c r="M167" s="16"/>
      <c r="N167" s="8"/>
    </row>
    <row r="168" spans="1:20" s="34" customFormat="1" ht="25" customHeight="1">
      <c r="A168" s="43"/>
      <c r="B168" s="4"/>
      <c r="C168" s="60"/>
      <c r="D168" s="60"/>
      <c r="E168" s="60"/>
      <c r="F168" s="60"/>
      <c r="G168" s="53"/>
      <c r="H168" s="54"/>
      <c r="I168" s="53"/>
      <c r="J168" s="55"/>
      <c r="K168" s="391"/>
      <c r="L168" s="53"/>
      <c r="M168" s="16"/>
      <c r="N168" s="8"/>
    </row>
    <row r="169" spans="1:20" ht="25" customHeight="1">
      <c r="B169" s="64" t="s">
        <v>108</v>
      </c>
      <c r="C169" s="131"/>
      <c r="D169" s="131"/>
      <c r="F169" s="131"/>
      <c r="G169" s="131"/>
      <c r="H169" s="131"/>
      <c r="I169" s="131"/>
      <c r="J169" s="131"/>
      <c r="K169" s="418"/>
      <c r="L169" s="131"/>
      <c r="M169" s="16"/>
      <c r="N169" s="8"/>
      <c r="O169" s="194"/>
      <c r="P169" s="194"/>
      <c r="Q169" s="154"/>
      <c r="S169" s="50"/>
      <c r="T169" s="50"/>
    </row>
    <row r="170" spans="1:20" ht="25" customHeight="1">
      <c r="B170" s="72" t="s">
        <v>217</v>
      </c>
      <c r="M170" s="16"/>
      <c r="N170" s="8"/>
    </row>
    <row r="171" spans="1:20" ht="25" customHeight="1">
      <c r="B171" s="252" t="s">
        <v>22</v>
      </c>
      <c r="C171" s="251"/>
      <c r="D171" s="251" t="s">
        <v>184</v>
      </c>
      <c r="E171" s="1"/>
      <c r="F171" s="172"/>
      <c r="G171" s="2"/>
      <c r="H171" s="2"/>
      <c r="I171" s="251" t="s">
        <v>203</v>
      </c>
      <c r="J171" s="251"/>
      <c r="K171" s="399" t="s">
        <v>69</v>
      </c>
      <c r="L171" s="192"/>
      <c r="M171" s="16"/>
      <c r="N171" s="8"/>
      <c r="O171" s="154"/>
      <c r="Q171" s="50"/>
      <c r="R171" s="50"/>
    </row>
    <row r="172" spans="1:20" ht="25" customHeight="1">
      <c r="B172" s="133" t="s">
        <v>110</v>
      </c>
      <c r="C172" s="253"/>
      <c r="D172" s="184" t="s">
        <v>218</v>
      </c>
      <c r="E172" s="279"/>
      <c r="F172" s="184"/>
      <c r="G172" s="279"/>
      <c r="H172" s="279"/>
      <c r="I172" s="263" t="s">
        <v>19</v>
      </c>
      <c r="J172" s="263"/>
      <c r="K172" s="419">
        <v>0</v>
      </c>
      <c r="L172" s="192"/>
      <c r="M172" s="16"/>
      <c r="N172" s="8"/>
      <c r="O172" s="154"/>
      <c r="Q172" s="50"/>
      <c r="R172" s="50"/>
    </row>
    <row r="173" spans="1:20" ht="25" customHeight="1">
      <c r="B173" s="135" t="s">
        <v>112</v>
      </c>
      <c r="C173" s="256"/>
      <c r="D173" s="190" t="s">
        <v>219</v>
      </c>
      <c r="E173" s="277"/>
      <c r="F173" s="257"/>
      <c r="G173" s="278"/>
      <c r="H173" s="278"/>
      <c r="I173" s="262" t="s">
        <v>220</v>
      </c>
      <c r="J173" s="262"/>
      <c r="K173" s="417" t="s">
        <v>214</v>
      </c>
      <c r="L173" s="192"/>
      <c r="M173" s="16"/>
      <c r="N173" s="8"/>
      <c r="O173" s="154"/>
      <c r="Q173" s="50"/>
      <c r="R173" s="50"/>
    </row>
    <row r="174" spans="1:20" ht="25" customHeight="1">
      <c r="B174" s="270"/>
      <c r="C174" s="271"/>
      <c r="D174" s="271"/>
      <c r="E174" s="273"/>
      <c r="F174" s="274"/>
      <c r="G174" s="275"/>
      <c r="H174" s="275"/>
      <c r="I174" s="286"/>
      <c r="J174" s="286"/>
      <c r="K174" s="415"/>
      <c r="L174" s="192"/>
      <c r="M174" s="16"/>
      <c r="N174" s="8"/>
      <c r="O174" s="154"/>
      <c r="Q174" s="50"/>
      <c r="R174" s="50"/>
    </row>
    <row r="175" spans="1:20" ht="25" customHeight="1">
      <c r="B175" s="135"/>
      <c r="C175" s="256"/>
      <c r="D175" s="190"/>
      <c r="E175" s="277"/>
      <c r="F175" s="257"/>
      <c r="G175" s="278"/>
      <c r="H175" s="278"/>
      <c r="I175" s="262"/>
      <c r="J175" s="262"/>
      <c r="K175" s="416"/>
      <c r="L175" s="192"/>
      <c r="M175" s="16"/>
      <c r="N175" s="8"/>
      <c r="O175" s="154"/>
      <c r="Q175" s="50"/>
      <c r="R175" s="50"/>
    </row>
    <row r="176" spans="1:20" s="78" customFormat="1" ht="25" customHeight="1">
      <c r="A176" s="73"/>
      <c r="B176" s="64" t="s">
        <v>221</v>
      </c>
      <c r="C176" s="287"/>
      <c r="D176" s="287"/>
      <c r="F176" s="287"/>
      <c r="G176" s="287"/>
      <c r="H176" s="287"/>
      <c r="I176" s="288"/>
      <c r="J176" s="288"/>
      <c r="K176" s="420"/>
      <c r="L176" s="290"/>
      <c r="M176" s="16"/>
      <c r="N176" s="8"/>
      <c r="O176" s="292"/>
      <c r="Q176" s="292"/>
      <c r="R176" s="292"/>
    </row>
    <row r="177" spans="1:18" ht="25" customHeight="1">
      <c r="B177" s="72" t="s">
        <v>222</v>
      </c>
      <c r="M177" s="16"/>
      <c r="N177" s="8"/>
    </row>
    <row r="178" spans="1:18" ht="25" customHeight="1">
      <c r="B178" s="252" t="s">
        <v>22</v>
      </c>
      <c r="C178" s="251"/>
      <c r="D178" s="251" t="s">
        <v>184</v>
      </c>
      <c r="E178" s="1"/>
      <c r="F178" s="172"/>
      <c r="G178" s="2"/>
      <c r="H178" s="2"/>
      <c r="I178" s="251" t="s">
        <v>203</v>
      </c>
      <c r="J178" s="251"/>
      <c r="K178" s="399" t="s">
        <v>69</v>
      </c>
      <c r="L178" s="192"/>
      <c r="M178" s="16"/>
      <c r="N178" s="8"/>
      <c r="O178" s="154"/>
      <c r="Q178" s="50"/>
      <c r="R178" s="50"/>
    </row>
    <row r="179" spans="1:18" ht="25" customHeight="1">
      <c r="B179" s="133" t="s">
        <v>118</v>
      </c>
      <c r="C179" s="253"/>
      <c r="D179" s="184" t="s">
        <v>119</v>
      </c>
      <c r="E179" s="279"/>
      <c r="F179" s="184"/>
      <c r="G179" s="279"/>
      <c r="H179" s="279"/>
      <c r="I179" s="254" t="s">
        <v>220</v>
      </c>
      <c r="J179" s="254"/>
      <c r="K179" s="409">
        <f>PS_consult.jun_SEK</f>
        <v>1127</v>
      </c>
      <c r="L179" s="192"/>
      <c r="M179" s="16"/>
      <c r="N179" s="8"/>
      <c r="O179" s="154"/>
      <c r="Q179" s="50"/>
      <c r="R179" s="50"/>
    </row>
    <row r="180" spans="1:18" ht="25" customHeight="1">
      <c r="B180" s="135" t="s">
        <v>120</v>
      </c>
      <c r="C180" s="256"/>
      <c r="D180" s="190" t="s">
        <v>121</v>
      </c>
      <c r="E180" s="277"/>
      <c r="F180" s="257"/>
      <c r="G180" s="278"/>
      <c r="H180" s="278"/>
      <c r="I180" s="262" t="s">
        <v>220</v>
      </c>
      <c r="J180" s="262"/>
      <c r="K180" s="417">
        <f>PS_consult.sen_SEK</f>
        <v>1374</v>
      </c>
      <c r="L180" s="192"/>
      <c r="M180" s="16"/>
      <c r="N180" s="8"/>
      <c r="O180" s="154"/>
      <c r="Q180" s="50"/>
      <c r="R180" s="50"/>
    </row>
    <row r="181" spans="1:18" ht="25" customHeight="1">
      <c r="B181" s="133" t="s">
        <v>122</v>
      </c>
      <c r="C181" s="253"/>
      <c r="D181" s="184" t="s">
        <v>123</v>
      </c>
      <c r="E181" s="279"/>
      <c r="F181" s="184"/>
      <c r="G181" s="279"/>
      <c r="H181" s="279"/>
      <c r="I181" s="254" t="s">
        <v>220</v>
      </c>
      <c r="J181" s="254"/>
      <c r="K181" s="409">
        <f>PS_cloudarch.jun_SEK</f>
        <v>1277</v>
      </c>
      <c r="L181" s="192"/>
      <c r="M181" s="16"/>
      <c r="N181" s="8"/>
      <c r="O181" s="154"/>
      <c r="Q181" s="50"/>
      <c r="R181" s="50"/>
    </row>
    <row r="182" spans="1:18" ht="25" customHeight="1">
      <c r="B182" s="135" t="s">
        <v>124</v>
      </c>
      <c r="C182" s="256"/>
      <c r="D182" s="190" t="s">
        <v>125</v>
      </c>
      <c r="E182" s="190"/>
      <c r="F182" s="190"/>
      <c r="G182" s="278"/>
      <c r="H182" s="278"/>
      <c r="I182" s="262" t="s">
        <v>220</v>
      </c>
      <c r="J182" s="262"/>
      <c r="K182" s="417">
        <f>PS_cloudarch.sen_SEK</f>
        <v>1374</v>
      </c>
      <c r="L182" s="192"/>
      <c r="M182" s="16"/>
      <c r="N182" s="8"/>
      <c r="O182" s="154"/>
      <c r="Q182" s="50"/>
      <c r="R182" s="50"/>
    </row>
    <row r="183" spans="1:18" ht="25" customHeight="1">
      <c r="B183" s="133" t="s">
        <v>126</v>
      </c>
      <c r="C183" s="253"/>
      <c r="D183" s="184" t="s">
        <v>127</v>
      </c>
      <c r="E183" s="279"/>
      <c r="F183" s="184"/>
      <c r="G183" s="279"/>
      <c r="H183" s="279"/>
      <c r="I183" s="254" t="s">
        <v>220</v>
      </c>
      <c r="J183" s="254"/>
      <c r="K183" s="409">
        <f>PS_pm.jun_SEK</f>
        <v>1139</v>
      </c>
      <c r="L183" s="192"/>
      <c r="M183" s="16"/>
      <c r="N183" s="8"/>
      <c r="O183" s="154"/>
      <c r="Q183" s="50"/>
      <c r="R183" s="50"/>
    </row>
    <row r="184" spans="1:18" ht="25" customHeight="1">
      <c r="B184" s="135" t="s">
        <v>128</v>
      </c>
      <c r="C184" s="256"/>
      <c r="D184" s="190" t="s">
        <v>129</v>
      </c>
      <c r="E184" s="277"/>
      <c r="F184" s="257"/>
      <c r="G184" s="278"/>
      <c r="H184" s="278"/>
      <c r="I184" s="262" t="s">
        <v>220</v>
      </c>
      <c r="J184" s="262"/>
      <c r="K184" s="417">
        <f>PS_pm.sen_SEK</f>
        <v>1374</v>
      </c>
      <c r="L184" s="192"/>
      <c r="M184" s="16"/>
      <c r="N184" s="8"/>
      <c r="O184" s="154"/>
      <c r="Q184" s="50"/>
      <c r="R184" s="50"/>
    </row>
    <row r="185" spans="1:18" ht="25" customHeight="1">
      <c r="B185" s="270"/>
      <c r="C185" s="271"/>
      <c r="D185" s="281"/>
      <c r="E185" s="273"/>
      <c r="F185" s="274"/>
      <c r="G185" s="275"/>
      <c r="H185" s="275"/>
      <c r="I185" s="286"/>
      <c r="J185" s="286"/>
      <c r="K185" s="415"/>
      <c r="L185" s="192"/>
      <c r="M185" s="16"/>
      <c r="N185" s="8"/>
      <c r="O185" s="154"/>
      <c r="Q185" s="50"/>
      <c r="R185" s="50"/>
    </row>
    <row r="186" spans="1:18" ht="25" customHeight="1">
      <c r="B186" s="283"/>
      <c r="C186" s="228"/>
      <c r="D186" s="228"/>
      <c r="E186" s="228"/>
      <c r="F186" s="229"/>
      <c r="G186" s="230"/>
      <c r="H186" s="192"/>
      <c r="I186" s="192"/>
      <c r="J186" s="192"/>
      <c r="K186" s="405"/>
      <c r="L186" s="194"/>
      <c r="M186" s="16"/>
      <c r="N186" s="8"/>
      <c r="O186" s="50"/>
    </row>
    <row r="187" spans="1:18" ht="25" customHeight="1">
      <c r="A187" s="295"/>
      <c r="B187" s="296"/>
      <c r="C187" s="297"/>
      <c r="D187" s="297"/>
      <c r="E187" s="297"/>
      <c r="F187" s="298"/>
      <c r="G187" s="299"/>
      <c r="H187" s="300"/>
      <c r="I187" s="300"/>
      <c r="J187" s="301"/>
      <c r="K187" s="421"/>
      <c r="L187" s="303"/>
      <c r="M187" s="16"/>
      <c r="N187" s="8"/>
      <c r="O187" s="50"/>
    </row>
    <row r="188" spans="1:18" s="34" customFormat="1" ht="25" customHeight="1">
      <c r="A188" s="26"/>
      <c r="B188" s="304"/>
      <c r="C188" s="305"/>
      <c r="D188" s="305"/>
      <c r="E188" s="305"/>
      <c r="F188" s="306"/>
      <c r="G188" s="307"/>
      <c r="H188" s="308"/>
      <c r="I188" s="308"/>
      <c r="J188" s="309"/>
      <c r="K188" s="422"/>
      <c r="L188" s="29"/>
      <c r="M188" s="16"/>
      <c r="N188" s="8"/>
    </row>
    <row r="189" spans="1:18" s="34" customFormat="1" ht="25" customHeight="1">
      <c r="A189" s="26"/>
      <c r="B189" s="304"/>
      <c r="C189" s="305"/>
      <c r="D189" s="305"/>
      <c r="E189" s="305"/>
      <c r="F189" s="306"/>
      <c r="G189" s="307"/>
      <c r="H189" s="308"/>
      <c r="I189" s="308"/>
      <c r="J189" s="309"/>
      <c r="K189" s="422"/>
      <c r="L189" s="29"/>
      <c r="M189" s="16"/>
      <c r="N189" s="8"/>
    </row>
    <row r="190" spans="1:18" s="34" customFormat="1" ht="25" customHeight="1">
      <c r="A190" s="26"/>
      <c r="B190" s="304"/>
      <c r="C190" s="305"/>
      <c r="D190" s="305"/>
      <c r="E190" s="305"/>
      <c r="F190" s="306"/>
      <c r="G190" s="307"/>
      <c r="H190" s="308"/>
      <c r="I190" s="308"/>
      <c r="J190" s="309"/>
      <c r="K190" s="422"/>
      <c r="L190" s="29"/>
      <c r="M190" s="16"/>
      <c r="N190" s="8"/>
    </row>
    <row r="191" spans="1:18" s="34" customFormat="1" ht="25" customHeight="1">
      <c r="A191" s="26"/>
      <c r="B191" s="962" t="s">
        <v>225</v>
      </c>
      <c r="C191" s="962"/>
      <c r="D191" s="962"/>
      <c r="E191" s="962"/>
      <c r="F191" s="962"/>
      <c r="G191" s="962"/>
      <c r="H191" s="31"/>
      <c r="I191" s="148"/>
      <c r="J191" s="29"/>
      <c r="K191" s="388"/>
      <c r="L191" s="29"/>
      <c r="M191" s="16"/>
      <c r="N191" s="8"/>
    </row>
    <row r="192" spans="1:18" s="34" customFormat="1" ht="25" customHeight="1">
      <c r="A192" s="26"/>
      <c r="B192" s="962"/>
      <c r="C192" s="962"/>
      <c r="D192" s="962"/>
      <c r="E192" s="962"/>
      <c r="F192" s="962"/>
      <c r="G192" s="962"/>
      <c r="H192" s="31"/>
      <c r="I192" s="148"/>
      <c r="J192" s="29"/>
      <c r="K192" s="388"/>
      <c r="L192" s="29"/>
      <c r="M192" s="16"/>
      <c r="N192" s="8"/>
    </row>
    <row r="193" spans="1:20" s="34" customFormat="1" ht="25" customHeight="1">
      <c r="A193" s="26"/>
      <c r="B193" s="962"/>
      <c r="C193" s="962"/>
      <c r="D193" s="962"/>
      <c r="E193" s="962"/>
      <c r="F193" s="962"/>
      <c r="G193" s="962"/>
      <c r="H193" s="31"/>
      <c r="I193" s="148"/>
      <c r="J193" s="29"/>
      <c r="K193" s="388"/>
      <c r="L193" s="29"/>
      <c r="M193" s="16"/>
      <c r="N193" s="8"/>
    </row>
    <row r="194" spans="1:20" s="34" customFormat="1" ht="25" customHeight="1">
      <c r="A194" s="26"/>
      <c r="B194" s="963" t="s">
        <v>193</v>
      </c>
      <c r="C194" s="963"/>
      <c r="D194" s="963"/>
      <c r="E194" s="963"/>
      <c r="F194" s="963"/>
      <c r="G194" s="29"/>
      <c r="H194" s="31"/>
      <c r="I194" s="148"/>
      <c r="J194" s="29"/>
      <c r="K194" s="388"/>
      <c r="L194" s="312"/>
      <c r="M194" s="16"/>
      <c r="N194" s="8"/>
    </row>
    <row r="195" spans="1:20" s="34" customFormat="1" ht="25" customHeight="1">
      <c r="A195" s="26"/>
      <c r="B195" s="27"/>
      <c r="C195" s="28"/>
      <c r="D195" s="28"/>
      <c r="E195" s="28"/>
      <c r="F195" s="28"/>
      <c r="G195" s="29"/>
      <c r="H195" s="31"/>
      <c r="I195" s="148"/>
      <c r="J195" s="29"/>
      <c r="K195" s="388"/>
      <c r="L195" s="312"/>
      <c r="M195" s="16"/>
      <c r="N195" s="8"/>
    </row>
    <row r="196" spans="1:20" s="34" customFormat="1" ht="25" customHeight="1">
      <c r="A196" s="26"/>
      <c r="B196" s="21" t="s">
        <v>226</v>
      </c>
      <c r="C196" s="28"/>
      <c r="D196" s="28"/>
      <c r="E196" s="28"/>
      <c r="F196" s="28"/>
      <c r="G196" s="29"/>
      <c r="H196" s="31"/>
      <c r="I196" s="148"/>
      <c r="J196" s="29"/>
      <c r="K196" s="388"/>
      <c r="L196" s="312"/>
      <c r="M196" s="16"/>
      <c r="N196" s="8"/>
    </row>
    <row r="197" spans="1:20" s="34" customFormat="1" ht="25" customHeight="1">
      <c r="A197" s="26"/>
      <c r="B197" s="23" t="s">
        <v>147</v>
      </c>
      <c r="C197" s="28"/>
      <c r="D197" s="28"/>
      <c r="E197" s="28"/>
      <c r="F197" s="28"/>
      <c r="G197" s="29"/>
      <c r="H197" s="31"/>
      <c r="I197" s="29"/>
      <c r="J197" s="33"/>
      <c r="K197" s="388"/>
      <c r="L197" s="312"/>
      <c r="M197" s="16"/>
      <c r="N197" s="8"/>
    </row>
    <row r="198" spans="1:20" s="34" customFormat="1" ht="25" customHeight="1">
      <c r="A198" s="26"/>
      <c r="B198" s="24" t="s">
        <v>3</v>
      </c>
      <c r="C198" s="313"/>
      <c r="D198" s="313"/>
      <c r="E198" s="313"/>
      <c r="F198" s="313"/>
      <c r="G198" s="312"/>
      <c r="H198" s="314"/>
      <c r="I198" s="312"/>
      <c r="J198" s="315"/>
      <c r="K198" s="423"/>
      <c r="L198" s="312"/>
      <c r="M198" s="16"/>
      <c r="N198" s="8"/>
    </row>
    <row r="199" spans="1:20" s="143" customFormat="1" ht="25" customHeight="1">
      <c r="A199" s="317"/>
      <c r="B199" s="311"/>
      <c r="C199" s="318"/>
      <c r="D199" s="318"/>
      <c r="E199" s="318"/>
      <c r="F199" s="318"/>
      <c r="G199" s="312"/>
      <c r="H199" s="314"/>
      <c r="I199" s="312"/>
      <c r="J199" s="315"/>
      <c r="K199" s="423"/>
      <c r="L199" s="319"/>
      <c r="M199" s="16"/>
      <c r="N199" s="8"/>
      <c r="O199" s="175"/>
      <c r="P199" s="175"/>
      <c r="Q199" s="175"/>
      <c r="R199" s="175"/>
      <c r="S199" s="175"/>
      <c r="T199" s="175"/>
    </row>
    <row r="200" spans="1:20" ht="25" customHeight="1">
      <c r="A200" s="11"/>
      <c r="B200" s="321" t="s">
        <v>227</v>
      </c>
      <c r="C200" s="322"/>
      <c r="D200" s="323"/>
      <c r="E200" s="322"/>
      <c r="F200" s="324"/>
      <c r="G200" s="324"/>
      <c r="H200" s="324"/>
      <c r="I200" s="322"/>
      <c r="J200" s="324" t="s">
        <v>225</v>
      </c>
      <c r="K200" s="424"/>
      <c r="L200" s="326"/>
      <c r="M200" s="16"/>
      <c r="N200" s="8"/>
    </row>
    <row r="201" spans="1:20" ht="25" customHeight="1">
      <c r="A201" s="11"/>
      <c r="B201" s="327" t="s">
        <v>140</v>
      </c>
      <c r="C201" s="328"/>
      <c r="D201" s="329"/>
      <c r="E201" s="328"/>
      <c r="F201" s="328"/>
      <c r="G201" s="330"/>
      <c r="H201" s="331"/>
      <c r="I201" s="329"/>
      <c r="J201" s="425">
        <f>K27+K72+K94+K84+K55</f>
        <v>0</v>
      </c>
      <c r="K201" s="401"/>
      <c r="L201" s="13"/>
      <c r="M201" s="16"/>
      <c r="N201" s="8"/>
    </row>
    <row r="202" spans="1:20" ht="25" customHeight="1">
      <c r="A202" s="11"/>
      <c r="B202" s="333" t="s">
        <v>141</v>
      </c>
      <c r="C202" s="334" t="str">
        <f>K106&amp;" TB - Storage"&amp;"     /     "&amp;K105&amp;" TB - Archive"</f>
        <v>0 TB - Storage     /     0 TB - Archive</v>
      </c>
      <c r="D202" s="335"/>
      <c r="E202" s="335"/>
      <c r="F202" s="336"/>
      <c r="G202" s="337"/>
      <c r="H202" s="337"/>
      <c r="I202" s="338"/>
      <c r="J202" s="426">
        <f>K107</f>
        <v>0</v>
      </c>
      <c r="K202" s="401"/>
      <c r="L202" s="13"/>
      <c r="M202" s="16"/>
      <c r="N202" s="8"/>
    </row>
    <row r="203" spans="1:20" ht="25" customHeight="1">
      <c r="A203" s="11"/>
      <c r="B203" s="333" t="s">
        <v>142</v>
      </c>
      <c r="C203" s="340"/>
      <c r="D203" s="341"/>
      <c r="E203" s="342"/>
      <c r="F203" s="336"/>
      <c r="G203" s="337"/>
      <c r="H203" s="337"/>
      <c r="I203" s="338"/>
      <c r="J203" s="426">
        <f>K121</f>
        <v>0</v>
      </c>
      <c r="K203" s="401"/>
      <c r="L203" s="13"/>
      <c r="M203" s="16"/>
      <c r="N203" s="8"/>
    </row>
    <row r="204" spans="1:20" s="349" customFormat="1" ht="25" customHeight="1">
      <c r="A204" s="343"/>
      <c r="B204" s="427" t="s">
        <v>26</v>
      </c>
      <c r="C204" s="428"/>
      <c r="D204" s="428"/>
      <c r="E204" s="428"/>
      <c r="F204" s="428"/>
      <c r="G204" s="428"/>
      <c r="H204" s="428"/>
      <c r="I204" s="428"/>
      <c r="J204" s="429">
        <f>SUM(J201:J203)</f>
        <v>0</v>
      </c>
      <c r="K204" s="430"/>
      <c r="L204" s="348"/>
      <c r="M204" s="16"/>
      <c r="N204" s="8"/>
    </row>
    <row r="205" spans="1:20" ht="25" customHeight="1">
      <c r="A205" s="11"/>
      <c r="B205" s="350"/>
      <c r="C205" s="351"/>
      <c r="D205" s="351"/>
      <c r="E205" s="351"/>
      <c r="F205" s="352"/>
      <c r="G205" s="353"/>
      <c r="H205" s="353"/>
      <c r="I205" s="354"/>
      <c r="J205" s="354"/>
      <c r="K205" s="431"/>
      <c r="L205" s="13"/>
      <c r="M205" s="16"/>
      <c r="N205" s="8"/>
    </row>
    <row r="206" spans="1:20" ht="25" customHeight="1">
      <c r="A206" s="11"/>
      <c r="B206" s="20"/>
      <c r="C206" s="184"/>
      <c r="D206" s="356"/>
      <c r="E206" s="261"/>
      <c r="F206" s="279"/>
      <c r="G206" s="357"/>
      <c r="H206" s="184"/>
      <c r="I206" s="358"/>
      <c r="J206" s="359"/>
      <c r="K206" s="401"/>
      <c r="L206" s="13"/>
      <c r="M206" s="16"/>
      <c r="N206" s="8"/>
    </row>
    <row r="207" spans="1:20" ht="25" customHeight="1">
      <c r="A207" s="360"/>
      <c r="B207" s="361"/>
      <c r="C207" s="219"/>
      <c r="D207" s="362"/>
      <c r="E207" s="363"/>
      <c r="F207" s="364"/>
      <c r="G207" s="365"/>
      <c r="H207" s="219"/>
      <c r="I207" s="366"/>
      <c r="J207" s="367"/>
      <c r="K207" s="411"/>
      <c r="L207" s="368"/>
      <c r="M207" s="16"/>
      <c r="N207" s="8"/>
    </row>
    <row r="208" spans="1:20" s="379" customFormat="1" ht="25" customHeight="1">
      <c r="A208" s="369"/>
      <c r="B208" s="370"/>
      <c r="C208" s="371"/>
      <c r="D208" s="372"/>
      <c r="E208" s="373"/>
      <c r="F208" s="374"/>
      <c r="G208" s="375"/>
      <c r="H208" s="371"/>
      <c r="I208" s="376"/>
      <c r="J208" s="377"/>
      <c r="K208" s="432"/>
      <c r="N208" s="8"/>
    </row>
    <row r="209" spans="1:23" s="379" customFormat="1" ht="25" customHeight="1">
      <c r="A209" s="369"/>
      <c r="B209" s="380" t="s">
        <v>228</v>
      </c>
      <c r="C209" s="371"/>
      <c r="D209" s="371"/>
      <c r="E209" s="371"/>
      <c r="F209" s="381"/>
      <c r="G209" s="382"/>
      <c r="H209" s="383"/>
      <c r="I209" s="383"/>
      <c r="J209" s="383"/>
      <c r="K209" s="433"/>
      <c r="L209" s="377"/>
      <c r="M209" s="377"/>
      <c r="N209" s="8"/>
    </row>
    <row r="210" spans="1:23" s="379" customFormat="1" ht="25" customHeight="1">
      <c r="A210" s="369"/>
      <c r="B210" s="380" t="s">
        <v>229</v>
      </c>
      <c r="C210" s="371"/>
      <c r="D210" s="371"/>
      <c r="E210" s="371"/>
      <c r="F210" s="381"/>
      <c r="G210" s="382"/>
      <c r="H210" s="383"/>
      <c r="I210" s="383"/>
      <c r="J210" s="383"/>
      <c r="K210" s="433"/>
      <c r="L210" s="377"/>
      <c r="M210" s="377"/>
      <c r="N210" s="8"/>
    </row>
    <row r="211" spans="1:23" s="379" customFormat="1" ht="25" customHeight="1">
      <c r="A211" s="369"/>
      <c r="B211" s="380" t="s">
        <v>230</v>
      </c>
      <c r="C211" s="371"/>
      <c r="D211" s="371"/>
      <c r="E211" s="371"/>
      <c r="F211" s="381"/>
      <c r="G211" s="382"/>
      <c r="H211" s="383"/>
      <c r="I211" s="383"/>
      <c r="J211" s="383"/>
      <c r="K211" s="433"/>
      <c r="L211" s="377"/>
      <c r="M211" s="377"/>
      <c r="N211" s="8"/>
    </row>
    <row r="212" spans="1:23" s="379" customFormat="1" ht="25" customHeight="1">
      <c r="A212" s="369"/>
      <c r="B212" s="380" t="s">
        <v>231</v>
      </c>
      <c r="C212" s="371"/>
      <c r="D212" s="371"/>
      <c r="E212" s="371"/>
      <c r="F212" s="381"/>
      <c r="G212" s="382"/>
      <c r="H212" s="383"/>
      <c r="I212" s="383"/>
      <c r="J212" s="383"/>
      <c r="K212" s="433"/>
      <c r="L212" s="377"/>
      <c r="M212" s="377"/>
      <c r="N212" s="8"/>
    </row>
    <row r="213" spans="1:23" s="379" customFormat="1" ht="25" customHeight="1">
      <c r="A213" s="369"/>
      <c r="B213" s="380"/>
      <c r="C213" s="371"/>
      <c r="D213" s="371"/>
      <c r="E213" s="371"/>
      <c r="F213" s="381"/>
      <c r="G213" s="382"/>
      <c r="H213" s="383"/>
      <c r="I213" s="383"/>
      <c r="J213" s="383"/>
      <c r="K213" s="433"/>
      <c r="L213" s="377"/>
      <c r="M213" s="377"/>
      <c r="N213" s="8"/>
    </row>
    <row r="214" spans="1:23" s="379" customFormat="1" ht="25" customHeight="1">
      <c r="A214" s="369"/>
      <c r="B214" s="370"/>
      <c r="C214" s="371"/>
      <c r="D214" s="371"/>
      <c r="E214" s="371"/>
      <c r="F214" s="381"/>
      <c r="G214" s="382"/>
      <c r="H214" s="383"/>
      <c r="I214" s="383"/>
      <c r="J214" s="383"/>
      <c r="K214" s="433"/>
      <c r="L214" s="377"/>
      <c r="M214" s="377"/>
      <c r="N214" s="8"/>
    </row>
    <row r="215" spans="1:23" s="379" customFormat="1" ht="25" customHeight="1">
      <c r="A215" s="369"/>
      <c r="B215" s="370"/>
      <c r="C215" s="371"/>
      <c r="D215" s="371"/>
      <c r="E215" s="371"/>
      <c r="F215" s="381"/>
      <c r="G215" s="382"/>
      <c r="H215" s="383"/>
      <c r="I215" s="383"/>
      <c r="J215" s="383"/>
      <c r="K215" s="433"/>
      <c r="L215" s="377"/>
      <c r="M215" s="377"/>
      <c r="N215" s="8"/>
    </row>
    <row r="216" spans="1:23" s="379" customFormat="1" ht="25" customHeight="1">
      <c r="A216" s="369"/>
      <c r="B216" s="370"/>
      <c r="C216" s="371"/>
      <c r="D216" s="371"/>
      <c r="E216" s="371"/>
      <c r="F216" s="381"/>
      <c r="G216" s="382"/>
      <c r="H216" s="383"/>
      <c r="I216" s="383"/>
      <c r="J216" s="383"/>
      <c r="K216" s="433"/>
      <c r="L216" s="377"/>
      <c r="M216" s="377"/>
      <c r="N216" s="8"/>
    </row>
    <row r="217" spans="1:23" s="379" customFormat="1" ht="25" customHeight="1">
      <c r="A217" s="369"/>
      <c r="B217" s="370"/>
      <c r="C217" s="371"/>
      <c r="D217" s="371"/>
      <c r="E217" s="371"/>
      <c r="F217" s="381"/>
      <c r="G217" s="382"/>
      <c r="H217" s="383"/>
      <c r="I217" s="383"/>
      <c r="J217" s="383"/>
      <c r="K217" s="433"/>
      <c r="L217" s="377"/>
      <c r="M217" s="377"/>
      <c r="N217" s="8"/>
    </row>
    <row r="218" spans="1:23" s="384" customFormat="1" ht="25" customHeight="1">
      <c r="A218" s="369"/>
      <c r="B218" s="370"/>
      <c r="C218" s="371"/>
      <c r="D218" s="371"/>
      <c r="E218" s="371"/>
      <c r="F218" s="381"/>
      <c r="G218" s="382"/>
      <c r="H218" s="383"/>
      <c r="I218" s="383"/>
      <c r="J218" s="383"/>
      <c r="K218" s="433"/>
      <c r="L218" s="377"/>
      <c r="M218" s="377"/>
      <c r="N218" s="8"/>
      <c r="O218" s="379"/>
      <c r="P218" s="379"/>
      <c r="Q218" s="379"/>
      <c r="R218" s="379"/>
      <c r="S218" s="379"/>
      <c r="T218" s="379"/>
      <c r="U218" s="379"/>
      <c r="V218" s="379"/>
      <c r="W218" s="379"/>
    </row>
    <row r="219" spans="1:23" s="379" customFormat="1" ht="25" customHeight="1">
      <c r="A219" s="369"/>
      <c r="B219" s="370"/>
      <c r="C219" s="371"/>
      <c r="D219" s="371"/>
      <c r="E219" s="371"/>
      <c r="F219" s="381"/>
      <c r="G219" s="382"/>
      <c r="H219" s="383"/>
      <c r="I219" s="383"/>
      <c r="J219" s="383"/>
      <c r="K219" s="433"/>
      <c r="L219" s="377"/>
      <c r="M219" s="377"/>
      <c r="N219" s="8"/>
    </row>
    <row r="220" spans="1:23" s="379" customFormat="1" ht="25" customHeight="1">
      <c r="A220" s="369"/>
      <c r="B220" s="370"/>
      <c r="C220" s="371"/>
      <c r="D220" s="371"/>
      <c r="E220" s="371"/>
      <c r="F220" s="381"/>
      <c r="G220" s="382"/>
      <c r="H220" s="383"/>
      <c r="I220" s="383"/>
      <c r="J220" s="383"/>
      <c r="K220" s="433"/>
      <c r="L220" s="377"/>
      <c r="M220" s="377"/>
      <c r="N220" s="8"/>
    </row>
    <row r="221" spans="1:23" s="379" customFormat="1" ht="25" customHeight="1">
      <c r="A221" s="369"/>
      <c r="B221" s="370"/>
      <c r="C221" s="371"/>
      <c r="D221" s="371"/>
      <c r="E221" s="371"/>
      <c r="F221" s="381"/>
      <c r="G221" s="382"/>
      <c r="H221" s="383"/>
      <c r="I221" s="383"/>
      <c r="J221" s="383"/>
      <c r="K221" s="433"/>
      <c r="L221" s="377"/>
      <c r="M221" s="377"/>
      <c r="N221" s="8"/>
    </row>
    <row r="222" spans="1:23" s="379" customFormat="1" ht="25" customHeight="1">
      <c r="A222" s="369"/>
      <c r="B222" s="370"/>
      <c r="C222" s="371"/>
      <c r="D222" s="371"/>
      <c r="E222" s="371"/>
      <c r="F222" s="381"/>
      <c r="G222" s="382"/>
      <c r="H222" s="383"/>
      <c r="I222" s="383"/>
      <c r="J222" s="383"/>
      <c r="K222" s="433"/>
      <c r="L222" s="377"/>
      <c r="M222" s="377"/>
      <c r="N222" s="8"/>
    </row>
    <row r="223" spans="1:23" s="379" customFormat="1" ht="25" customHeight="1">
      <c r="A223" s="369"/>
      <c r="B223" s="370"/>
      <c r="C223" s="371"/>
      <c r="D223" s="371"/>
      <c r="E223" s="371"/>
      <c r="F223" s="381"/>
      <c r="G223" s="382"/>
      <c r="H223" s="383"/>
      <c r="I223" s="383"/>
      <c r="J223" s="383"/>
      <c r="K223" s="433"/>
      <c r="L223" s="377"/>
      <c r="M223" s="377"/>
      <c r="N223" s="8"/>
    </row>
    <row r="224" spans="1:23" s="379" customFormat="1" ht="25" customHeight="1">
      <c r="A224" s="369"/>
      <c r="B224" s="370"/>
      <c r="C224" s="371"/>
      <c r="D224" s="371"/>
      <c r="E224" s="371"/>
      <c r="F224" s="381"/>
      <c r="G224" s="382"/>
      <c r="H224" s="383"/>
      <c r="I224" s="383"/>
      <c r="J224" s="383"/>
      <c r="K224" s="433"/>
      <c r="L224" s="377"/>
      <c r="M224" s="377"/>
      <c r="N224" s="8"/>
    </row>
    <row r="225" spans="1:14" s="379" customFormat="1" ht="25" customHeight="1">
      <c r="A225" s="369"/>
      <c r="B225" s="370"/>
      <c r="C225" s="371"/>
      <c r="D225" s="371"/>
      <c r="E225" s="371"/>
      <c r="F225" s="381"/>
      <c r="G225" s="382"/>
      <c r="H225" s="383"/>
      <c r="I225" s="383"/>
      <c r="J225" s="383"/>
      <c r="K225" s="433"/>
      <c r="L225" s="377"/>
      <c r="M225" s="377"/>
      <c r="N225" s="8"/>
    </row>
    <row r="226" spans="1:14" s="379" customFormat="1" ht="25" customHeight="1">
      <c r="A226" s="369"/>
      <c r="B226" s="370"/>
      <c r="C226" s="371"/>
      <c r="D226" s="371"/>
      <c r="E226" s="371"/>
      <c r="F226" s="381"/>
      <c r="G226" s="382"/>
      <c r="H226" s="383"/>
      <c r="I226" s="383"/>
      <c r="J226" s="383"/>
      <c r="K226" s="433"/>
      <c r="L226" s="377"/>
      <c r="M226" s="377"/>
      <c r="N226" s="8"/>
    </row>
    <row r="227" spans="1:14" s="379" customFormat="1" ht="25" customHeight="1">
      <c r="A227" s="369"/>
      <c r="B227" s="370"/>
      <c r="C227" s="371"/>
      <c r="D227" s="371"/>
      <c r="E227" s="371"/>
      <c r="F227" s="381"/>
      <c r="G227" s="382"/>
      <c r="H227" s="383"/>
      <c r="I227" s="383"/>
      <c r="J227" s="383"/>
      <c r="K227" s="433"/>
      <c r="L227" s="377"/>
      <c r="M227" s="377"/>
      <c r="N227" s="8"/>
    </row>
    <row r="228" spans="1:14" s="379" customFormat="1" ht="25" customHeight="1">
      <c r="A228" s="369"/>
      <c r="B228" s="370"/>
      <c r="C228" s="371"/>
      <c r="D228" s="371"/>
      <c r="E228" s="371"/>
      <c r="F228" s="381"/>
      <c r="G228" s="382"/>
      <c r="H228" s="383"/>
      <c r="I228" s="383"/>
      <c r="J228" s="383"/>
      <c r="K228" s="433"/>
      <c r="L228" s="377"/>
      <c r="M228" s="377"/>
      <c r="N228" s="8"/>
    </row>
    <row r="229" spans="1:14" s="379" customFormat="1" ht="25" customHeight="1">
      <c r="A229" s="369"/>
      <c r="B229" s="370"/>
      <c r="C229" s="371"/>
      <c r="D229" s="371"/>
      <c r="E229" s="371"/>
      <c r="F229" s="381"/>
      <c r="G229" s="382"/>
      <c r="H229" s="383"/>
      <c r="I229" s="383"/>
      <c r="J229" s="383"/>
      <c r="K229" s="433"/>
      <c r="L229" s="377"/>
      <c r="M229" s="377"/>
      <c r="N229" s="8"/>
    </row>
    <row r="230" spans="1:14" s="379" customFormat="1" ht="25" customHeight="1">
      <c r="A230" s="369"/>
      <c r="B230" s="370"/>
      <c r="C230" s="371"/>
      <c r="D230" s="371"/>
      <c r="E230" s="371"/>
      <c r="F230" s="381"/>
      <c r="G230" s="382"/>
      <c r="H230" s="383"/>
      <c r="I230" s="383"/>
      <c r="J230" s="383"/>
      <c r="K230" s="433"/>
      <c r="L230" s="377"/>
      <c r="M230" s="377"/>
      <c r="N230" s="8"/>
    </row>
    <row r="231" spans="1:14" s="379" customFormat="1" ht="25" customHeight="1">
      <c r="A231" s="369"/>
      <c r="B231" s="370"/>
      <c r="C231" s="371"/>
      <c r="D231" s="371"/>
      <c r="E231" s="371"/>
      <c r="F231" s="381"/>
      <c r="G231" s="382"/>
      <c r="H231" s="383"/>
      <c r="I231" s="383"/>
      <c r="J231" s="383"/>
      <c r="K231" s="433"/>
      <c r="L231" s="377"/>
      <c r="M231" s="377"/>
      <c r="N231" s="8"/>
    </row>
    <row r="232" spans="1:14" s="379" customFormat="1" ht="25" customHeight="1">
      <c r="A232" s="369"/>
      <c r="B232" s="370"/>
      <c r="C232" s="371"/>
      <c r="D232" s="371"/>
      <c r="E232" s="371"/>
      <c r="F232" s="381"/>
      <c r="G232" s="382"/>
      <c r="H232" s="383"/>
      <c r="I232" s="383"/>
      <c r="J232" s="383"/>
      <c r="K232" s="433"/>
      <c r="L232" s="377"/>
      <c r="M232" s="377"/>
      <c r="N232" s="8"/>
    </row>
    <row r="233" spans="1:14" s="379" customFormat="1" ht="25" customHeight="1">
      <c r="A233" s="369"/>
      <c r="B233" s="370"/>
      <c r="C233" s="371"/>
      <c r="D233" s="371"/>
      <c r="E233" s="371"/>
      <c r="F233" s="381"/>
      <c r="G233" s="382"/>
      <c r="H233" s="383"/>
      <c r="I233" s="383"/>
      <c r="J233" s="383"/>
      <c r="K233" s="433"/>
      <c r="L233" s="377"/>
      <c r="M233" s="377"/>
      <c r="N233" s="8"/>
    </row>
    <row r="234" spans="1:14" s="379" customFormat="1" ht="25" customHeight="1">
      <c r="A234" s="369"/>
      <c r="B234" s="370"/>
      <c r="C234" s="371"/>
      <c r="D234" s="371"/>
      <c r="E234" s="371"/>
      <c r="F234" s="381"/>
      <c r="G234" s="382"/>
      <c r="H234" s="383"/>
      <c r="I234" s="383"/>
      <c r="J234" s="383"/>
      <c r="K234" s="433"/>
      <c r="L234" s="377"/>
      <c r="M234" s="377"/>
      <c r="N234" s="8"/>
    </row>
    <row r="235" spans="1:14" s="379" customFormat="1" ht="25" customHeight="1">
      <c r="A235" s="369"/>
      <c r="B235" s="370"/>
      <c r="C235" s="371"/>
      <c r="D235" s="371"/>
      <c r="E235" s="371"/>
      <c r="F235" s="381"/>
      <c r="G235" s="382"/>
      <c r="H235" s="383"/>
      <c r="I235" s="383"/>
      <c r="J235" s="383"/>
      <c r="K235" s="433"/>
      <c r="L235" s="377"/>
      <c r="M235" s="377"/>
      <c r="N235" s="8"/>
    </row>
    <row r="236" spans="1:14" s="379" customFormat="1" ht="25" customHeight="1">
      <c r="A236" s="369"/>
      <c r="B236" s="370"/>
      <c r="C236" s="371"/>
      <c r="D236" s="371"/>
      <c r="E236" s="371"/>
      <c r="F236" s="381"/>
      <c r="G236" s="382"/>
      <c r="H236" s="383"/>
      <c r="I236" s="383"/>
      <c r="J236" s="383"/>
      <c r="K236" s="433"/>
      <c r="L236" s="377"/>
      <c r="M236" s="377"/>
      <c r="N236" s="8"/>
    </row>
    <row r="237" spans="1:14" s="379" customFormat="1" ht="25" customHeight="1">
      <c r="A237" s="369"/>
      <c r="B237" s="370"/>
      <c r="C237" s="371"/>
      <c r="D237" s="371"/>
      <c r="E237" s="371"/>
      <c r="F237" s="381"/>
      <c r="G237" s="382"/>
      <c r="H237" s="383"/>
      <c r="I237" s="383"/>
      <c r="J237" s="383"/>
      <c r="K237" s="433"/>
      <c r="L237" s="377"/>
      <c r="M237" s="377"/>
      <c r="N237" s="8"/>
    </row>
    <row r="238" spans="1:14" s="379" customFormat="1" ht="25" customHeight="1">
      <c r="A238" s="369"/>
      <c r="B238" s="370"/>
      <c r="K238" s="433"/>
      <c r="M238" s="385"/>
      <c r="N238" s="8"/>
    </row>
    <row r="239" spans="1:14" s="379" customFormat="1" ht="25" customHeight="1">
      <c r="A239" s="369"/>
      <c r="B239" s="370"/>
      <c r="K239" s="433"/>
      <c r="M239" s="385"/>
      <c r="N239" s="8"/>
    </row>
    <row r="240" spans="1:14" s="379" customFormat="1" ht="25" customHeight="1">
      <c r="A240" s="369"/>
      <c r="B240" s="370"/>
      <c r="K240" s="433"/>
      <c r="M240" s="385"/>
      <c r="N240" s="8"/>
    </row>
    <row r="241" spans="1:14" s="379" customFormat="1" ht="25" customHeight="1">
      <c r="A241" s="369"/>
      <c r="B241" s="370"/>
      <c r="K241" s="433"/>
      <c r="M241" s="385"/>
      <c r="N241" s="8"/>
    </row>
    <row r="242" spans="1:14" s="379" customFormat="1" ht="25" customHeight="1">
      <c r="A242" s="369"/>
      <c r="B242" s="370"/>
      <c r="K242" s="433"/>
      <c r="M242" s="385"/>
      <c r="N242" s="8"/>
    </row>
    <row r="243" spans="1:14" s="379" customFormat="1" ht="25" customHeight="1">
      <c r="A243" s="369"/>
      <c r="B243" s="370"/>
      <c r="K243" s="433"/>
      <c r="M243" s="385"/>
      <c r="N243" s="8"/>
    </row>
    <row r="244" spans="1:14" s="379" customFormat="1" ht="25" customHeight="1">
      <c r="A244" s="369"/>
      <c r="B244" s="370"/>
      <c r="K244" s="433"/>
      <c r="M244" s="385"/>
      <c r="N244" s="8"/>
    </row>
    <row r="245" spans="1:14" s="379" customFormat="1" ht="25" customHeight="1">
      <c r="A245" s="369"/>
      <c r="B245" s="370"/>
      <c r="K245" s="433"/>
      <c r="M245" s="385"/>
      <c r="N245" s="8"/>
    </row>
    <row r="246" spans="1:14" s="379" customFormat="1" ht="25" customHeight="1">
      <c r="A246" s="369"/>
      <c r="B246" s="370"/>
      <c r="K246" s="433"/>
      <c r="M246" s="385"/>
      <c r="N246" s="8"/>
    </row>
    <row r="247" spans="1:14" s="379" customFormat="1" ht="25" customHeight="1">
      <c r="A247" s="369"/>
      <c r="B247" s="370"/>
      <c r="K247" s="433"/>
      <c r="M247" s="385"/>
      <c r="N247" s="8"/>
    </row>
    <row r="248" spans="1:14" s="379" customFormat="1" ht="25" customHeight="1">
      <c r="A248" s="369"/>
      <c r="B248" s="370"/>
      <c r="K248" s="433"/>
      <c r="M248" s="385"/>
      <c r="N248" s="8"/>
    </row>
    <row r="249" spans="1:14" s="379" customFormat="1" ht="25" customHeight="1">
      <c r="A249" s="369"/>
      <c r="B249" s="370"/>
      <c r="K249" s="433"/>
      <c r="M249" s="385"/>
      <c r="N249" s="8"/>
    </row>
    <row r="250" spans="1:14" s="379" customFormat="1" ht="25" customHeight="1">
      <c r="A250" s="369"/>
      <c r="B250" s="370"/>
      <c r="K250" s="433"/>
      <c r="M250" s="385"/>
      <c r="N250" s="8"/>
    </row>
    <row r="251" spans="1:14" s="379" customFormat="1" ht="25" customHeight="1">
      <c r="A251" s="369"/>
      <c r="B251" s="370"/>
      <c r="K251" s="433"/>
      <c r="M251" s="385"/>
      <c r="N251" s="8"/>
    </row>
    <row r="252" spans="1:14" s="379" customFormat="1" ht="25" customHeight="1">
      <c r="A252" s="369"/>
      <c r="B252" s="370"/>
      <c r="K252" s="433"/>
      <c r="M252" s="385"/>
      <c r="N252" s="8"/>
    </row>
    <row r="253" spans="1:14" s="379" customFormat="1" ht="25" customHeight="1">
      <c r="A253" s="369"/>
      <c r="B253" s="370"/>
      <c r="K253" s="433"/>
      <c r="M253" s="385"/>
      <c r="N253" s="8"/>
    </row>
    <row r="254" spans="1:14" s="379" customFormat="1" ht="25" customHeight="1">
      <c r="A254" s="369"/>
      <c r="B254" s="370"/>
      <c r="K254" s="433"/>
      <c r="M254" s="385"/>
      <c r="N254" s="8"/>
    </row>
    <row r="255" spans="1:14" s="379" customFormat="1" ht="25" customHeight="1">
      <c r="A255" s="369"/>
      <c r="B255" s="370"/>
      <c r="K255" s="433"/>
      <c r="M255" s="385"/>
      <c r="N255" s="8"/>
    </row>
    <row r="256" spans="1:14" s="379" customFormat="1" ht="25" customHeight="1">
      <c r="A256" s="369"/>
      <c r="B256" s="370"/>
      <c r="K256" s="433"/>
      <c r="M256" s="385"/>
      <c r="N256" s="8"/>
    </row>
    <row r="257" spans="1:14" s="379" customFormat="1" ht="25" customHeight="1">
      <c r="A257" s="369"/>
      <c r="B257" s="370"/>
      <c r="K257" s="433"/>
      <c r="M257" s="385"/>
      <c r="N257" s="8"/>
    </row>
    <row r="258" spans="1:14" s="379" customFormat="1" ht="25" customHeight="1">
      <c r="A258" s="369"/>
      <c r="B258" s="370"/>
      <c r="K258" s="433"/>
      <c r="M258" s="385"/>
      <c r="N258" s="8"/>
    </row>
    <row r="259" spans="1:14" s="379" customFormat="1" ht="25" customHeight="1">
      <c r="A259" s="369"/>
      <c r="B259" s="370"/>
      <c r="K259" s="433"/>
      <c r="M259" s="385"/>
      <c r="N259" s="8"/>
    </row>
    <row r="260" spans="1:14" s="379" customFormat="1" ht="25" customHeight="1">
      <c r="A260" s="369"/>
      <c r="B260" s="370"/>
      <c r="K260" s="433"/>
      <c r="M260" s="385"/>
      <c r="N260" s="8"/>
    </row>
    <row r="261" spans="1:14" s="379" customFormat="1" ht="25" customHeight="1">
      <c r="A261" s="369"/>
      <c r="B261" s="370"/>
      <c r="K261" s="433"/>
      <c r="M261" s="385"/>
      <c r="N261" s="370"/>
    </row>
    <row r="262" spans="1:14" s="379" customFormat="1" ht="25" customHeight="1">
      <c r="A262" s="369"/>
      <c r="B262" s="370"/>
      <c r="K262" s="433"/>
      <c r="M262" s="385"/>
      <c r="N262" s="370"/>
    </row>
    <row r="263" spans="1:14" s="379" customFormat="1" ht="25" customHeight="1">
      <c r="A263" s="369"/>
      <c r="B263" s="370"/>
      <c r="K263" s="433"/>
      <c r="M263" s="385"/>
      <c r="N263" s="370"/>
    </row>
    <row r="264" spans="1:14" s="379" customFormat="1" ht="25" customHeight="1">
      <c r="A264" s="369"/>
      <c r="B264" s="370"/>
      <c r="K264" s="433"/>
      <c r="M264" s="385"/>
      <c r="N264" s="370"/>
    </row>
    <row r="265" spans="1:14" s="379" customFormat="1" ht="25" customHeight="1">
      <c r="A265" s="369"/>
      <c r="B265" s="370"/>
      <c r="K265" s="433"/>
      <c r="M265" s="385"/>
      <c r="N265" s="370"/>
    </row>
    <row r="266" spans="1:14" s="379" customFormat="1" ht="25" customHeight="1">
      <c r="A266" s="369"/>
      <c r="B266" s="370"/>
      <c r="K266" s="433"/>
      <c r="M266" s="385"/>
      <c r="N266" s="370"/>
    </row>
    <row r="267" spans="1:14" s="379" customFormat="1" ht="25" customHeight="1">
      <c r="A267" s="369"/>
      <c r="B267" s="370"/>
      <c r="K267" s="433"/>
      <c r="M267" s="385"/>
      <c r="N267" s="370"/>
    </row>
    <row r="268" spans="1:14" s="379" customFormat="1" ht="25" customHeight="1">
      <c r="A268" s="369"/>
      <c r="B268" s="370"/>
      <c r="K268" s="433"/>
      <c r="M268" s="385"/>
      <c r="N268" s="370"/>
    </row>
    <row r="269" spans="1:14" s="379" customFormat="1" ht="25" customHeight="1">
      <c r="A269" s="369"/>
      <c r="B269" s="370"/>
      <c r="K269" s="433"/>
      <c r="M269" s="385"/>
      <c r="N269" s="370"/>
    </row>
    <row r="270" spans="1:14" s="379" customFormat="1" ht="25" customHeight="1">
      <c r="A270" s="369"/>
      <c r="B270" s="370"/>
      <c r="K270" s="433"/>
      <c r="M270" s="385"/>
      <c r="N270" s="370"/>
    </row>
    <row r="271" spans="1:14" s="379" customFormat="1" ht="25" customHeight="1">
      <c r="A271" s="369"/>
      <c r="B271" s="370"/>
      <c r="K271" s="433"/>
      <c r="M271" s="385"/>
      <c r="N271" s="370"/>
    </row>
    <row r="272" spans="1:14" s="379" customFormat="1" ht="25" customHeight="1">
      <c r="A272" s="369"/>
      <c r="B272" s="370"/>
      <c r="K272" s="433"/>
      <c r="M272" s="385"/>
      <c r="N272" s="370"/>
    </row>
    <row r="273" spans="1:14" s="379" customFormat="1" ht="25" customHeight="1">
      <c r="A273" s="369"/>
      <c r="B273" s="370"/>
      <c r="K273" s="433"/>
      <c r="M273" s="385"/>
      <c r="N273" s="370"/>
    </row>
    <row r="274" spans="1:14" s="379" customFormat="1" ht="25" customHeight="1">
      <c r="A274" s="369"/>
      <c r="B274" s="370"/>
      <c r="K274" s="433"/>
      <c r="M274" s="385"/>
      <c r="N274" s="370"/>
    </row>
    <row r="275" spans="1:14" s="379" customFormat="1" ht="25" customHeight="1">
      <c r="A275" s="369"/>
      <c r="B275" s="370"/>
      <c r="K275" s="433"/>
      <c r="M275" s="385"/>
      <c r="N275" s="370"/>
    </row>
    <row r="276" spans="1:14" s="379" customFormat="1" ht="25" customHeight="1">
      <c r="A276" s="369"/>
      <c r="B276" s="370"/>
      <c r="K276" s="433"/>
      <c r="M276" s="385"/>
      <c r="N276" s="370"/>
    </row>
    <row r="277" spans="1:14" s="379" customFormat="1" ht="25" customHeight="1">
      <c r="A277" s="369"/>
      <c r="B277" s="370"/>
      <c r="K277" s="433"/>
      <c r="M277" s="385"/>
      <c r="N277" s="370"/>
    </row>
    <row r="278" spans="1:14" s="379" customFormat="1" ht="25" customHeight="1">
      <c r="A278" s="369"/>
      <c r="B278" s="370"/>
      <c r="K278" s="433"/>
      <c r="M278" s="385"/>
      <c r="N278" s="370"/>
    </row>
    <row r="279" spans="1:14" s="379" customFormat="1" ht="25" customHeight="1">
      <c r="A279" s="369"/>
      <c r="B279" s="370"/>
      <c r="K279" s="433"/>
      <c r="M279" s="385"/>
      <c r="N279" s="370"/>
    </row>
    <row r="280" spans="1:14" s="379" customFormat="1" ht="25" customHeight="1">
      <c r="A280" s="369"/>
      <c r="B280" s="370"/>
      <c r="K280" s="433"/>
      <c r="M280" s="385"/>
      <c r="N280" s="370"/>
    </row>
    <row r="281" spans="1:14" s="379" customFormat="1" ht="25" customHeight="1">
      <c r="A281" s="369"/>
      <c r="B281" s="370"/>
      <c r="K281" s="433"/>
      <c r="M281" s="385"/>
      <c r="N281" s="370"/>
    </row>
    <row r="282" spans="1:14" s="379" customFormat="1" ht="25" customHeight="1">
      <c r="A282" s="369"/>
      <c r="B282" s="370"/>
      <c r="K282" s="433"/>
      <c r="M282" s="385"/>
      <c r="N282" s="370"/>
    </row>
    <row r="283" spans="1:14" s="379" customFormat="1" ht="25" customHeight="1">
      <c r="A283" s="369"/>
      <c r="B283" s="370"/>
      <c r="K283" s="433"/>
      <c r="M283" s="385"/>
      <c r="N283" s="370"/>
    </row>
    <row r="284" spans="1:14" s="379" customFormat="1" ht="25" customHeight="1">
      <c r="A284" s="369"/>
      <c r="B284" s="370"/>
      <c r="K284" s="433"/>
      <c r="M284" s="385"/>
      <c r="N284" s="370"/>
    </row>
    <row r="285" spans="1:14" s="379" customFormat="1" ht="25" customHeight="1">
      <c r="A285" s="369"/>
      <c r="B285" s="370"/>
      <c r="K285" s="433"/>
      <c r="M285" s="385"/>
      <c r="N285" s="370"/>
    </row>
    <row r="286" spans="1:14" s="379" customFormat="1" ht="25" customHeight="1">
      <c r="A286" s="369"/>
      <c r="B286" s="370"/>
      <c r="K286" s="433"/>
      <c r="M286" s="385"/>
      <c r="N286" s="370"/>
    </row>
    <row r="287" spans="1:14" s="379" customFormat="1" ht="25" customHeight="1">
      <c r="A287" s="369"/>
      <c r="B287" s="370"/>
      <c r="K287" s="433"/>
      <c r="M287" s="385"/>
      <c r="N287" s="370"/>
    </row>
    <row r="288" spans="1:14" s="379" customFormat="1" ht="25" customHeight="1">
      <c r="A288" s="369"/>
      <c r="B288" s="370"/>
      <c r="K288" s="433"/>
      <c r="M288" s="385"/>
      <c r="N288" s="370"/>
    </row>
    <row r="300" spans="2:14" ht="25" customHeight="1">
      <c r="B300" s="386"/>
      <c r="C300" s="190"/>
      <c r="D300" s="163"/>
      <c r="N300" s="386"/>
    </row>
  </sheetData>
  <sheetProtection algorithmName="SHA-512" hashValue="H06NkXvz/l49Mq+SPNms24XB7wrbUC9d2y3v6IcSZvK6hnGqIHYGv8peA1pmKU004rFOCUQB6Q/RbVndPusy6Q==" saltValue="uqg289PlyJIo3qBn7+qGeQ==" spinCount="100000" sheet="1" selectLockedCells="1"/>
  <mergeCells count="16">
    <mergeCell ref="B166:F166"/>
    <mergeCell ref="B167:F167"/>
    <mergeCell ref="B191:G193"/>
    <mergeCell ref="B194:F194"/>
    <mergeCell ref="B125:G127"/>
    <mergeCell ref="B163:G165"/>
    <mergeCell ref="B110:G112"/>
    <mergeCell ref="B97:K99"/>
    <mergeCell ref="B4:C4"/>
    <mergeCell ref="B30:G32"/>
    <mergeCell ref="B34:F34"/>
    <mergeCell ref="B39:E39"/>
    <mergeCell ref="B77:E77"/>
    <mergeCell ref="B18:F18"/>
    <mergeCell ref="B23:E23"/>
    <mergeCell ref="B15:L17"/>
  </mergeCells>
  <conditionalFormatting sqref="I25:I26 K25:K26">
    <cfRule type="cellIs" dxfId="64" priority="1" operator="greaterThan">
      <formula>0</formula>
    </cfRule>
  </conditionalFormatting>
  <conditionalFormatting sqref="I41:I54 K41:K54 I79:I83 K79:K83 I91:I93 K91:K93 I105:I106 K105:K106 I118:I120 K118:K120 J119:J120">
    <cfRule type="cellIs" dxfId="63" priority="4" operator="greaterThan">
      <formula>0</formula>
    </cfRule>
  </conditionalFormatting>
  <conditionalFormatting sqref="I62:I71 K62:K71">
    <cfRule type="cellIs" dxfId="62" priority="3" operator="greaterThan">
      <formula>0</formula>
    </cfRule>
  </conditionalFormatting>
  <hyperlinks>
    <hyperlink ref="B10" r:id="rId1" xr:uid="{00000000-0004-0000-0100-000000000000}"/>
    <hyperlink ref="B39" location="'SEK - Safesprings tjänster 2023'!I80" display="Central blocklagring kan köpas till instanserna. Se &quot;Central blocklagring&quot; i prislistan." xr:uid="{00000000-0004-0000-0100-000001000000}"/>
    <hyperlink ref="B60" location="'SEK - Safesprings tjänster 2023'!I80" display="Central blocklagring kan köpas till instanserna. Se &quot;Central blocklagring&quot; i prislistan." xr:uid="{00000000-0004-0000-0100-000002000000}"/>
    <hyperlink ref="B77" location="'SEK - Safesprings tjänster 2023'!I80" display="Central blocklagring kan köpas till instanserna. Se &quot;Central blocklagring&quot; i prislistan." xr:uid="{00000000-0004-0000-0100-000003000000}"/>
    <hyperlink ref="B198" r:id="rId2" xr:uid="{00000000-0004-0000-0100-000006000000}"/>
    <hyperlink ref="B23" location="'SEK - Safesprings tjänster 2023'!I80" display="Central blocklagring kan köpas till instanserna. Se &quot;Central blocklagring&quot; i prislistan." xr:uid="{F000A49E-F1AC-AD44-B645-11DC08A896B4}"/>
  </hyperlinks>
  <pageMargins left="0" right="0" top="0" bottom="0" header="0.511811023622047" footer="0"/>
  <pageSetup paperSize="9" orientation="portrait" horizontalDpi="300" verticalDpi="300"/>
  <headerFooter>
    <oddFooter>&amp;C&amp;P av &amp;N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300"/>
  <sheetViews>
    <sheetView showGridLines="0" zoomScaleNormal="100" workbookViewId="0">
      <selection activeCell="I25" sqref="I25"/>
    </sheetView>
  </sheetViews>
  <sheetFormatPr baseColWidth="10" defaultColWidth="15" defaultRowHeight="25" customHeight="1"/>
  <cols>
    <col min="1" max="1" width="11.83203125" style="6" customWidth="1"/>
    <col min="2" max="2" width="30.83203125" style="7" customWidth="1"/>
    <col min="3" max="10" width="14.83203125" style="8" customWidth="1"/>
    <col min="11" max="11" width="14.83203125" style="127" customWidth="1"/>
    <col min="12" max="12" width="14.83203125" style="8" customWidth="1"/>
    <col min="13" max="13" width="14.83203125" style="434" customWidth="1"/>
    <col min="14" max="14" width="14.83203125" style="8" customWidth="1"/>
    <col min="15" max="16384" width="15" style="8"/>
  </cols>
  <sheetData>
    <row r="1" spans="1:26" ht="25" customHeight="1">
      <c r="A1" s="11"/>
      <c r="B1" s="12"/>
      <c r="C1" s="5"/>
      <c r="D1" s="13"/>
      <c r="E1" s="13"/>
      <c r="F1" s="13"/>
      <c r="G1" s="13"/>
      <c r="H1" s="13"/>
      <c r="I1" s="13"/>
      <c r="J1" s="13"/>
      <c r="K1" s="387"/>
      <c r="L1" s="15"/>
      <c r="M1" s="435"/>
    </row>
    <row r="2" spans="1:26" ht="25" customHeight="1">
      <c r="A2" s="11"/>
      <c r="B2" s="12"/>
      <c r="C2" s="5"/>
      <c r="D2" s="13"/>
      <c r="E2" s="13"/>
      <c r="F2" s="13"/>
      <c r="G2" s="13"/>
      <c r="H2" s="13"/>
      <c r="I2" s="13"/>
      <c r="J2" s="13"/>
      <c r="K2" s="387"/>
      <c r="L2" s="15"/>
      <c r="M2" s="435"/>
    </row>
    <row r="3" spans="1:26" ht="25" customHeight="1">
      <c r="A3" s="11"/>
      <c r="B3" s="12"/>
      <c r="C3" s="5"/>
      <c r="D3" s="13"/>
      <c r="E3" s="13"/>
      <c r="F3" s="13"/>
      <c r="G3" s="13"/>
      <c r="H3" s="13"/>
      <c r="I3" s="13"/>
      <c r="J3" s="13"/>
      <c r="K3" s="387"/>
      <c r="L3" s="15"/>
      <c r="M3" s="435"/>
    </row>
    <row r="4" spans="1:26" ht="25" customHeight="1">
      <c r="A4" s="11"/>
      <c r="B4" s="956"/>
      <c r="C4" s="956"/>
      <c r="D4" s="13"/>
      <c r="E4" s="13"/>
      <c r="F4" s="13"/>
      <c r="G4" s="13"/>
      <c r="H4" s="13"/>
      <c r="I4" s="13"/>
      <c r="J4" s="13"/>
      <c r="K4" s="387"/>
      <c r="L4" s="15"/>
      <c r="M4" s="435"/>
    </row>
    <row r="5" spans="1:26" ht="25" customHeight="1">
      <c r="A5" s="11"/>
      <c r="B5" s="17" t="s">
        <v>645</v>
      </c>
      <c r="C5" s="18"/>
      <c r="D5" s="13"/>
      <c r="E5" s="13"/>
      <c r="F5" s="13"/>
      <c r="G5" s="13"/>
      <c r="H5" s="13"/>
      <c r="I5" s="13"/>
      <c r="J5" s="13"/>
      <c r="K5" s="387"/>
      <c r="L5" s="15"/>
      <c r="M5" s="435"/>
    </row>
    <row r="6" spans="1:26" ht="25" customHeight="1">
      <c r="A6" s="11"/>
      <c r="B6" s="19"/>
      <c r="C6" s="5"/>
      <c r="D6" s="13"/>
      <c r="E6" s="13"/>
      <c r="F6" s="13"/>
      <c r="G6" s="13"/>
      <c r="H6" s="13"/>
      <c r="I6" s="13"/>
      <c r="J6" s="13"/>
      <c r="K6" s="387"/>
      <c r="L6" s="15"/>
      <c r="M6" s="435"/>
    </row>
    <row r="7" spans="1:26" ht="25" customHeight="1">
      <c r="A7" s="11"/>
      <c r="B7" s="20"/>
      <c r="C7" s="5"/>
      <c r="D7" s="13"/>
      <c r="E7" s="13"/>
      <c r="F7" s="13"/>
      <c r="G7" s="13"/>
      <c r="H7" s="13"/>
      <c r="I7" s="13"/>
      <c r="J7" s="13"/>
      <c r="K7" s="387"/>
      <c r="L7" s="15"/>
      <c r="M7" s="435"/>
    </row>
    <row r="8" spans="1:26" ht="25" customHeight="1">
      <c r="A8" s="11"/>
      <c r="B8" s="21" t="s">
        <v>232</v>
      </c>
      <c r="C8" s="5"/>
      <c r="D8" s="22" t="s">
        <v>146</v>
      </c>
      <c r="E8" s="13"/>
      <c r="F8" s="13"/>
      <c r="G8" s="13"/>
      <c r="H8" s="13"/>
      <c r="I8" s="13"/>
      <c r="J8" s="13"/>
      <c r="K8" s="387"/>
      <c r="L8" s="15"/>
      <c r="M8" s="435"/>
    </row>
    <row r="9" spans="1:26" ht="25" customHeight="1">
      <c r="A9" s="11"/>
      <c r="B9" s="23" t="s">
        <v>233</v>
      </c>
      <c r="C9" s="5"/>
      <c r="D9" s="13"/>
      <c r="E9" s="13"/>
      <c r="F9" s="13"/>
      <c r="G9" s="13"/>
      <c r="H9" s="13"/>
      <c r="I9" s="13"/>
      <c r="J9" s="13"/>
      <c r="K9" s="387"/>
      <c r="L9" s="15"/>
      <c r="M9" s="435"/>
    </row>
    <row r="10" spans="1:26" ht="25" customHeight="1">
      <c r="A10" s="11"/>
      <c r="B10" s="24" t="s">
        <v>3</v>
      </c>
      <c r="C10" s="25"/>
      <c r="D10" s="13"/>
      <c r="E10" s="13"/>
      <c r="F10" s="13"/>
      <c r="G10" s="13"/>
      <c r="H10" s="13"/>
      <c r="I10" s="13"/>
      <c r="J10" s="13"/>
      <c r="K10" s="387"/>
      <c r="L10" s="15"/>
      <c r="M10" s="435"/>
    </row>
    <row r="11" spans="1:26" s="34" customFormat="1" ht="25" customHeight="1">
      <c r="A11" s="26"/>
      <c r="B11" s="27"/>
      <c r="C11" s="28"/>
      <c r="D11" s="29"/>
      <c r="E11" s="29"/>
      <c r="F11" s="29"/>
      <c r="G11" s="30"/>
      <c r="H11" s="30"/>
      <c r="I11" s="31"/>
      <c r="J11" s="29"/>
      <c r="K11" s="388"/>
      <c r="L11" s="33"/>
      <c r="M11" s="435"/>
    </row>
    <row r="12" spans="1:26" s="34" customFormat="1" ht="25" customHeight="1">
      <c r="A12" s="35"/>
      <c r="B12" s="36"/>
      <c r="C12" s="37"/>
      <c r="D12" s="38"/>
      <c r="E12" s="38"/>
      <c r="F12" s="38"/>
      <c r="G12" s="39"/>
      <c r="H12" s="39"/>
      <c r="I12" s="40"/>
      <c r="J12" s="38"/>
      <c r="K12" s="389"/>
      <c r="L12" s="42"/>
      <c r="M12" s="435"/>
    </row>
    <row r="13" spans="1:26" s="34" customFormat="1" ht="25" customHeight="1">
      <c r="A13" s="43"/>
      <c r="B13" s="44"/>
      <c r="G13" s="45"/>
      <c r="H13" s="45"/>
      <c r="I13" s="46"/>
      <c r="K13" s="390"/>
      <c r="L13" s="48"/>
      <c r="M13" s="435"/>
    </row>
    <row r="14" spans="1:26" s="34" customFormat="1" ht="25" customHeight="1">
      <c r="A14" s="43"/>
      <c r="B14" s="44"/>
      <c r="G14" s="45"/>
      <c r="H14" s="45"/>
      <c r="I14" s="46"/>
      <c r="K14" s="47"/>
      <c r="L14" s="48"/>
      <c r="M14" s="16"/>
    </row>
    <row r="15" spans="1:26" s="34" customFormat="1" ht="25" customHeight="1">
      <c r="A15" s="43"/>
      <c r="B15" s="957" t="s">
        <v>635</v>
      </c>
      <c r="C15" s="957"/>
      <c r="D15" s="957"/>
      <c r="E15" s="957"/>
      <c r="F15" s="957"/>
      <c r="G15" s="957"/>
      <c r="H15" s="957"/>
      <c r="I15" s="957"/>
      <c r="J15" s="957"/>
      <c r="K15" s="957"/>
      <c r="L15" s="958"/>
      <c r="M15" s="16"/>
      <c r="N15" s="8"/>
      <c r="S15" s="50"/>
      <c r="X15" s="50"/>
      <c r="Y15" s="50"/>
      <c r="Z15" s="50"/>
    </row>
    <row r="16" spans="1:26" s="34" customFormat="1" ht="25" customHeight="1">
      <c r="A16" s="43"/>
      <c r="B16" s="957"/>
      <c r="C16" s="957"/>
      <c r="D16" s="957"/>
      <c r="E16" s="957"/>
      <c r="F16" s="957"/>
      <c r="G16" s="957"/>
      <c r="H16" s="957"/>
      <c r="I16" s="957"/>
      <c r="J16" s="957"/>
      <c r="K16" s="957"/>
      <c r="L16" s="958"/>
      <c r="M16" s="16"/>
      <c r="N16" s="8"/>
      <c r="S16" s="50"/>
      <c r="X16" s="50"/>
      <c r="Y16" s="50"/>
      <c r="Z16" s="50"/>
    </row>
    <row r="17" spans="1:26" s="34" customFormat="1" ht="25" customHeight="1">
      <c r="A17" s="43"/>
      <c r="B17" s="957"/>
      <c r="C17" s="957"/>
      <c r="D17" s="957"/>
      <c r="E17" s="957"/>
      <c r="F17" s="957"/>
      <c r="G17" s="957"/>
      <c r="H17" s="957"/>
      <c r="I17" s="957"/>
      <c r="J17" s="957"/>
      <c r="K17" s="957"/>
      <c r="L17" s="958"/>
      <c r="M17" s="16"/>
      <c r="N17" s="8"/>
      <c r="S17" s="50"/>
      <c r="X17" s="50"/>
      <c r="Y17" s="50"/>
      <c r="Z17" s="50"/>
    </row>
    <row r="18" spans="1:26" s="34" customFormat="1" ht="25" customHeight="1">
      <c r="A18" s="43"/>
      <c r="B18" s="959" t="s">
        <v>235</v>
      </c>
      <c r="C18" s="959"/>
      <c r="D18" s="959"/>
      <c r="E18" s="959"/>
      <c r="F18" s="959"/>
      <c r="G18" s="53"/>
      <c r="H18" s="54"/>
      <c r="J18" s="55"/>
      <c r="K18" s="391"/>
      <c r="L18" s="57"/>
      <c r="M18" s="16"/>
      <c r="N18" s="8"/>
      <c r="S18" s="50"/>
      <c r="T18" s="50"/>
      <c r="U18" s="50"/>
      <c r="V18" s="50"/>
      <c r="W18" s="50"/>
      <c r="X18" s="50"/>
      <c r="Y18" s="50"/>
      <c r="Z18" s="50"/>
    </row>
    <row r="19" spans="1:26" s="34" customFormat="1" ht="25" customHeight="1">
      <c r="A19" s="43"/>
      <c r="B19" s="58" t="s">
        <v>236</v>
      </c>
      <c r="C19" s="58"/>
      <c r="D19" s="58"/>
      <c r="E19" s="58"/>
      <c r="F19" s="58"/>
      <c r="G19" s="53"/>
      <c r="H19" s="54"/>
      <c r="I19" s="53"/>
      <c r="J19" s="55"/>
      <c r="K19" s="391"/>
      <c r="L19" s="57"/>
      <c r="M19" s="16"/>
      <c r="N19" s="8"/>
      <c r="S19" s="50"/>
      <c r="T19" s="50"/>
      <c r="U19" s="50"/>
      <c r="V19" s="50"/>
      <c r="W19" s="62"/>
      <c r="X19" s="154"/>
      <c r="Y19" s="50"/>
      <c r="Z19" s="50"/>
    </row>
    <row r="20" spans="1:26" s="34" customFormat="1" ht="25" customHeight="1">
      <c r="A20" s="43"/>
      <c r="B20" s="4"/>
      <c r="C20" s="60"/>
      <c r="D20" s="60"/>
      <c r="E20" s="60"/>
      <c r="F20" s="60"/>
      <c r="G20" s="53"/>
      <c r="H20" s="54"/>
      <c r="I20" s="53"/>
      <c r="J20" s="55"/>
      <c r="K20" s="391"/>
      <c r="L20" s="57"/>
      <c r="M20" s="16"/>
      <c r="N20" s="8"/>
      <c r="P20" s="8"/>
      <c r="Q20" s="8"/>
      <c r="R20" s="8"/>
      <c r="S20" s="50"/>
      <c r="T20" s="50"/>
      <c r="U20" s="50"/>
      <c r="V20" s="50"/>
      <c r="W20" s="50"/>
      <c r="X20" s="50"/>
      <c r="Y20" s="62"/>
      <c r="Z20" s="50"/>
    </row>
    <row r="21" spans="1:26" s="34" customFormat="1" ht="25" customHeight="1">
      <c r="A21" s="43"/>
      <c r="B21" s="4"/>
      <c r="C21" s="60"/>
      <c r="D21" s="60"/>
      <c r="E21" s="60"/>
      <c r="F21" s="60"/>
      <c r="G21" s="53"/>
      <c r="H21" s="54"/>
      <c r="I21" s="53"/>
      <c r="J21" s="55"/>
      <c r="K21" s="391"/>
      <c r="L21" s="57"/>
      <c r="M21" s="16"/>
      <c r="N21" s="8"/>
      <c r="P21" s="8"/>
      <c r="Q21" s="8"/>
      <c r="R21" s="8"/>
      <c r="S21" s="50"/>
      <c r="T21" s="50"/>
      <c r="U21" s="50"/>
      <c r="V21" s="50"/>
      <c r="W21" s="50"/>
      <c r="X21" s="50"/>
      <c r="Y21" s="62"/>
      <c r="Z21" s="50"/>
    </row>
    <row r="22" spans="1:26" s="69" customFormat="1" ht="25" customHeight="1">
      <c r="A22" s="63"/>
      <c r="B22" s="64" t="s">
        <v>636</v>
      </c>
      <c r="C22" s="65"/>
      <c r="D22" s="65"/>
      <c r="E22" s="65"/>
      <c r="F22" s="65"/>
      <c r="G22" s="65"/>
      <c r="H22" s="66"/>
      <c r="I22" s="67"/>
      <c r="J22" s="67"/>
      <c r="K22" s="392"/>
      <c r="M22" s="16"/>
      <c r="N22" s="8"/>
      <c r="P22" s="70"/>
      <c r="Q22" s="70"/>
      <c r="R22" s="71"/>
    </row>
    <row r="23" spans="1:26" ht="25" customHeight="1">
      <c r="B23" s="960" t="s">
        <v>640</v>
      </c>
      <c r="C23" s="960"/>
      <c r="D23" s="960"/>
      <c r="E23" s="960"/>
      <c r="M23" s="16"/>
    </row>
    <row r="24" spans="1:26" s="78" customFormat="1" ht="25" customHeight="1">
      <c r="A24" s="73"/>
      <c r="B24" s="74" t="s">
        <v>22</v>
      </c>
      <c r="C24" s="75"/>
      <c r="D24" s="75"/>
      <c r="E24" s="2"/>
      <c r="F24" s="2"/>
      <c r="G24" s="2" t="s">
        <v>237</v>
      </c>
      <c r="H24" s="2" t="s">
        <v>238</v>
      </c>
      <c r="I24" s="76" t="s">
        <v>239</v>
      </c>
      <c r="J24" s="75"/>
      <c r="K24" s="393" t="s">
        <v>33</v>
      </c>
      <c r="M24" s="16"/>
      <c r="N24" s="8"/>
      <c r="O24" s="8"/>
      <c r="P24" s="62"/>
      <c r="Q24" s="62"/>
      <c r="R24" s="79"/>
    </row>
    <row r="25" spans="1:26" s="50" customFormat="1" ht="25" customHeight="1">
      <c r="A25" s="43"/>
      <c r="B25" s="133" t="s">
        <v>633</v>
      </c>
      <c r="C25" s="81"/>
      <c r="D25" s="81"/>
      <c r="E25" s="82"/>
      <c r="F25" s="82"/>
      <c r="G25" s="137">
        <f t="shared" ref="G25:G26" si="0">H25/720</f>
        <v>6.8055555555555554</v>
      </c>
      <c r="H25" s="147">
        <v>4900</v>
      </c>
      <c r="I25" s="84"/>
      <c r="J25" s="28"/>
      <c r="K25" s="134">
        <f t="shared" ref="K25:K26" si="1">ROUNDUP(I25*H25,2)</f>
        <v>0</v>
      </c>
      <c r="M25" s="16"/>
      <c r="N25" s="8"/>
      <c r="O25" s="8"/>
      <c r="P25" s="62"/>
      <c r="R25" s="62"/>
    </row>
    <row r="26" spans="1:26" s="50" customFormat="1" ht="25" customHeight="1">
      <c r="A26" s="43"/>
      <c r="B26" s="135" t="s">
        <v>634</v>
      </c>
      <c r="C26" s="87"/>
      <c r="D26" s="87"/>
      <c r="E26" s="88"/>
      <c r="F26" s="88"/>
      <c r="G26" s="394">
        <f t="shared" si="0"/>
        <v>0</v>
      </c>
      <c r="H26" s="151">
        <v>0</v>
      </c>
      <c r="I26" s="84"/>
      <c r="J26" s="90"/>
      <c r="K26" s="136">
        <f t="shared" si="1"/>
        <v>0</v>
      </c>
      <c r="M26" s="16"/>
      <c r="N26" s="8"/>
      <c r="P26" s="62"/>
      <c r="R26" s="62"/>
    </row>
    <row r="27" spans="1:26" s="34" customFormat="1" ht="25" customHeight="1">
      <c r="A27" s="43"/>
      <c r="B27" s="93" t="s">
        <v>26</v>
      </c>
      <c r="C27" s="94"/>
      <c r="D27" s="94"/>
      <c r="E27" s="152"/>
      <c r="F27" s="152"/>
      <c r="G27" s="94"/>
      <c r="H27" s="94"/>
      <c r="I27" s="94" t="str">
        <f>SUM(I14:I26)&amp;" stk."</f>
        <v>0 stk.</v>
      </c>
      <c r="J27" s="94"/>
      <c r="K27" s="138">
        <f>SUM(K14:K26)</f>
        <v>0</v>
      </c>
      <c r="L27" s="48"/>
      <c r="M27" s="16"/>
      <c r="N27" s="8"/>
    </row>
    <row r="28" spans="1:26" s="34" customFormat="1" ht="25" customHeight="1">
      <c r="A28" s="43"/>
      <c r="B28" s="920"/>
      <c r="C28" s="247"/>
      <c r="D28" s="247"/>
      <c r="E28" s="951"/>
      <c r="F28" s="951"/>
      <c r="G28" s="247"/>
      <c r="H28" s="247"/>
      <c r="I28" s="247"/>
      <c r="J28" s="247"/>
      <c r="K28" s="950"/>
      <c r="L28" s="48"/>
      <c r="M28" s="16"/>
      <c r="N28" s="8"/>
    </row>
    <row r="29" spans="1:26" s="34" customFormat="1" ht="25" customHeight="1">
      <c r="A29" s="43"/>
      <c r="B29" s="44"/>
      <c r="G29" s="45"/>
      <c r="H29" s="45"/>
      <c r="I29" s="46"/>
      <c r="K29" s="390"/>
      <c r="L29" s="48"/>
      <c r="M29" s="435"/>
    </row>
    <row r="30" spans="1:26" s="34" customFormat="1" ht="25" customHeight="1">
      <c r="A30" s="43"/>
      <c r="B30" s="957" t="s">
        <v>4</v>
      </c>
      <c r="C30" s="957"/>
      <c r="D30" s="957"/>
      <c r="E30" s="957"/>
      <c r="F30" s="957"/>
      <c r="G30" s="957"/>
      <c r="H30" s="46"/>
      <c r="J30" s="49"/>
      <c r="K30" s="390"/>
      <c r="L30" s="48"/>
      <c r="M30" s="435"/>
      <c r="S30" s="50"/>
      <c r="X30" s="50"/>
      <c r="Y30" s="50"/>
      <c r="Z30" s="50"/>
    </row>
    <row r="31" spans="1:26" s="34" customFormat="1" ht="25" customHeight="1">
      <c r="A31" s="43"/>
      <c r="B31" s="957"/>
      <c r="C31" s="957"/>
      <c r="D31" s="957"/>
      <c r="E31" s="957"/>
      <c r="F31" s="957"/>
      <c r="G31" s="957"/>
      <c r="H31" s="46"/>
      <c r="J31" s="49"/>
      <c r="K31" s="390"/>
      <c r="L31" s="48"/>
      <c r="M31" s="435"/>
      <c r="S31" s="50"/>
      <c r="X31" s="50"/>
      <c r="Y31" s="50"/>
      <c r="Z31" s="50"/>
    </row>
    <row r="32" spans="1:26" s="34" customFormat="1" ht="25" customHeight="1">
      <c r="A32" s="43"/>
      <c r="B32" s="957"/>
      <c r="C32" s="957"/>
      <c r="D32" s="957"/>
      <c r="E32" s="957"/>
      <c r="F32" s="957"/>
      <c r="G32" s="957"/>
      <c r="H32" s="46"/>
      <c r="J32" s="49"/>
      <c r="K32" s="390"/>
      <c r="L32" s="48"/>
      <c r="M32" s="435"/>
      <c r="S32" s="50"/>
      <c r="X32" s="50"/>
      <c r="Y32" s="50"/>
      <c r="Z32" s="50"/>
    </row>
    <row r="33" spans="1:26" s="34" customFormat="1" ht="25" customHeight="1">
      <c r="A33" s="43"/>
      <c r="B33" s="51" t="s">
        <v>234</v>
      </c>
      <c r="C33" s="52"/>
      <c r="D33" s="52"/>
      <c r="E33" s="52"/>
      <c r="F33" s="52"/>
      <c r="H33" s="46"/>
      <c r="J33" s="49"/>
      <c r="K33" s="390"/>
      <c r="L33" s="48"/>
      <c r="M33" s="435"/>
      <c r="S33" s="50"/>
      <c r="T33" s="50"/>
      <c r="U33" s="50"/>
      <c r="V33" s="50"/>
      <c r="W33" s="50"/>
      <c r="X33" s="50"/>
      <c r="Y33" s="50"/>
      <c r="Z33" s="50"/>
    </row>
    <row r="34" spans="1:26" s="34" customFormat="1" ht="25" customHeight="1">
      <c r="A34" s="43"/>
      <c r="B34" s="959" t="s">
        <v>235</v>
      </c>
      <c r="C34" s="959"/>
      <c r="D34" s="959"/>
      <c r="E34" s="959"/>
      <c r="F34" s="959"/>
      <c r="G34" s="53"/>
      <c r="H34" s="54"/>
      <c r="J34" s="55"/>
      <c r="K34" s="391"/>
      <c r="L34" s="57"/>
      <c r="M34" s="435"/>
      <c r="S34" s="50"/>
      <c r="T34" s="50"/>
      <c r="U34" s="50"/>
      <c r="V34" s="50"/>
      <c r="W34" s="50"/>
      <c r="X34" s="50"/>
      <c r="Y34" s="50"/>
      <c r="Z34" s="50"/>
    </row>
    <row r="35" spans="1:26" s="34" customFormat="1" ht="25" customHeight="1">
      <c r="A35" s="43"/>
      <c r="B35" s="58" t="s">
        <v>236</v>
      </c>
      <c r="C35" s="436"/>
      <c r="D35" s="436"/>
      <c r="E35" s="60"/>
      <c r="F35" s="60"/>
      <c r="G35" s="53"/>
      <c r="H35" s="54"/>
      <c r="I35" s="53"/>
      <c r="J35" s="55"/>
      <c r="K35" s="391"/>
      <c r="L35" s="57"/>
      <c r="M35" s="435"/>
      <c r="S35" s="50"/>
      <c r="T35" s="50"/>
      <c r="U35" s="50"/>
      <c r="V35" s="50"/>
      <c r="W35" s="62"/>
      <c r="X35" s="154"/>
      <c r="Y35" s="50"/>
      <c r="Z35" s="50"/>
    </row>
    <row r="36" spans="1:26" s="34" customFormat="1" ht="25" customHeight="1">
      <c r="A36" s="43"/>
      <c r="B36" s="4"/>
      <c r="C36" s="60"/>
      <c r="D36" s="60"/>
      <c r="E36" s="60"/>
      <c r="F36" s="60"/>
      <c r="G36" s="53"/>
      <c r="H36" s="54"/>
      <c r="I36" s="53"/>
      <c r="J36" s="55"/>
      <c r="K36" s="391"/>
      <c r="L36" s="57"/>
      <c r="M36" s="435"/>
      <c r="P36" s="8"/>
      <c r="Q36" s="8"/>
      <c r="R36" s="8"/>
      <c r="S36" s="50"/>
      <c r="T36" s="50"/>
      <c r="U36" s="50"/>
      <c r="V36" s="50"/>
      <c r="W36" s="50"/>
      <c r="X36" s="50"/>
      <c r="Y36" s="62"/>
      <c r="Z36" s="50"/>
    </row>
    <row r="37" spans="1:26" s="34" customFormat="1" ht="25" customHeight="1">
      <c r="A37" s="43"/>
      <c r="B37" s="4"/>
      <c r="C37" s="60"/>
      <c r="D37" s="60"/>
      <c r="E37" s="60"/>
      <c r="F37" s="60"/>
      <c r="G37" s="53"/>
      <c r="H37" s="54"/>
      <c r="I37" s="53"/>
      <c r="J37" s="55"/>
      <c r="K37" s="391"/>
      <c r="L37" s="57"/>
      <c r="M37" s="435"/>
      <c r="P37" s="8"/>
      <c r="Q37" s="8"/>
      <c r="R37" s="8"/>
      <c r="S37" s="50"/>
      <c r="T37" s="50"/>
      <c r="U37" s="50"/>
      <c r="V37" s="50"/>
      <c r="W37" s="50"/>
      <c r="X37" s="50"/>
      <c r="Y37" s="62"/>
      <c r="Z37" s="50"/>
    </row>
    <row r="38" spans="1:26" s="69" customFormat="1" ht="25" customHeight="1">
      <c r="A38" s="6"/>
      <c r="B38" s="64" t="s">
        <v>152</v>
      </c>
      <c r="C38" s="65"/>
      <c r="D38" s="65"/>
      <c r="E38" s="65"/>
      <c r="F38" s="65"/>
      <c r="G38" s="65"/>
      <c r="H38" s="66"/>
      <c r="I38" s="67"/>
      <c r="J38" s="67"/>
      <c r="K38" s="392"/>
      <c r="M38" s="435"/>
      <c r="P38" s="70"/>
      <c r="Q38" s="70"/>
      <c r="R38" s="71"/>
    </row>
    <row r="39" spans="1:26" ht="25" customHeight="1">
      <c r="B39" s="964" t="s">
        <v>669</v>
      </c>
      <c r="C39" s="964"/>
      <c r="D39" s="964"/>
      <c r="E39" s="964"/>
      <c r="M39" s="435"/>
    </row>
    <row r="40" spans="1:26" s="78" customFormat="1" ht="25" customHeight="1">
      <c r="A40" s="6"/>
      <c r="B40" s="74" t="s">
        <v>22</v>
      </c>
      <c r="C40" s="75" t="s">
        <v>11</v>
      </c>
      <c r="D40" s="75" t="s">
        <v>154</v>
      </c>
      <c r="E40" s="2" t="s">
        <v>155</v>
      </c>
      <c r="F40" s="2"/>
      <c r="G40" s="2" t="s">
        <v>237</v>
      </c>
      <c r="H40" s="2" t="s">
        <v>238</v>
      </c>
      <c r="I40" s="76" t="s">
        <v>239</v>
      </c>
      <c r="J40" s="75"/>
      <c r="K40" s="393" t="s">
        <v>33</v>
      </c>
      <c r="M40" s="435"/>
      <c r="N40" s="8"/>
      <c r="O40" s="8"/>
      <c r="P40" s="62"/>
      <c r="Q40" s="62"/>
      <c r="R40" s="79"/>
    </row>
    <row r="41" spans="1:26" s="50" customFormat="1" ht="25" customHeight="1">
      <c r="A41" s="43"/>
      <c r="B41" s="133" t="s">
        <v>156</v>
      </c>
      <c r="C41" s="81">
        <v>2</v>
      </c>
      <c r="D41" s="81">
        <v>4</v>
      </c>
      <c r="E41" s="82">
        <v>100</v>
      </c>
      <c r="F41" s="82"/>
      <c r="G41" s="137">
        <f t="shared" ref="G41:G54" si="2">H41/720</f>
        <v>0.66666666666666663</v>
      </c>
      <c r="H41" s="147">
        <f t="shared" ref="H41:H54" si="3">C41*IAAS_vcpu_SEK+D41*IAAS_ram_SEK+E41*IAAS_nvme_SEK</f>
        <v>480</v>
      </c>
      <c r="I41" s="84"/>
      <c r="J41" s="28"/>
      <c r="K41" s="134">
        <f t="shared" ref="K41:K54" si="4">ROUNDUP(I41*H41,2)</f>
        <v>0</v>
      </c>
      <c r="M41" s="435"/>
      <c r="P41" s="62"/>
      <c r="R41" s="62"/>
    </row>
    <row r="42" spans="1:26" s="50" customFormat="1" ht="25" customHeight="1">
      <c r="A42" s="43"/>
      <c r="B42" s="135" t="s">
        <v>157</v>
      </c>
      <c r="C42" s="87">
        <v>2</v>
      </c>
      <c r="D42" s="87">
        <v>4</v>
      </c>
      <c r="E42" s="88">
        <v>500</v>
      </c>
      <c r="F42" s="88"/>
      <c r="G42" s="394">
        <f t="shared" si="2"/>
        <v>1.2222222222222223</v>
      </c>
      <c r="H42" s="151">
        <f t="shared" si="3"/>
        <v>880</v>
      </c>
      <c r="I42" s="84"/>
      <c r="J42" s="90"/>
      <c r="K42" s="136">
        <f t="shared" si="4"/>
        <v>0</v>
      </c>
      <c r="M42" s="435"/>
      <c r="P42" s="62"/>
      <c r="R42" s="62"/>
    </row>
    <row r="43" spans="1:26" s="50" customFormat="1" ht="25" customHeight="1">
      <c r="A43" s="43"/>
      <c r="B43" s="133" t="s">
        <v>158</v>
      </c>
      <c r="C43" s="81">
        <v>2</v>
      </c>
      <c r="D43" s="81">
        <v>4</v>
      </c>
      <c r="E43" s="82">
        <v>1000</v>
      </c>
      <c r="F43" s="82"/>
      <c r="G43" s="137">
        <f t="shared" si="2"/>
        <v>1.9166666666666667</v>
      </c>
      <c r="H43" s="147">
        <f t="shared" si="3"/>
        <v>1380</v>
      </c>
      <c r="I43" s="84"/>
      <c r="J43" s="28"/>
      <c r="K43" s="134">
        <f t="shared" si="4"/>
        <v>0</v>
      </c>
      <c r="M43" s="435"/>
      <c r="P43" s="62"/>
      <c r="R43" s="62"/>
    </row>
    <row r="44" spans="1:26" s="50" customFormat="1" ht="25" customHeight="1">
      <c r="A44" s="43"/>
      <c r="B44" s="135" t="s">
        <v>159</v>
      </c>
      <c r="C44" s="87">
        <v>4</v>
      </c>
      <c r="D44" s="87">
        <v>8</v>
      </c>
      <c r="E44" s="88">
        <v>100</v>
      </c>
      <c r="F44" s="88"/>
      <c r="G44" s="394">
        <f t="shared" si="2"/>
        <v>1.1944444444444444</v>
      </c>
      <c r="H44" s="151">
        <f t="shared" si="3"/>
        <v>860</v>
      </c>
      <c r="I44" s="84"/>
      <c r="J44" s="90"/>
      <c r="K44" s="136">
        <f t="shared" si="4"/>
        <v>0</v>
      </c>
      <c r="M44" s="435"/>
      <c r="P44" s="62"/>
      <c r="R44" s="62"/>
    </row>
    <row r="45" spans="1:26" s="50" customFormat="1" ht="25" customHeight="1">
      <c r="A45" s="43"/>
      <c r="B45" s="133" t="s">
        <v>160</v>
      </c>
      <c r="C45" s="81">
        <v>4</v>
      </c>
      <c r="D45" s="81">
        <v>8</v>
      </c>
      <c r="E45" s="82">
        <v>500</v>
      </c>
      <c r="F45" s="82"/>
      <c r="G45" s="137">
        <f t="shared" si="2"/>
        <v>1.75</v>
      </c>
      <c r="H45" s="147">
        <f t="shared" si="3"/>
        <v>1260</v>
      </c>
      <c r="I45" s="84"/>
      <c r="J45" s="28"/>
      <c r="K45" s="134">
        <f t="shared" si="4"/>
        <v>0</v>
      </c>
      <c r="M45" s="435"/>
      <c r="P45" s="62"/>
      <c r="R45" s="62"/>
    </row>
    <row r="46" spans="1:26" s="50" customFormat="1" ht="25" customHeight="1">
      <c r="A46" s="43"/>
      <c r="B46" s="135" t="s">
        <v>161</v>
      </c>
      <c r="C46" s="87">
        <v>4</v>
      </c>
      <c r="D46" s="87">
        <v>8</v>
      </c>
      <c r="E46" s="88">
        <v>1000</v>
      </c>
      <c r="F46" s="88"/>
      <c r="G46" s="394">
        <f t="shared" si="2"/>
        <v>2.4444444444444446</v>
      </c>
      <c r="H46" s="151">
        <f t="shared" si="3"/>
        <v>1760</v>
      </c>
      <c r="I46" s="84"/>
      <c r="J46" s="90"/>
      <c r="K46" s="136">
        <f t="shared" si="4"/>
        <v>0</v>
      </c>
      <c r="M46" s="435"/>
      <c r="P46" s="62"/>
      <c r="R46" s="62"/>
    </row>
    <row r="47" spans="1:26" s="50" customFormat="1" ht="25" customHeight="1">
      <c r="A47" s="43"/>
      <c r="B47" s="133" t="s">
        <v>162</v>
      </c>
      <c r="C47" s="81">
        <v>8</v>
      </c>
      <c r="D47" s="81">
        <v>16</v>
      </c>
      <c r="E47" s="82">
        <v>100</v>
      </c>
      <c r="F47" s="82"/>
      <c r="G47" s="137">
        <f t="shared" si="2"/>
        <v>2.25</v>
      </c>
      <c r="H47" s="147">
        <f t="shared" si="3"/>
        <v>1620</v>
      </c>
      <c r="I47" s="84"/>
      <c r="J47" s="28"/>
      <c r="K47" s="134">
        <f t="shared" si="4"/>
        <v>0</v>
      </c>
      <c r="M47" s="435"/>
      <c r="P47" s="62"/>
      <c r="R47" s="62"/>
    </row>
    <row r="48" spans="1:26" s="50" customFormat="1" ht="25" customHeight="1">
      <c r="A48" s="43"/>
      <c r="B48" s="135" t="s">
        <v>163</v>
      </c>
      <c r="C48" s="87">
        <v>8</v>
      </c>
      <c r="D48" s="87">
        <v>16</v>
      </c>
      <c r="E48" s="88">
        <v>500</v>
      </c>
      <c r="F48" s="88"/>
      <c r="G48" s="394">
        <f t="shared" si="2"/>
        <v>2.8055555555555554</v>
      </c>
      <c r="H48" s="151">
        <f t="shared" si="3"/>
        <v>2020</v>
      </c>
      <c r="I48" s="84"/>
      <c r="J48" s="90"/>
      <c r="K48" s="136">
        <f t="shared" si="4"/>
        <v>0</v>
      </c>
      <c r="M48" s="435"/>
      <c r="P48" s="62"/>
      <c r="R48" s="62"/>
    </row>
    <row r="49" spans="1:18" s="50" customFormat="1" ht="25" customHeight="1">
      <c r="A49" s="43"/>
      <c r="B49" s="133" t="s">
        <v>164</v>
      </c>
      <c r="C49" s="81">
        <v>8</v>
      </c>
      <c r="D49" s="81">
        <v>16</v>
      </c>
      <c r="E49" s="82">
        <v>1000</v>
      </c>
      <c r="F49" s="82"/>
      <c r="G49" s="137">
        <f t="shared" si="2"/>
        <v>3.5</v>
      </c>
      <c r="H49" s="147">
        <f t="shared" si="3"/>
        <v>2520</v>
      </c>
      <c r="I49" s="84"/>
      <c r="J49" s="28"/>
      <c r="K49" s="134">
        <f t="shared" si="4"/>
        <v>0</v>
      </c>
      <c r="M49" s="435"/>
      <c r="P49" s="62"/>
      <c r="R49" s="62"/>
    </row>
    <row r="50" spans="1:18" s="50" customFormat="1" ht="25" customHeight="1">
      <c r="A50" s="43"/>
      <c r="B50" s="135" t="s">
        <v>165</v>
      </c>
      <c r="C50" s="87">
        <v>16</v>
      </c>
      <c r="D50" s="87">
        <v>32</v>
      </c>
      <c r="E50" s="88">
        <v>100</v>
      </c>
      <c r="F50" s="88"/>
      <c r="G50" s="394">
        <f t="shared" si="2"/>
        <v>4.3611111111111107</v>
      </c>
      <c r="H50" s="151">
        <f t="shared" si="3"/>
        <v>3140</v>
      </c>
      <c r="I50" s="84"/>
      <c r="J50" s="90"/>
      <c r="K50" s="136">
        <f t="shared" si="4"/>
        <v>0</v>
      </c>
      <c r="M50" s="435"/>
      <c r="P50" s="62"/>
      <c r="R50" s="62"/>
    </row>
    <row r="51" spans="1:18" s="50" customFormat="1" ht="25" customHeight="1">
      <c r="A51" s="43"/>
      <c r="B51" s="133" t="s">
        <v>166</v>
      </c>
      <c r="C51" s="81">
        <v>16</v>
      </c>
      <c r="D51" s="81">
        <v>32</v>
      </c>
      <c r="E51" s="82">
        <v>500</v>
      </c>
      <c r="F51" s="82"/>
      <c r="G51" s="137">
        <f t="shared" si="2"/>
        <v>4.916666666666667</v>
      </c>
      <c r="H51" s="147">
        <f t="shared" si="3"/>
        <v>3540</v>
      </c>
      <c r="I51" s="84"/>
      <c r="J51" s="28"/>
      <c r="K51" s="134">
        <f t="shared" si="4"/>
        <v>0</v>
      </c>
      <c r="M51" s="435"/>
      <c r="P51" s="62"/>
      <c r="R51" s="62"/>
    </row>
    <row r="52" spans="1:18" s="50" customFormat="1" ht="25" customHeight="1">
      <c r="A52" s="43"/>
      <c r="B52" s="135" t="s">
        <v>167</v>
      </c>
      <c r="C52" s="87">
        <v>16</v>
      </c>
      <c r="D52" s="87">
        <v>32</v>
      </c>
      <c r="E52" s="88">
        <v>1000</v>
      </c>
      <c r="F52" s="88"/>
      <c r="G52" s="394">
        <f t="shared" si="2"/>
        <v>5.6111111111111107</v>
      </c>
      <c r="H52" s="151">
        <f t="shared" si="3"/>
        <v>4040</v>
      </c>
      <c r="I52" s="84"/>
      <c r="J52" s="90"/>
      <c r="K52" s="136">
        <f t="shared" si="4"/>
        <v>0</v>
      </c>
      <c r="M52" s="435"/>
      <c r="P52" s="62"/>
      <c r="R52" s="62"/>
    </row>
    <row r="53" spans="1:18" s="50" customFormat="1" ht="25" customHeight="1">
      <c r="A53" s="43"/>
      <c r="B53" s="133" t="s">
        <v>631</v>
      </c>
      <c r="C53" s="81">
        <v>16</v>
      </c>
      <c r="D53" s="81">
        <v>64</v>
      </c>
      <c r="E53" s="82">
        <v>500</v>
      </c>
      <c r="F53" s="82"/>
      <c r="G53" s="137">
        <f t="shared" si="2"/>
        <v>7.3611111111111107</v>
      </c>
      <c r="H53" s="147">
        <f t="shared" si="3"/>
        <v>5300</v>
      </c>
      <c r="I53" s="84"/>
      <c r="J53" s="28"/>
      <c r="K53" s="134">
        <f t="shared" si="4"/>
        <v>0</v>
      </c>
      <c r="M53" s="435"/>
      <c r="P53" s="62"/>
      <c r="R53" s="62"/>
    </row>
    <row r="54" spans="1:18" s="50" customFormat="1" ht="25" customHeight="1">
      <c r="A54" s="43"/>
      <c r="B54" s="135" t="s">
        <v>168</v>
      </c>
      <c r="C54" s="87">
        <v>32</v>
      </c>
      <c r="D54" s="87">
        <v>64</v>
      </c>
      <c r="E54" s="88">
        <v>1000</v>
      </c>
      <c r="F54" s="88"/>
      <c r="G54" s="394">
        <f t="shared" si="2"/>
        <v>9.8333333333333339</v>
      </c>
      <c r="H54" s="151">
        <f t="shared" si="3"/>
        <v>7080</v>
      </c>
      <c r="I54" s="84"/>
      <c r="J54" s="90"/>
      <c r="K54" s="136">
        <f t="shared" si="4"/>
        <v>0</v>
      </c>
      <c r="M54" s="435"/>
      <c r="P54" s="62"/>
      <c r="R54" s="62"/>
    </row>
    <row r="55" spans="1:18" s="97" customFormat="1" ht="25" customHeight="1">
      <c r="A55" s="92"/>
      <c r="B55" s="93" t="s">
        <v>26</v>
      </c>
      <c r="C55" s="94" t="str">
        <f>SUMPRODUCT(C41:C54,I41:I54)&amp;" stk."</f>
        <v>0 stk.</v>
      </c>
      <c r="D55" s="94" t="str">
        <f t="array" ref="D55">SUM(D41:D54*I41:I54)&amp;" GB"</f>
        <v>0 GB</v>
      </c>
      <c r="E55" s="152" t="str">
        <f t="array" ref="E55">SUM(E41:E54*I41:I54)&amp;" GB"</f>
        <v>0 GB</v>
      </c>
      <c r="F55" s="94"/>
      <c r="G55" s="94"/>
      <c r="H55" s="94"/>
      <c r="I55" s="94" t="str">
        <f>SUM(I41:I54)&amp;" stk."</f>
        <v>0 stk.</v>
      </c>
      <c r="J55" s="94"/>
      <c r="K55" s="138">
        <f>SUM(K41:K54)</f>
        <v>0</v>
      </c>
      <c r="M55" s="435"/>
      <c r="P55" s="98"/>
      <c r="R55" s="98"/>
    </row>
    <row r="56" spans="1:18" s="50" customFormat="1" ht="25" customHeight="1">
      <c r="A56" s="43"/>
      <c r="B56" s="99"/>
      <c r="C56" s="100"/>
      <c r="D56" s="100"/>
      <c r="E56" s="101"/>
      <c r="F56" s="103"/>
      <c r="G56" s="103"/>
      <c r="H56" s="104"/>
      <c r="I56" s="105"/>
      <c r="J56" s="106"/>
      <c r="K56" s="124"/>
      <c r="M56" s="435"/>
      <c r="P56" s="62"/>
      <c r="R56" s="62"/>
    </row>
    <row r="57" spans="1:18" s="50" customFormat="1" ht="25" customHeight="1">
      <c r="A57" s="43"/>
      <c r="B57" s="99"/>
      <c r="C57" s="100"/>
      <c r="D57" s="100"/>
      <c r="E57" s="101"/>
      <c r="F57" s="102"/>
      <c r="G57" s="103"/>
      <c r="H57" s="104"/>
      <c r="I57" s="105"/>
      <c r="J57" s="106"/>
      <c r="K57" s="124"/>
      <c r="M57" s="435"/>
      <c r="P57" s="62"/>
      <c r="R57" s="62"/>
    </row>
    <row r="58" spans="1:18" ht="25" customHeight="1">
      <c r="B58" s="108"/>
      <c r="C58" s="109"/>
      <c r="D58" s="109"/>
      <c r="E58" s="109"/>
      <c r="F58" s="109"/>
      <c r="G58" s="110"/>
      <c r="H58" s="111"/>
      <c r="I58" s="111"/>
      <c r="J58" s="109"/>
      <c r="K58" s="125"/>
      <c r="M58" s="435"/>
      <c r="P58" s="62"/>
      <c r="Q58" s="62"/>
      <c r="R58" s="79"/>
    </row>
    <row r="59" spans="1:18" s="78" customFormat="1" ht="25" customHeight="1">
      <c r="A59" s="6"/>
      <c r="B59" s="437" t="s">
        <v>671</v>
      </c>
      <c r="C59" s="438"/>
      <c r="D59" s="438"/>
      <c r="K59" s="126"/>
      <c r="M59" s="435"/>
    </row>
    <row r="60" spans="1:18" ht="25" customHeight="1">
      <c r="B60" s="964" t="s">
        <v>669</v>
      </c>
      <c r="C60" s="964"/>
      <c r="D60" s="964"/>
      <c r="E60" s="964"/>
      <c r="M60" s="435"/>
    </row>
    <row r="61" spans="1:18" s="78" customFormat="1" ht="25" customHeight="1">
      <c r="A61" s="6"/>
      <c r="B61" s="74" t="s">
        <v>22</v>
      </c>
      <c r="C61" s="75" t="s">
        <v>11</v>
      </c>
      <c r="D61" s="75" t="s">
        <v>154</v>
      </c>
      <c r="E61" s="2" t="s">
        <v>155</v>
      </c>
      <c r="F61" s="2"/>
      <c r="G61" s="2" t="s">
        <v>237</v>
      </c>
      <c r="H61" s="2" t="s">
        <v>238</v>
      </c>
      <c r="I61" s="76" t="s">
        <v>239</v>
      </c>
      <c r="J61" s="75"/>
      <c r="K61" s="393" t="s">
        <v>33</v>
      </c>
      <c r="M61" s="435"/>
      <c r="N61" s="8"/>
      <c r="O61" s="8"/>
      <c r="P61" s="62"/>
      <c r="Q61" s="62"/>
      <c r="R61" s="79"/>
    </row>
    <row r="62" spans="1:18" s="50" customFormat="1" ht="25" customHeight="1">
      <c r="A62" s="43"/>
      <c r="B62" s="133" t="s">
        <v>170</v>
      </c>
      <c r="C62" s="81">
        <v>1</v>
      </c>
      <c r="D62" s="81">
        <v>2</v>
      </c>
      <c r="E62" s="116">
        <v>0</v>
      </c>
      <c r="F62" s="116"/>
      <c r="G62" s="137">
        <f>'SEK - Safesprings tjänster 2025'!G62</f>
        <v>0.2638888888888889</v>
      </c>
      <c r="H62" s="147">
        <f t="shared" ref="H62:H71" si="5">C62*IAAS_vcpu_SEK+D62*IAAS_ram_SEK+E62*IAAS_nvme_SEK</f>
        <v>190</v>
      </c>
      <c r="I62" s="84"/>
      <c r="J62" s="28"/>
      <c r="K62" s="439">
        <f t="shared" ref="K62:K71" si="6">ROUNDUP(I62*H62,2)</f>
        <v>0</v>
      </c>
      <c r="M62" s="435"/>
      <c r="N62" s="117"/>
      <c r="O62" s="118"/>
    </row>
    <row r="63" spans="1:18" s="50" customFormat="1" ht="25" customHeight="1">
      <c r="A63" s="43"/>
      <c r="B63" s="135" t="s">
        <v>171</v>
      </c>
      <c r="C63" s="87">
        <v>1</v>
      </c>
      <c r="D63" s="87">
        <v>4</v>
      </c>
      <c r="E63" s="119">
        <v>0</v>
      </c>
      <c r="F63" s="119"/>
      <c r="G63" s="394">
        <f>'SEK - Safesprings tjänster 2025'!G63</f>
        <v>0.41666666666666669</v>
      </c>
      <c r="H63" s="151">
        <f t="shared" si="5"/>
        <v>300</v>
      </c>
      <c r="I63" s="84"/>
      <c r="J63" s="90"/>
      <c r="K63" s="136">
        <f t="shared" si="6"/>
        <v>0</v>
      </c>
      <c r="L63" s="120"/>
      <c r="M63" s="435"/>
      <c r="N63" s="117"/>
      <c r="O63" s="118"/>
    </row>
    <row r="64" spans="1:18" s="50" customFormat="1" ht="25" customHeight="1">
      <c r="A64" s="43"/>
      <c r="B64" s="133" t="s">
        <v>172</v>
      </c>
      <c r="C64" s="81">
        <v>2</v>
      </c>
      <c r="D64" s="81">
        <v>4</v>
      </c>
      <c r="E64" s="116">
        <v>0</v>
      </c>
      <c r="F64" s="116"/>
      <c r="G64" s="137">
        <f>'SEK - Safesprings tjänster 2025'!G64</f>
        <v>0.52777777777777779</v>
      </c>
      <c r="H64" s="147">
        <f t="shared" si="5"/>
        <v>380</v>
      </c>
      <c r="I64" s="84"/>
      <c r="J64" s="28"/>
      <c r="K64" s="134">
        <f t="shared" si="6"/>
        <v>0</v>
      </c>
      <c r="L64" s="120"/>
      <c r="M64" s="435"/>
      <c r="N64" s="117"/>
      <c r="O64" s="118"/>
    </row>
    <row r="65" spans="1:19" s="50" customFormat="1" ht="25" customHeight="1">
      <c r="A65" s="43"/>
      <c r="B65" s="135" t="s">
        <v>173</v>
      </c>
      <c r="C65" s="87">
        <v>2</v>
      </c>
      <c r="D65" s="87">
        <v>8</v>
      </c>
      <c r="E65" s="119">
        <v>0</v>
      </c>
      <c r="F65" s="119"/>
      <c r="G65" s="394">
        <f>'SEK - Safesprings tjänster 2025'!G65</f>
        <v>0.83333333333333337</v>
      </c>
      <c r="H65" s="151">
        <f t="shared" si="5"/>
        <v>600</v>
      </c>
      <c r="I65" s="84"/>
      <c r="J65" s="90"/>
      <c r="K65" s="136">
        <f t="shared" si="6"/>
        <v>0</v>
      </c>
      <c r="L65" s="120"/>
      <c r="M65" s="435"/>
      <c r="N65" s="117"/>
      <c r="O65" s="121"/>
    </row>
    <row r="66" spans="1:19" s="50" customFormat="1" ht="25" customHeight="1">
      <c r="A66" s="43"/>
      <c r="B66" s="133" t="s">
        <v>174</v>
      </c>
      <c r="C66" s="81">
        <v>4</v>
      </c>
      <c r="D66" s="81">
        <v>8</v>
      </c>
      <c r="E66" s="116">
        <v>0</v>
      </c>
      <c r="F66" s="116"/>
      <c r="G66" s="137">
        <f>'SEK - Safesprings tjänster 2025'!G66</f>
        <v>1.0555555555555556</v>
      </c>
      <c r="H66" s="147">
        <f t="shared" si="5"/>
        <v>760</v>
      </c>
      <c r="I66" s="84"/>
      <c r="J66" s="28"/>
      <c r="K66" s="134">
        <f t="shared" si="6"/>
        <v>0</v>
      </c>
      <c r="L66" s="120"/>
      <c r="M66" s="435"/>
      <c r="N66" s="117"/>
    </row>
    <row r="67" spans="1:19" s="50" customFormat="1" ht="25" customHeight="1">
      <c r="A67" s="43"/>
      <c r="B67" s="135" t="s">
        <v>175</v>
      </c>
      <c r="C67" s="87">
        <v>4</v>
      </c>
      <c r="D67" s="87">
        <v>16</v>
      </c>
      <c r="E67" s="119">
        <v>0</v>
      </c>
      <c r="F67" s="119"/>
      <c r="G67" s="394">
        <f>'SEK - Safesprings tjänster 2025'!G67</f>
        <v>1.6666666666666667</v>
      </c>
      <c r="H67" s="151">
        <f t="shared" si="5"/>
        <v>1200</v>
      </c>
      <c r="I67" s="84"/>
      <c r="J67" s="90"/>
      <c r="K67" s="136">
        <f t="shared" si="6"/>
        <v>0</v>
      </c>
      <c r="L67" s="120"/>
      <c r="M67" s="435"/>
    </row>
    <row r="68" spans="1:19" s="50" customFormat="1" ht="25" customHeight="1">
      <c r="A68" s="43"/>
      <c r="B68" s="133" t="s">
        <v>176</v>
      </c>
      <c r="C68" s="81">
        <v>8</v>
      </c>
      <c r="D68" s="81">
        <v>16</v>
      </c>
      <c r="E68" s="116">
        <v>0</v>
      </c>
      <c r="F68" s="116"/>
      <c r="G68" s="137">
        <f>'SEK - Safesprings tjänster 2025'!G68</f>
        <v>2.1111111111111112</v>
      </c>
      <c r="H68" s="147">
        <f t="shared" si="5"/>
        <v>1520</v>
      </c>
      <c r="I68" s="84"/>
      <c r="J68" s="28"/>
      <c r="K68" s="134">
        <f t="shared" si="6"/>
        <v>0</v>
      </c>
      <c r="L68" s="120"/>
      <c r="M68" s="435"/>
      <c r="N68" s="117"/>
    </row>
    <row r="69" spans="1:19" s="50" customFormat="1" ht="25" customHeight="1">
      <c r="A69" s="43"/>
      <c r="B69" s="135" t="s">
        <v>177</v>
      </c>
      <c r="C69" s="87">
        <v>8</v>
      </c>
      <c r="D69" s="87">
        <v>32</v>
      </c>
      <c r="E69" s="119">
        <v>0</v>
      </c>
      <c r="F69" s="119"/>
      <c r="G69" s="394">
        <f>'SEK - Safesprings tjänster 2025'!G69</f>
        <v>3.3333333333333335</v>
      </c>
      <c r="H69" s="151">
        <f t="shared" si="5"/>
        <v>2400</v>
      </c>
      <c r="I69" s="84"/>
      <c r="J69" s="90"/>
      <c r="K69" s="136">
        <f t="shared" si="6"/>
        <v>0</v>
      </c>
      <c r="L69" s="120"/>
      <c r="M69" s="435"/>
    </row>
    <row r="70" spans="1:19" s="50" customFormat="1" ht="25" customHeight="1">
      <c r="A70" s="43"/>
      <c r="B70" s="133" t="s">
        <v>178</v>
      </c>
      <c r="C70" s="81">
        <v>16</v>
      </c>
      <c r="D70" s="81">
        <v>32</v>
      </c>
      <c r="E70" s="116">
        <v>0</v>
      </c>
      <c r="F70" s="116"/>
      <c r="G70" s="137">
        <f>'SEK - Safesprings tjänster 2025'!G70</f>
        <v>4.2222222222222223</v>
      </c>
      <c r="H70" s="147">
        <f t="shared" si="5"/>
        <v>3040</v>
      </c>
      <c r="I70" s="84"/>
      <c r="J70" s="28"/>
      <c r="K70" s="134">
        <f t="shared" si="6"/>
        <v>0</v>
      </c>
      <c r="L70" s="120"/>
      <c r="M70" s="435"/>
    </row>
    <row r="71" spans="1:19" s="50" customFormat="1" ht="25" customHeight="1">
      <c r="A71" s="43"/>
      <c r="B71" s="135" t="s">
        <v>179</v>
      </c>
      <c r="C71" s="87">
        <v>16</v>
      </c>
      <c r="D71" s="87">
        <v>64</v>
      </c>
      <c r="E71" s="119">
        <v>0</v>
      </c>
      <c r="F71" s="119"/>
      <c r="G71" s="394">
        <f>'SEK - Safesprings tjänster 2025'!G71</f>
        <v>6.666666666666667</v>
      </c>
      <c r="H71" s="151">
        <f t="shared" si="5"/>
        <v>4800</v>
      </c>
      <c r="I71" s="84"/>
      <c r="J71" s="90"/>
      <c r="K71" s="136">
        <f t="shared" si="6"/>
        <v>0</v>
      </c>
      <c r="L71" s="120"/>
      <c r="M71" s="435"/>
    </row>
    <row r="72" spans="1:19" s="97" customFormat="1" ht="25" customHeight="1">
      <c r="A72" s="92"/>
      <c r="B72" s="93" t="s">
        <v>26</v>
      </c>
      <c r="C72" s="94">
        <f t="array" ref="C72">SUM(C62:C71*I62:I71)</f>
        <v>0</v>
      </c>
      <c r="D72" s="94">
        <f t="array" ref="D72">SUM(D62:D71*I62:I71)</f>
        <v>0</v>
      </c>
      <c r="E72" s="94"/>
      <c r="F72" s="94"/>
      <c r="G72" s="94"/>
      <c r="H72" s="94"/>
      <c r="I72" s="94" t="str">
        <f>SUM(I62:I71)&amp;" stk."</f>
        <v>0 stk.</v>
      </c>
      <c r="J72" s="94"/>
      <c r="K72" s="138">
        <f>SUM(K62:K71)</f>
        <v>0</v>
      </c>
      <c r="M72" s="435"/>
      <c r="P72" s="98"/>
      <c r="R72" s="98"/>
    </row>
    <row r="73" spans="1:19" s="50" customFormat="1" ht="25" customHeight="1">
      <c r="A73" s="43"/>
      <c r="B73" s="100"/>
      <c r="C73" s="100"/>
      <c r="D73" s="100"/>
      <c r="E73" s="101"/>
      <c r="F73" s="102"/>
      <c r="G73" s="103"/>
      <c r="H73" s="104"/>
      <c r="I73" s="105"/>
      <c r="J73" s="106"/>
      <c r="K73" s="124"/>
      <c r="M73" s="435"/>
      <c r="P73" s="62"/>
      <c r="R73" s="62"/>
    </row>
    <row r="74" spans="1:19" s="50" customFormat="1" ht="25" customHeight="1">
      <c r="A74" s="43"/>
      <c r="B74" s="100"/>
      <c r="C74" s="100"/>
      <c r="D74" s="100"/>
      <c r="E74" s="101"/>
      <c r="F74" s="102"/>
      <c r="G74" s="103"/>
      <c r="H74" s="104"/>
      <c r="I74" s="105"/>
      <c r="J74" s="106"/>
      <c r="K74" s="124"/>
      <c r="M74" s="435"/>
      <c r="P74" s="62"/>
      <c r="R74" s="62"/>
    </row>
    <row r="75" spans="1:19" ht="25" customHeight="1">
      <c r="B75" s="108"/>
      <c r="C75" s="109"/>
      <c r="D75" s="109"/>
      <c r="E75" s="109"/>
      <c r="F75" s="109"/>
      <c r="G75" s="110"/>
      <c r="H75" s="111"/>
      <c r="I75" s="111"/>
      <c r="J75" s="109"/>
      <c r="K75" s="125"/>
      <c r="M75" s="435"/>
      <c r="P75" s="62"/>
      <c r="Q75" s="62"/>
      <c r="R75" s="79"/>
    </row>
    <row r="76" spans="1:19" s="78" customFormat="1" ht="25" customHeight="1">
      <c r="A76" s="6"/>
      <c r="B76" s="64" t="s">
        <v>180</v>
      </c>
      <c r="C76" s="113"/>
      <c r="D76" s="113"/>
      <c r="K76" s="126"/>
      <c r="M76" s="435"/>
    </row>
    <row r="77" spans="1:19" ht="25" customHeight="1">
      <c r="B77" s="960" t="s">
        <v>669</v>
      </c>
      <c r="C77" s="960"/>
      <c r="D77" s="960"/>
      <c r="E77" s="960"/>
      <c r="M77" s="435"/>
    </row>
    <row r="78" spans="1:19" s="130" customFormat="1" ht="25" customHeight="1">
      <c r="A78" s="440"/>
      <c r="B78" s="74" t="s">
        <v>22</v>
      </c>
      <c r="C78" s="75" t="s">
        <v>11</v>
      </c>
      <c r="D78" s="75" t="s">
        <v>154</v>
      </c>
      <c r="E78" s="2" t="s">
        <v>155</v>
      </c>
      <c r="F78" s="1" t="s">
        <v>628</v>
      </c>
      <c r="G78" s="142" t="s">
        <v>237</v>
      </c>
      <c r="H78" s="2" t="s">
        <v>238</v>
      </c>
      <c r="I78" s="76" t="s">
        <v>439</v>
      </c>
      <c r="J78" s="75"/>
      <c r="K78" s="393" t="s">
        <v>33</v>
      </c>
      <c r="M78" s="435"/>
      <c r="O78" s="131"/>
      <c r="P78" s="132"/>
      <c r="Q78" s="132"/>
      <c r="R78" s="132"/>
      <c r="S78" s="131"/>
    </row>
    <row r="79" spans="1:19" s="50" customFormat="1" ht="25" customHeight="1">
      <c r="A79" s="43"/>
      <c r="B79" s="133" t="s">
        <v>23</v>
      </c>
      <c r="C79" s="81">
        <v>4</v>
      </c>
      <c r="D79" s="81">
        <v>16</v>
      </c>
      <c r="E79" s="116">
        <v>125</v>
      </c>
      <c r="F79" s="116" t="s">
        <v>629</v>
      </c>
      <c r="G79" s="137">
        <f>H79/720</f>
        <v>4.645833333333333</v>
      </c>
      <c r="H79" s="137">
        <f>C79*IAAS_vcpu_SEK+D79*IAAS_ram_SEK+E79*IAAS_nvme_SEK+1*IAAS_GPU_A2_SEK</f>
        <v>3345</v>
      </c>
      <c r="I79" s="84"/>
      <c r="J79" s="28"/>
      <c r="K79" s="134">
        <f>ROUNDUP(I79*H79,2)</f>
        <v>0</v>
      </c>
      <c r="M79" s="435"/>
      <c r="N79" s="117"/>
      <c r="O79" s="118"/>
    </row>
    <row r="80" spans="1:19" s="50" customFormat="1" ht="25" customHeight="1">
      <c r="A80" s="43"/>
      <c r="B80" s="135" t="s">
        <v>24</v>
      </c>
      <c r="C80" s="87">
        <v>8</v>
      </c>
      <c r="D80" s="87">
        <v>32</v>
      </c>
      <c r="E80" s="119">
        <v>250</v>
      </c>
      <c r="F80" s="119" t="s">
        <v>629</v>
      </c>
      <c r="G80" s="394">
        <f>H80/720</f>
        <v>6.4861111111111107</v>
      </c>
      <c r="H80" s="394">
        <f>C80*IAAS_vcpu_SEK+D80*IAAS_ram_SEK+E80*IAAS_nvme_SEK+1*IAAS_GPU_A2_SEK</f>
        <v>4670</v>
      </c>
      <c r="I80" s="84"/>
      <c r="J80" s="90"/>
      <c r="K80" s="136">
        <f>ROUNDUP(I80*H80,2)</f>
        <v>0</v>
      </c>
      <c r="L80" s="120"/>
      <c r="M80" s="435"/>
      <c r="N80" s="117"/>
      <c r="O80" s="118"/>
    </row>
    <row r="81" spans="1:20" s="50" customFormat="1" ht="25" customHeight="1">
      <c r="A81" s="43"/>
      <c r="B81" s="133" t="s">
        <v>25</v>
      </c>
      <c r="C81" s="81">
        <v>4</v>
      </c>
      <c r="D81" s="81">
        <v>8</v>
      </c>
      <c r="E81" s="116">
        <v>0</v>
      </c>
      <c r="F81" s="116" t="s">
        <v>629</v>
      </c>
      <c r="G81" s="137">
        <f>H81/720</f>
        <v>3.8611111111111112</v>
      </c>
      <c r="H81" s="137">
        <f>C81*IAAS_vcpu_SEK+D81*IAAS_ram_SEK+E81*IAAS_nvme_SEK+1*IAAS_GPU_A2_SEK</f>
        <v>2780</v>
      </c>
      <c r="I81" s="84"/>
      <c r="J81" s="28"/>
      <c r="K81" s="134">
        <f>ROUNDUP(I81*H81,2)</f>
        <v>0</v>
      </c>
      <c r="L81" s="120"/>
      <c r="M81" s="435"/>
      <c r="N81" s="117"/>
      <c r="O81" s="118"/>
    </row>
    <row r="82" spans="1:20" s="50" customFormat="1" ht="25" customHeight="1">
      <c r="A82" s="43"/>
      <c r="B82" s="396" t="s">
        <v>181</v>
      </c>
      <c r="C82" s="87">
        <v>8</v>
      </c>
      <c r="D82" s="87">
        <v>16</v>
      </c>
      <c r="E82" s="119">
        <v>0</v>
      </c>
      <c r="F82" s="119" t="s">
        <v>629</v>
      </c>
      <c r="G82" s="394">
        <f t="shared" ref="G82" si="7">H82/720</f>
        <v>4.916666666666667</v>
      </c>
      <c r="H82" s="394">
        <f>C82*IAAS_vcpu_SEK+D82*IAAS_ram_SEK+E82*IAAS_nvme_SEK+1*IAAS_GPU_A2_SEK</f>
        <v>3540</v>
      </c>
      <c r="I82" s="84"/>
      <c r="J82" s="90"/>
      <c r="K82" s="136">
        <f>ROUNDUP(I82*H82,2)</f>
        <v>0</v>
      </c>
      <c r="L82" s="120"/>
      <c r="M82" s="435"/>
      <c r="N82" s="117"/>
      <c r="O82" s="121"/>
    </row>
    <row r="83" spans="1:20" s="50" customFormat="1" ht="25" customHeight="1">
      <c r="A83" s="43"/>
      <c r="B83" s="133" t="s">
        <v>626</v>
      </c>
      <c r="C83" s="81">
        <v>32</v>
      </c>
      <c r="D83" s="81">
        <v>192</v>
      </c>
      <c r="E83" s="116">
        <v>0</v>
      </c>
      <c r="F83" s="116" t="s">
        <v>630</v>
      </c>
      <c r="G83" s="137">
        <f>H83/720</f>
        <v>33.366666666666667</v>
      </c>
      <c r="H83" s="137">
        <f>C83*IAAS_vcpu_SEK+D83*IAAS_ram_SEK+E83*IAAS_nvme_SEK+1*IAAS_GPU_H100_SEK</f>
        <v>24024</v>
      </c>
      <c r="I83" s="84"/>
      <c r="J83" s="28"/>
      <c r="K83" s="134">
        <f>ROUNDUP(I83*H83,2)</f>
        <v>0</v>
      </c>
      <c r="L83" s="120"/>
      <c r="M83" s="435"/>
      <c r="N83" s="117"/>
      <c r="O83" s="121"/>
    </row>
    <row r="84" spans="1:20" s="97" customFormat="1" ht="25" customHeight="1">
      <c r="A84" s="43"/>
      <c r="B84" s="93" t="s">
        <v>26</v>
      </c>
      <c r="C84" s="94" t="str">
        <f>SUMPRODUCT(C79:C83,I79:I83)&amp;" stk."</f>
        <v>0 stk.</v>
      </c>
      <c r="D84" s="94" t="str">
        <f>SUMPRODUCT(D79:D83,I79:I83)&amp;" GB"</f>
        <v>0 GB</v>
      </c>
      <c r="E84" s="94" t="str">
        <f>SUMPRODUCT(E79:E83,I79:I83)&amp;" GB"</f>
        <v>0 GB</v>
      </c>
      <c r="F84" s="94"/>
      <c r="G84" s="94"/>
      <c r="H84" s="94"/>
      <c r="I84" s="94" t="str">
        <f>SUM(I79:I83)&amp;" stk."</f>
        <v>0 stk.</v>
      </c>
      <c r="J84" s="94"/>
      <c r="K84" s="138">
        <f>SUM(K79:K83)</f>
        <v>0</v>
      </c>
      <c r="M84" s="435"/>
      <c r="N84" s="50"/>
      <c r="P84" s="98"/>
      <c r="R84" s="98"/>
    </row>
    <row r="85" spans="1:20" s="97" customFormat="1" ht="25" customHeight="1">
      <c r="A85" s="43"/>
      <c r="B85" s="920"/>
      <c r="C85" s="247"/>
      <c r="D85" s="247"/>
      <c r="E85" s="247"/>
      <c r="F85" s="247"/>
      <c r="G85" s="247"/>
      <c r="H85" s="247"/>
      <c r="I85" s="247"/>
      <c r="J85" s="247"/>
      <c r="K85" s="950"/>
      <c r="M85" s="435"/>
      <c r="N85" s="50"/>
      <c r="P85" s="98"/>
      <c r="R85" s="98"/>
    </row>
    <row r="86" spans="1:20" s="97" customFormat="1" ht="25" customHeight="1">
      <c r="A86" s="43"/>
      <c r="B86" s="920"/>
      <c r="C86" s="247"/>
      <c r="D86" s="247"/>
      <c r="E86" s="247"/>
      <c r="F86" s="247"/>
      <c r="G86" s="247"/>
      <c r="H86" s="247"/>
      <c r="I86" s="247"/>
      <c r="J86" s="247"/>
      <c r="K86" s="950"/>
      <c r="M86" s="435"/>
      <c r="N86" s="50"/>
      <c r="P86" s="98"/>
      <c r="R86" s="98"/>
    </row>
    <row r="87" spans="1:20" s="50" customFormat="1" ht="25" customHeight="1">
      <c r="A87" s="43"/>
      <c r="B87" s="170"/>
      <c r="C87" s="153"/>
      <c r="D87" s="153"/>
      <c r="E87" s="153"/>
      <c r="F87" s="153"/>
      <c r="G87" s="153"/>
      <c r="H87" s="154"/>
      <c r="I87" s="154"/>
      <c r="J87" s="154"/>
      <c r="K87" s="397"/>
      <c r="L87" s="171"/>
      <c r="M87" s="435"/>
      <c r="Q87" s="62"/>
      <c r="S87" s="62"/>
    </row>
    <row r="88" spans="1:20" ht="25" customHeight="1">
      <c r="B88" s="64" t="s">
        <v>241</v>
      </c>
      <c r="C88" s="156"/>
      <c r="D88" s="156"/>
      <c r="E88" s="156"/>
      <c r="F88" s="156"/>
      <c r="G88" s="156"/>
      <c r="H88" s="154"/>
      <c r="I88" s="154"/>
      <c r="J88" s="154"/>
      <c r="K88" s="397"/>
      <c r="L88" s="171"/>
      <c r="M88" s="435"/>
      <c r="N88" s="50"/>
      <c r="O88" s="50"/>
      <c r="P88" s="50"/>
      <c r="Q88" s="50"/>
      <c r="R88" s="62"/>
      <c r="S88" s="50"/>
      <c r="T88" s="79"/>
    </row>
    <row r="89" spans="1:20" ht="25" customHeight="1">
      <c r="B89" s="72" t="s">
        <v>240</v>
      </c>
      <c r="M89" s="435"/>
    </row>
    <row r="90" spans="1:20" s="175" customFormat="1" ht="25" customHeight="1">
      <c r="A90" s="178"/>
      <c r="B90" s="74" t="s">
        <v>22</v>
      </c>
      <c r="C90" s="172" t="s">
        <v>242</v>
      </c>
      <c r="D90" s="172"/>
      <c r="E90" s="172"/>
      <c r="F90" s="172"/>
      <c r="G90" s="1" t="s">
        <v>237</v>
      </c>
      <c r="H90" s="2" t="s">
        <v>238</v>
      </c>
      <c r="I90" s="173" t="s">
        <v>243</v>
      </c>
      <c r="J90" s="172"/>
      <c r="K90" s="399" t="s">
        <v>186</v>
      </c>
      <c r="L90" s="132"/>
      <c r="M90" s="435"/>
      <c r="N90" s="132"/>
      <c r="R90" s="176"/>
      <c r="S90" s="176"/>
      <c r="T90" s="177"/>
    </row>
    <row r="91" spans="1:20" s="50" customFormat="1" ht="25" customHeight="1">
      <c r="A91" s="43"/>
      <c r="B91" s="133" t="s">
        <v>39</v>
      </c>
      <c r="C91" s="179" t="s">
        <v>40</v>
      </c>
      <c r="D91" s="180"/>
      <c r="E91" s="180"/>
      <c r="F91" s="180"/>
      <c r="G91" s="400">
        <f>H91/720</f>
        <v>1.6666666666666666E-3</v>
      </c>
      <c r="H91" s="159">
        <f>VOLUME_large_SEK</f>
        <v>1.2</v>
      </c>
      <c r="I91" s="183"/>
      <c r="J91" s="184"/>
      <c r="K91" s="401">
        <f>ROUNDUP(I91*H91,2)</f>
        <v>0</v>
      </c>
      <c r="L91" s="154"/>
      <c r="M91" s="435"/>
    </row>
    <row r="92" spans="1:20" s="50" customFormat="1" ht="25" customHeight="1">
      <c r="A92" s="43"/>
      <c r="B92" s="135" t="s">
        <v>41</v>
      </c>
      <c r="C92" s="50" t="s">
        <v>42</v>
      </c>
      <c r="D92" s="167"/>
      <c r="E92" s="167"/>
      <c r="F92" s="167"/>
      <c r="G92" s="402">
        <f>H92/720</f>
        <v>5.0000000000000001E-3</v>
      </c>
      <c r="H92" s="162">
        <f>VOLUME_fast_SEK</f>
        <v>3.6</v>
      </c>
      <c r="I92" s="189"/>
      <c r="J92" s="190"/>
      <c r="K92" s="403">
        <f>ROUNDUP(I92*H92,2)</f>
        <v>0</v>
      </c>
      <c r="L92" s="154"/>
      <c r="M92" s="435"/>
      <c r="T92" s="62"/>
    </row>
    <row r="93" spans="1:20" s="50" customFormat="1" ht="25" customHeight="1">
      <c r="A93" s="43"/>
      <c r="B93" s="133" t="s">
        <v>43</v>
      </c>
      <c r="C93" s="179" t="s">
        <v>44</v>
      </c>
      <c r="D93" s="180"/>
      <c r="E93" s="180"/>
      <c r="F93" s="180"/>
      <c r="G93" s="400">
        <f>H93/720</f>
        <v>1.6666666666666666E-3</v>
      </c>
      <c r="H93" s="159">
        <f>VOLUME_large_SEK</f>
        <v>1.2</v>
      </c>
      <c r="I93" s="183"/>
      <c r="J93" s="184"/>
      <c r="K93" s="401">
        <f>ROUNDUP(I93*H93,2)</f>
        <v>0</v>
      </c>
      <c r="L93" s="154"/>
      <c r="M93" s="435"/>
    </row>
    <row r="94" spans="1:20" s="97" customFormat="1" ht="25" customHeight="1">
      <c r="A94" s="92"/>
      <c r="B94" s="93" t="s">
        <v>26</v>
      </c>
      <c r="C94" s="94"/>
      <c r="D94" s="94"/>
      <c r="E94" s="94"/>
      <c r="F94" s="94"/>
      <c r="G94" s="94"/>
      <c r="H94" s="94"/>
      <c r="I94" s="94" t="str">
        <f>SUM(I91:I93)&amp;" GB"</f>
        <v>0 GB</v>
      </c>
      <c r="J94" s="94"/>
      <c r="K94" s="138">
        <f>SUM(K91:K93)</f>
        <v>0</v>
      </c>
      <c r="M94" s="435"/>
      <c r="P94" s="98"/>
      <c r="R94" s="98"/>
    </row>
    <row r="95" spans="1:20" ht="25" customHeight="1">
      <c r="B95" s="168"/>
      <c r="C95" s="169"/>
      <c r="D95" s="169"/>
      <c r="E95" s="169"/>
      <c r="F95" s="169"/>
      <c r="G95" s="169"/>
      <c r="H95" s="167"/>
      <c r="I95" s="192"/>
      <c r="J95" s="192"/>
      <c r="K95" s="404"/>
      <c r="L95" s="194"/>
      <c r="M95" s="435"/>
    </row>
    <row r="96" spans="1:20" s="34" customFormat="1" ht="25" customHeight="1">
      <c r="A96" s="43"/>
      <c r="B96" s="168"/>
      <c r="C96" s="169"/>
      <c r="D96" s="169"/>
      <c r="E96" s="169"/>
      <c r="F96" s="169"/>
      <c r="G96" s="169"/>
      <c r="H96" s="192"/>
      <c r="I96" s="192"/>
      <c r="J96" s="192"/>
      <c r="K96" s="405"/>
      <c r="L96" s="195"/>
      <c r="M96" s="435"/>
    </row>
    <row r="97" spans="1:26" s="34" customFormat="1" ht="25" customHeight="1">
      <c r="A97" s="43"/>
      <c r="B97" s="957" t="s">
        <v>45</v>
      </c>
      <c r="C97" s="957"/>
      <c r="D97" s="957"/>
      <c r="E97" s="957"/>
      <c r="F97" s="957"/>
      <c r="G97" s="957"/>
      <c r="H97" s="46"/>
      <c r="J97" s="49"/>
      <c r="K97" s="390"/>
      <c r="M97" s="435"/>
    </row>
    <row r="98" spans="1:26" s="34" customFormat="1" ht="25" customHeight="1">
      <c r="A98" s="43"/>
      <c r="B98" s="957"/>
      <c r="C98" s="957"/>
      <c r="D98" s="957"/>
      <c r="E98" s="957"/>
      <c r="F98" s="957"/>
      <c r="G98" s="957"/>
      <c r="H98" s="46"/>
      <c r="J98" s="49"/>
      <c r="K98" s="390"/>
      <c r="M98" s="435"/>
    </row>
    <row r="99" spans="1:26" s="34" customFormat="1" ht="25" customHeight="1">
      <c r="A99" s="43"/>
      <c r="B99" s="957"/>
      <c r="C99" s="957"/>
      <c r="D99" s="957"/>
      <c r="E99" s="957"/>
      <c r="F99" s="957"/>
      <c r="G99" s="957"/>
      <c r="H99" s="46"/>
      <c r="J99" s="49"/>
      <c r="K99" s="390"/>
      <c r="M99" s="435"/>
    </row>
    <row r="100" spans="1:26" s="34" customFormat="1" ht="25" customHeight="1">
      <c r="A100" s="43"/>
      <c r="B100" s="51" t="s">
        <v>244</v>
      </c>
      <c r="C100" s="51"/>
      <c r="D100" s="51"/>
      <c r="E100" s="51"/>
      <c r="F100" s="51"/>
      <c r="H100" s="46"/>
      <c r="J100" s="49"/>
      <c r="K100" s="390"/>
      <c r="M100" s="435"/>
    </row>
    <row r="101" spans="1:26" s="200" customFormat="1" ht="25" customHeight="1">
      <c r="A101" s="43"/>
      <c r="B101" s="4" t="s">
        <v>245</v>
      </c>
      <c r="C101" s="4"/>
      <c r="D101" s="4"/>
      <c r="E101" s="4"/>
      <c r="F101" s="4"/>
      <c r="G101" s="196"/>
      <c r="H101" s="197"/>
      <c r="I101" s="196"/>
      <c r="J101" s="198"/>
      <c r="K101" s="406"/>
      <c r="L101" s="196"/>
      <c r="M101" s="435"/>
    </row>
    <row r="102" spans="1:26" s="34" customFormat="1" ht="25" customHeight="1">
      <c r="A102" s="43"/>
      <c r="B102" s="58" t="s">
        <v>236</v>
      </c>
      <c r="C102" s="436"/>
      <c r="D102" s="436"/>
      <c r="E102" s="60"/>
      <c r="F102" s="60"/>
      <c r="G102" s="53"/>
      <c r="H102" s="54"/>
      <c r="I102" s="53"/>
      <c r="J102" s="55"/>
      <c r="K102" s="391"/>
      <c r="L102" s="57"/>
      <c r="M102" s="435"/>
      <c r="S102" s="50"/>
      <c r="T102" s="50"/>
      <c r="U102" s="50"/>
      <c r="V102" s="50"/>
      <c r="W102" s="62"/>
      <c r="X102" s="154"/>
      <c r="Y102" s="50"/>
      <c r="Z102" s="50"/>
    </row>
    <row r="103" spans="1:26" s="50" customFormat="1" ht="25" customHeight="1">
      <c r="A103" s="43"/>
      <c r="B103" s="170"/>
      <c r="C103" s="153"/>
      <c r="D103" s="153"/>
      <c r="E103" s="153"/>
      <c r="F103" s="153"/>
      <c r="G103" s="153"/>
      <c r="H103" s="154"/>
      <c r="I103" s="154"/>
      <c r="J103" s="154"/>
      <c r="K103" s="397"/>
      <c r="L103" s="171"/>
      <c r="M103" s="435"/>
      <c r="R103" s="62"/>
      <c r="T103" s="62"/>
    </row>
    <row r="104" spans="1:26" s="34" customFormat="1" ht="25" customHeight="1">
      <c r="A104" s="43"/>
      <c r="B104" s="74" t="s">
        <v>22</v>
      </c>
      <c r="C104" s="202"/>
      <c r="D104" s="2"/>
      <c r="E104" s="2"/>
      <c r="F104" s="172"/>
      <c r="G104" s="2" t="s">
        <v>246</v>
      </c>
      <c r="H104" s="172"/>
      <c r="I104" s="173" t="s">
        <v>247</v>
      </c>
      <c r="J104" s="2"/>
      <c r="K104" s="399" t="s">
        <v>38</v>
      </c>
      <c r="L104" s="57"/>
      <c r="M104" s="435"/>
      <c r="N104" s="50"/>
    </row>
    <row r="105" spans="1:26" s="209" customFormat="1" ht="25" customHeight="1">
      <c r="A105" s="210"/>
      <c r="B105" s="133" t="s">
        <v>49</v>
      </c>
      <c r="C105" s="180" t="s">
        <v>654</v>
      </c>
      <c r="D105" s="203"/>
      <c r="E105" s="203"/>
      <c r="F105" s="204"/>
      <c r="G105" s="408">
        <f>S3_archive.50_SEK</f>
        <v>350</v>
      </c>
      <c r="H105" s="204"/>
      <c r="I105" s="206"/>
      <c r="J105" s="207"/>
      <c r="K105" s="409">
        <f>I105*G105</f>
        <v>0</v>
      </c>
      <c r="L105" s="208"/>
      <c r="M105" s="435"/>
      <c r="N105" s="167"/>
    </row>
    <row r="106" spans="1:26" s="50" customFormat="1" ht="25" customHeight="1">
      <c r="A106" s="43"/>
      <c r="B106" s="135" t="s">
        <v>50</v>
      </c>
      <c r="C106" s="50" t="s">
        <v>655</v>
      </c>
      <c r="D106" s="167"/>
      <c r="E106" s="167"/>
      <c r="F106" s="188"/>
      <c r="G106" s="410">
        <f>S3_storage50_SEK</f>
        <v>500</v>
      </c>
      <c r="H106" s="212"/>
      <c r="I106" s="213"/>
      <c r="J106" s="190"/>
      <c r="K106" s="403">
        <f>I106*G106</f>
        <v>0</v>
      </c>
      <c r="L106" s="154"/>
      <c r="M106" s="435"/>
      <c r="T106" s="62"/>
    </row>
    <row r="107" spans="1:26" s="97" customFormat="1" ht="25" customHeight="1">
      <c r="A107" s="92"/>
      <c r="B107" s="93" t="s">
        <v>26</v>
      </c>
      <c r="C107" s="94"/>
      <c r="D107" s="94"/>
      <c r="E107" s="94"/>
      <c r="F107" s="94"/>
      <c r="G107" s="94"/>
      <c r="H107" s="94"/>
      <c r="I107" s="94"/>
      <c r="J107" s="94"/>
      <c r="K107" s="138">
        <f>SUM(K105:K106)</f>
        <v>0</v>
      </c>
      <c r="M107" s="435"/>
      <c r="P107" s="98"/>
      <c r="R107" s="98"/>
    </row>
    <row r="108" spans="1:26" s="143" customFormat="1" ht="25" customHeight="1">
      <c r="A108" s="178"/>
      <c r="B108" s="4"/>
      <c r="C108" s="139"/>
      <c r="D108" s="60"/>
      <c r="E108" s="60"/>
      <c r="F108" s="60"/>
      <c r="G108" s="53"/>
      <c r="H108" s="54"/>
      <c r="I108" s="104"/>
      <c r="J108" s="61"/>
      <c r="K108" s="391"/>
      <c r="L108" s="57"/>
      <c r="M108" s="435"/>
      <c r="N108" s="175"/>
      <c r="O108" s="175"/>
      <c r="P108" s="175"/>
      <c r="Q108" s="175"/>
      <c r="R108" s="175"/>
      <c r="S108" s="175"/>
    </row>
    <row r="109" spans="1:26" ht="25" customHeight="1">
      <c r="B109" s="227"/>
      <c r="C109" s="228"/>
      <c r="D109" s="228"/>
      <c r="E109" s="228"/>
      <c r="F109" s="229"/>
      <c r="G109" s="230"/>
      <c r="H109" s="192"/>
      <c r="I109" s="192"/>
      <c r="J109" s="192"/>
      <c r="K109" s="404"/>
      <c r="L109" s="194"/>
      <c r="M109" s="435"/>
      <c r="N109" s="50"/>
      <c r="Q109" s="34"/>
    </row>
    <row r="110" spans="1:26" s="34" customFormat="1" ht="25" customHeight="1">
      <c r="A110" s="43"/>
      <c r="B110" s="957" t="s">
        <v>60</v>
      </c>
      <c r="C110" s="957"/>
      <c r="D110" s="957"/>
      <c r="E110" s="957"/>
      <c r="F110" s="957"/>
      <c r="G110" s="957"/>
      <c r="H110" s="46"/>
      <c r="J110" s="49"/>
      <c r="K110" s="390"/>
      <c r="L110" s="49"/>
      <c r="M110" s="435"/>
    </row>
    <row r="111" spans="1:26" s="34" customFormat="1" ht="25" customHeight="1">
      <c r="A111" s="43"/>
      <c r="B111" s="957"/>
      <c r="C111" s="957"/>
      <c r="D111" s="957"/>
      <c r="E111" s="957"/>
      <c r="F111" s="957"/>
      <c r="G111" s="957"/>
      <c r="H111" s="46"/>
      <c r="J111" s="49"/>
      <c r="K111" s="390"/>
      <c r="L111" s="49"/>
      <c r="M111" s="435"/>
    </row>
    <row r="112" spans="1:26" s="34" customFormat="1" ht="25" customHeight="1">
      <c r="A112" s="43"/>
      <c r="B112" s="957"/>
      <c r="C112" s="957"/>
      <c r="D112" s="957"/>
      <c r="E112" s="957"/>
      <c r="F112" s="957"/>
      <c r="G112" s="957"/>
      <c r="H112" s="46"/>
      <c r="J112" s="49"/>
      <c r="K112" s="390"/>
      <c r="L112" s="49"/>
      <c r="M112" s="435"/>
    </row>
    <row r="113" spans="1:32" s="34" customFormat="1" ht="25" customHeight="1">
      <c r="A113" s="43"/>
      <c r="B113" s="51" t="s">
        <v>248</v>
      </c>
      <c r="C113" s="51"/>
      <c r="D113" s="51"/>
      <c r="E113" s="51"/>
      <c r="F113" s="51"/>
      <c r="H113" s="46"/>
      <c r="J113" s="49"/>
      <c r="K113" s="390"/>
      <c r="L113" s="49"/>
      <c r="M113" s="435"/>
    </row>
    <row r="114" spans="1:32" s="34" customFormat="1" ht="25" customHeight="1">
      <c r="A114" s="43"/>
      <c r="B114" s="959" t="s">
        <v>235</v>
      </c>
      <c r="C114" s="959"/>
      <c r="D114" s="959"/>
      <c r="E114" s="959"/>
      <c r="F114" s="959"/>
      <c r="G114" s="53"/>
      <c r="H114" s="54"/>
      <c r="J114" s="55"/>
      <c r="K114" s="391"/>
      <c r="L114" s="57"/>
      <c r="M114" s="435"/>
      <c r="S114" s="50"/>
      <c r="T114" s="50"/>
      <c r="U114" s="50"/>
      <c r="V114" s="50"/>
      <c r="W114" s="50"/>
      <c r="X114" s="50"/>
      <c r="Y114" s="50"/>
      <c r="Z114" s="50"/>
    </row>
    <row r="115" spans="1:32" s="34" customFormat="1" ht="25" customHeight="1">
      <c r="A115" s="43"/>
      <c r="B115" s="58" t="s">
        <v>236</v>
      </c>
      <c r="C115" s="436"/>
      <c r="D115" s="436"/>
      <c r="E115" s="60"/>
      <c r="F115" s="60"/>
      <c r="G115" s="53"/>
      <c r="H115" s="54"/>
      <c r="I115" s="53"/>
      <c r="J115" s="55"/>
      <c r="K115" s="391"/>
      <c r="L115" s="57"/>
      <c r="M115" s="435"/>
      <c r="S115" s="50"/>
      <c r="T115" s="50"/>
      <c r="U115" s="50"/>
      <c r="V115" s="50"/>
      <c r="W115" s="62"/>
      <c r="X115" s="154"/>
      <c r="Y115" s="50"/>
      <c r="Z115" s="50"/>
    </row>
    <row r="116" spans="1:32" s="143" customFormat="1" ht="25" customHeight="1">
      <c r="A116" s="178"/>
      <c r="B116" s="232"/>
      <c r="C116" s="154"/>
      <c r="D116" s="154"/>
      <c r="E116" s="154"/>
      <c r="F116" s="154"/>
      <c r="G116" s="154"/>
      <c r="H116" s="154"/>
      <c r="I116" s="154"/>
      <c r="J116" s="154"/>
      <c r="K116" s="397"/>
      <c r="L116" s="154"/>
      <c r="M116" s="435"/>
      <c r="P116" s="175"/>
      <c r="Q116" s="175"/>
      <c r="R116" s="175"/>
      <c r="S116" s="175"/>
      <c r="T116" s="175"/>
      <c r="U116" s="175"/>
    </row>
    <row r="117" spans="1:32" ht="25" customHeight="1">
      <c r="B117" s="74" t="s">
        <v>22</v>
      </c>
      <c r="C117" s="233"/>
      <c r="D117" s="233"/>
      <c r="E117" s="172" t="s">
        <v>249</v>
      </c>
      <c r="F117" s="233"/>
      <c r="G117" s="172" t="s">
        <v>250</v>
      </c>
      <c r="H117" s="172"/>
      <c r="I117" s="173" t="s">
        <v>243</v>
      </c>
      <c r="J117" s="1" t="s">
        <v>251</v>
      </c>
      <c r="K117" s="399" t="s">
        <v>65</v>
      </c>
      <c r="L117" s="171"/>
      <c r="M117" s="435"/>
    </row>
    <row r="118" spans="1:32" ht="25" customHeight="1">
      <c r="B118" s="133" t="s">
        <v>66</v>
      </c>
      <c r="C118" s="180"/>
      <c r="D118" s="180"/>
      <c r="E118" s="235" t="s">
        <v>19</v>
      </c>
      <c r="F118" s="184"/>
      <c r="G118" s="412">
        <f>BAAS_on.demand_SEK</f>
        <v>2.4500000000000002</v>
      </c>
      <c r="H118" s="184"/>
      <c r="I118" s="206"/>
      <c r="J118" s="237" t="s">
        <v>19</v>
      </c>
      <c r="K118" s="401">
        <f>ROUNDUP(I118*G118,2)</f>
        <v>0</v>
      </c>
      <c r="L118" s="171"/>
      <c r="M118" s="435"/>
    </row>
    <row r="119" spans="1:32" ht="25" customHeight="1">
      <c r="B119" s="135" t="s">
        <v>67</v>
      </c>
      <c r="C119" s="167"/>
      <c r="D119" s="167"/>
      <c r="E119" s="277">
        <v>5500</v>
      </c>
      <c r="F119" s="190"/>
      <c r="G119" s="120">
        <f>BAAS_small_SEK</f>
        <v>1.75</v>
      </c>
      <c r="H119" s="190"/>
      <c r="I119" s="240"/>
      <c r="J119" s="241">
        <v>0.75</v>
      </c>
      <c r="K119" s="403">
        <f>IF(I119&gt;0,$E$119+$G$119*MAX(0,I119*(1-$J$119)-1000),0)</f>
        <v>0</v>
      </c>
      <c r="L119" s="171"/>
      <c r="M119" s="435"/>
    </row>
    <row r="120" spans="1:32" s="245" customFormat="1" ht="25" customHeight="1">
      <c r="A120" s="246"/>
      <c r="B120" s="164" t="s">
        <v>68</v>
      </c>
      <c r="C120" s="217"/>
      <c r="D120" s="217"/>
      <c r="E120" s="362">
        <v>9500</v>
      </c>
      <c r="F120" s="219"/>
      <c r="G120" s="412">
        <f>BAAS_large_SEK</f>
        <v>0.92</v>
      </c>
      <c r="H120" s="219"/>
      <c r="I120" s="243"/>
      <c r="J120" s="244">
        <v>0.75</v>
      </c>
      <c r="K120" s="411">
        <f>IF(I120&gt;0,$E$120+($G$120*(I120*(1-$J$120))),0)</f>
        <v>0</v>
      </c>
      <c r="L120" s="171"/>
      <c r="M120" s="435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2" s="97" customFormat="1" ht="25" customHeight="1">
      <c r="A121" s="92"/>
      <c r="B121" s="93" t="s">
        <v>26</v>
      </c>
      <c r="C121" s="94"/>
      <c r="D121" s="94"/>
      <c r="E121" s="94"/>
      <c r="F121" s="94"/>
      <c r="G121" s="94"/>
      <c r="H121" s="94"/>
      <c r="I121" s="94" t="str">
        <f>SUM(I118:I120)&amp;" GB"</f>
        <v>0 GB</v>
      </c>
      <c r="J121" s="94"/>
      <c r="K121" s="138">
        <f>SUM(K118:K120)</f>
        <v>0</v>
      </c>
      <c r="M121" s="435"/>
      <c r="P121" s="98"/>
      <c r="R121" s="98"/>
    </row>
    <row r="122" spans="1:32" s="245" customFormat="1" ht="25" customHeight="1">
      <c r="A122" s="246"/>
      <c r="B122" s="99"/>
      <c r="C122" s="139"/>
      <c r="D122" s="139"/>
      <c r="E122" s="139"/>
      <c r="F122" s="247"/>
      <c r="G122" s="104"/>
      <c r="H122" s="104"/>
      <c r="I122" s="104"/>
      <c r="J122" s="104"/>
      <c r="K122" s="413"/>
      <c r="L122" s="102"/>
      <c r="M122" s="435"/>
      <c r="O122" s="249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s="245" customFormat="1" ht="25" customHeight="1">
      <c r="A123" s="246"/>
      <c r="B123" s="99"/>
      <c r="C123" s="139"/>
      <c r="D123" s="139"/>
      <c r="E123" s="139"/>
      <c r="F123" s="103"/>
      <c r="G123" s="104"/>
      <c r="H123" s="104"/>
      <c r="I123" s="104"/>
      <c r="J123" s="104"/>
      <c r="K123" s="413"/>
      <c r="L123" s="102"/>
      <c r="M123" s="435"/>
      <c r="O123" s="249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s="143" customFormat="1" ht="25" customHeight="1">
      <c r="A124" s="178"/>
      <c r="B124" s="4"/>
      <c r="C124" s="139"/>
      <c r="D124" s="60"/>
      <c r="E124" s="60"/>
      <c r="F124" s="60"/>
      <c r="G124" s="53"/>
      <c r="H124" s="54"/>
      <c r="I124" s="53"/>
      <c r="J124" s="61"/>
      <c r="K124" s="391"/>
      <c r="L124" s="57"/>
      <c r="M124" s="435"/>
      <c r="N124" s="175"/>
      <c r="O124" s="175"/>
      <c r="P124" s="175"/>
      <c r="Q124" s="175"/>
      <c r="R124" s="175"/>
      <c r="S124" s="175"/>
    </row>
    <row r="125" spans="1:32" s="34" customFormat="1" ht="25" customHeight="1">
      <c r="A125" s="43"/>
      <c r="B125" s="957" t="s">
        <v>252</v>
      </c>
      <c r="C125" s="957"/>
      <c r="D125" s="957"/>
      <c r="E125" s="957"/>
      <c r="F125" s="957"/>
      <c r="G125" s="957"/>
      <c r="H125" s="46"/>
      <c r="J125" s="49"/>
      <c r="K125" s="390"/>
      <c r="M125" s="435"/>
    </row>
    <row r="126" spans="1:32" s="34" customFormat="1" ht="25" customHeight="1">
      <c r="A126" s="43"/>
      <c r="B126" s="957"/>
      <c r="C126" s="957"/>
      <c r="D126" s="957"/>
      <c r="E126" s="957"/>
      <c r="F126" s="957"/>
      <c r="G126" s="957"/>
      <c r="H126" s="46"/>
      <c r="J126" s="49"/>
      <c r="K126" s="390"/>
      <c r="M126" s="435"/>
    </row>
    <row r="127" spans="1:32" s="34" customFormat="1" ht="25" customHeight="1">
      <c r="A127" s="43"/>
      <c r="B127" s="957"/>
      <c r="C127" s="957"/>
      <c r="D127" s="957"/>
      <c r="E127" s="957"/>
      <c r="F127" s="957"/>
      <c r="G127" s="957"/>
      <c r="H127" s="46"/>
      <c r="J127" s="49"/>
      <c r="K127" s="390"/>
      <c r="M127" s="435"/>
    </row>
    <row r="128" spans="1:32" s="34" customFormat="1" ht="25" customHeight="1">
      <c r="A128" s="43"/>
      <c r="B128" s="959" t="s">
        <v>235</v>
      </c>
      <c r="C128" s="959"/>
      <c r="D128" s="959"/>
      <c r="E128" s="959"/>
      <c r="F128" s="959"/>
      <c r="G128" s="53"/>
      <c r="H128" s="54"/>
      <c r="J128" s="55"/>
      <c r="K128" s="391"/>
      <c r="L128" s="57"/>
      <c r="M128" s="435"/>
      <c r="S128" s="50"/>
      <c r="T128" s="50"/>
      <c r="U128" s="50"/>
      <c r="V128" s="50"/>
      <c r="W128" s="50"/>
      <c r="X128" s="50"/>
      <c r="Y128" s="50"/>
      <c r="Z128" s="50"/>
    </row>
    <row r="129" spans="1:19" s="34" customFormat="1" ht="25" customHeight="1">
      <c r="A129" s="43"/>
      <c r="B129" s="965"/>
      <c r="C129" s="965"/>
      <c r="D129" s="965"/>
      <c r="E129" s="965"/>
      <c r="F129" s="965"/>
      <c r="G129" s="53"/>
      <c r="H129" s="54"/>
      <c r="I129" s="53"/>
      <c r="J129" s="55"/>
      <c r="K129" s="391"/>
      <c r="L129" s="53"/>
      <c r="M129" s="435"/>
    </row>
    <row r="130" spans="1:19" s="34" customFormat="1" ht="25" customHeight="1">
      <c r="A130" s="43"/>
      <c r="B130" s="4"/>
      <c r="C130" s="60"/>
      <c r="D130" s="60"/>
      <c r="E130" s="60"/>
      <c r="F130" s="60"/>
      <c r="G130" s="53"/>
      <c r="H130" s="54"/>
      <c r="I130" s="53"/>
      <c r="J130" s="55"/>
      <c r="K130" s="391"/>
      <c r="L130" s="53"/>
      <c r="M130" s="435"/>
    </row>
    <row r="131" spans="1:19" s="154" customFormat="1" ht="25" customHeight="1">
      <c r="A131" s="43"/>
      <c r="B131" s="64" t="s">
        <v>253</v>
      </c>
      <c r="C131" s="60"/>
      <c r="D131" s="60"/>
      <c r="E131" s="60"/>
      <c r="F131" s="60"/>
      <c r="G131" s="53"/>
      <c r="H131" s="53"/>
      <c r="I131" s="53"/>
      <c r="J131" s="55"/>
      <c r="K131" s="391"/>
      <c r="L131" s="53"/>
      <c r="M131" s="435"/>
      <c r="N131" s="50"/>
      <c r="O131" s="50"/>
      <c r="P131" s="50"/>
      <c r="Q131" s="50"/>
      <c r="R131" s="50"/>
      <c r="S131" s="50"/>
    </row>
    <row r="132" spans="1:19" ht="25" customHeight="1">
      <c r="B132" s="72" t="s">
        <v>254</v>
      </c>
      <c r="M132" s="435"/>
    </row>
    <row r="133" spans="1:19" ht="25" customHeight="1">
      <c r="B133" s="252" t="s">
        <v>22</v>
      </c>
      <c r="C133" s="251" t="s">
        <v>255</v>
      </c>
      <c r="D133" s="251"/>
      <c r="E133" s="172" t="s">
        <v>242</v>
      </c>
      <c r="F133" s="172"/>
      <c r="G133" s="172"/>
      <c r="H133" s="172"/>
      <c r="I133" s="172"/>
      <c r="J133" s="251" t="s">
        <v>256</v>
      </c>
      <c r="K133" s="399" t="s">
        <v>257</v>
      </c>
      <c r="L133" s="131"/>
      <c r="M133" s="435"/>
      <c r="N133" s="194"/>
      <c r="O133" s="154"/>
    </row>
    <row r="134" spans="1:19" ht="25" customHeight="1">
      <c r="B134" s="133" t="s">
        <v>76</v>
      </c>
      <c r="C134" s="253" t="s">
        <v>77</v>
      </c>
      <c r="D134" s="253"/>
      <c r="E134" s="179" t="s">
        <v>677</v>
      </c>
      <c r="F134" s="184"/>
      <c r="G134" s="184"/>
      <c r="H134" s="184"/>
      <c r="I134" s="184"/>
      <c r="J134" s="254" t="s">
        <v>567</v>
      </c>
      <c r="K134" s="401">
        <f>NET_publicv4_SEK</f>
        <v>25</v>
      </c>
      <c r="M134" s="435"/>
      <c r="N134" s="194"/>
      <c r="O134" s="154"/>
    </row>
    <row r="135" spans="1:19" ht="25" customHeight="1">
      <c r="B135" s="135" t="s">
        <v>80</v>
      </c>
      <c r="C135" s="256" t="s">
        <v>81</v>
      </c>
      <c r="D135" s="256"/>
      <c r="E135" s="50" t="s">
        <v>677</v>
      </c>
      <c r="F135" s="257"/>
      <c r="G135" s="257"/>
      <c r="H135" s="257"/>
      <c r="I135" s="257"/>
      <c r="J135" s="258" t="s">
        <v>19</v>
      </c>
      <c r="K135" s="416">
        <f>NET_publicv6_SEK</f>
        <v>0</v>
      </c>
      <c r="M135" s="435"/>
      <c r="N135" s="194"/>
      <c r="O135" s="154"/>
    </row>
    <row r="136" spans="1:19" ht="25" customHeight="1">
      <c r="B136" s="133" t="s">
        <v>82</v>
      </c>
      <c r="C136" s="253" t="s">
        <v>258</v>
      </c>
      <c r="D136" s="253"/>
      <c r="E136" s="260"/>
      <c r="F136" s="261"/>
      <c r="G136" s="261"/>
      <c r="H136" s="261"/>
      <c r="I136" s="261"/>
      <c r="J136" s="254" t="s">
        <v>84</v>
      </c>
      <c r="K136" s="419">
        <f>NET_ingress_SEK</f>
        <v>0</v>
      </c>
      <c r="M136" s="435"/>
      <c r="N136" s="194"/>
      <c r="O136" s="154"/>
    </row>
    <row r="137" spans="1:19" ht="25" customHeight="1">
      <c r="B137" s="135" t="s">
        <v>85</v>
      </c>
      <c r="C137" s="256" t="s">
        <v>258</v>
      </c>
      <c r="D137" s="256"/>
      <c r="E137" s="50"/>
      <c r="F137" s="257"/>
      <c r="G137" s="257"/>
      <c r="H137" s="257"/>
      <c r="I137" s="257"/>
      <c r="J137" s="262" t="s">
        <v>84</v>
      </c>
      <c r="K137" s="416">
        <f>NET_egress_SEK</f>
        <v>0</v>
      </c>
      <c r="M137" s="435"/>
      <c r="N137" s="194"/>
      <c r="O137" s="154"/>
    </row>
    <row r="138" spans="1:19" ht="25" customHeight="1">
      <c r="B138" s="133" t="s">
        <v>86</v>
      </c>
      <c r="C138" s="253" t="s">
        <v>87</v>
      </c>
      <c r="D138" s="253"/>
      <c r="E138" s="184" t="s">
        <v>259</v>
      </c>
      <c r="F138" s="261"/>
      <c r="G138" s="261"/>
      <c r="H138" s="261"/>
      <c r="I138" s="261"/>
      <c r="J138" s="254" t="s">
        <v>209</v>
      </c>
      <c r="K138" s="419" t="s">
        <v>260</v>
      </c>
      <c r="M138" s="435"/>
    </row>
    <row r="139" spans="1:19" ht="25" customHeight="1">
      <c r="B139" s="135" t="s">
        <v>90</v>
      </c>
      <c r="C139" s="256" t="s">
        <v>91</v>
      </c>
      <c r="D139" s="256"/>
      <c r="E139" s="50"/>
      <c r="F139" s="257"/>
      <c r="G139" s="257"/>
      <c r="H139" s="257"/>
      <c r="I139" s="257"/>
      <c r="J139" s="258" t="s">
        <v>19</v>
      </c>
      <c r="K139" s="416">
        <f>NET_rdns_SEK</f>
        <v>0</v>
      </c>
      <c r="M139" s="435"/>
      <c r="N139" s="194"/>
      <c r="O139" s="154"/>
    </row>
    <row r="140" spans="1:19" ht="25" customHeight="1">
      <c r="B140" s="133" t="s">
        <v>92</v>
      </c>
      <c r="C140" s="253" t="s">
        <v>93</v>
      </c>
      <c r="D140" s="253"/>
      <c r="E140" s="184"/>
      <c r="F140" s="261"/>
      <c r="G140" s="261"/>
      <c r="H140" s="261"/>
      <c r="I140" s="261"/>
      <c r="J140" s="263" t="s">
        <v>19</v>
      </c>
      <c r="K140" s="419">
        <v>0</v>
      </c>
      <c r="M140" s="435"/>
      <c r="N140" s="194"/>
      <c r="O140" s="154"/>
    </row>
    <row r="141" spans="1:19" ht="25" customHeight="1">
      <c r="B141" s="264"/>
      <c r="C141" s="265"/>
      <c r="D141" s="266"/>
      <c r="E141" s="266"/>
      <c r="F141" s="266"/>
      <c r="G141" s="266"/>
      <c r="H141" s="266"/>
      <c r="I141" s="266"/>
      <c r="J141" s="265"/>
      <c r="K141" s="414"/>
      <c r="M141" s="435"/>
      <c r="N141" s="194"/>
      <c r="O141" s="154"/>
    </row>
    <row r="142" spans="1:19" ht="25" customHeight="1">
      <c r="C142" s="268"/>
      <c r="J142" s="268"/>
      <c r="M142" s="435"/>
      <c r="N142" s="194"/>
      <c r="O142" s="154"/>
    </row>
    <row r="143" spans="1:19" ht="25" customHeight="1">
      <c r="C143" s="268"/>
      <c r="J143" s="268"/>
      <c r="M143" s="435"/>
      <c r="N143" s="194"/>
      <c r="O143" s="154"/>
    </row>
    <row r="144" spans="1:19" ht="25" customHeight="1">
      <c r="B144" s="64" t="s">
        <v>261</v>
      </c>
      <c r="C144" s="131"/>
      <c r="D144" s="131"/>
      <c r="E144" s="131"/>
      <c r="F144" s="131"/>
      <c r="G144" s="131"/>
      <c r="H144" s="131"/>
      <c r="I144" s="131"/>
      <c r="J144" s="269"/>
      <c r="M144" s="435"/>
      <c r="N144" s="194"/>
      <c r="O144" s="154"/>
    </row>
    <row r="145" spans="2:18" ht="25" customHeight="1">
      <c r="B145" s="72" t="s">
        <v>262</v>
      </c>
      <c r="M145" s="435"/>
    </row>
    <row r="146" spans="2:18" ht="25" customHeight="1">
      <c r="B146" s="252" t="s">
        <v>22</v>
      </c>
      <c r="C146" s="251"/>
      <c r="D146" s="251"/>
      <c r="E146" s="172" t="s">
        <v>242</v>
      </c>
      <c r="F146" s="172"/>
      <c r="G146" s="172"/>
      <c r="H146" s="172"/>
      <c r="I146" s="172"/>
      <c r="J146" s="251" t="s">
        <v>256</v>
      </c>
      <c r="K146" s="399" t="s">
        <v>257</v>
      </c>
      <c r="M146" s="435"/>
      <c r="N146" s="194"/>
      <c r="O146" s="154"/>
    </row>
    <row r="147" spans="2:18" ht="25" customHeight="1">
      <c r="B147" s="133" t="s">
        <v>96</v>
      </c>
      <c r="C147" s="253"/>
      <c r="D147" s="184"/>
      <c r="E147" s="184" t="s">
        <v>97</v>
      </c>
      <c r="F147" s="184"/>
      <c r="G147" s="184"/>
      <c r="H147" s="184"/>
      <c r="I147" s="184"/>
      <c r="J147" s="254" t="s">
        <v>11</v>
      </c>
      <c r="K147" s="401">
        <f>SW_win.ser.201X_SEK</f>
        <v>175</v>
      </c>
      <c r="L147" s="192"/>
      <c r="M147" s="435"/>
      <c r="N147" s="194"/>
      <c r="O147" s="154"/>
      <c r="Q147" s="50"/>
      <c r="R147" s="50"/>
    </row>
    <row r="148" spans="2:18" ht="25" customHeight="1">
      <c r="B148" s="135" t="s">
        <v>98</v>
      </c>
      <c r="C148" s="256"/>
      <c r="D148" s="190"/>
      <c r="E148" s="190" t="s">
        <v>99</v>
      </c>
      <c r="F148" s="257"/>
      <c r="G148" s="257"/>
      <c r="H148" s="257"/>
      <c r="I148" s="257"/>
      <c r="J148" s="262" t="s">
        <v>11</v>
      </c>
      <c r="K148" s="403">
        <f>SW_ms.sql.ser_SEK</f>
        <v>1229</v>
      </c>
      <c r="L148" s="192"/>
      <c r="M148" s="435"/>
      <c r="N148" s="194"/>
      <c r="O148" s="154"/>
      <c r="Q148" s="50"/>
      <c r="R148" s="50"/>
    </row>
    <row r="149" spans="2:18" ht="25" customHeight="1">
      <c r="B149" s="133" t="s">
        <v>100</v>
      </c>
      <c r="C149" s="253"/>
      <c r="D149" s="184"/>
      <c r="E149" s="184" t="s">
        <v>101</v>
      </c>
      <c r="F149" s="184"/>
      <c r="G149" s="184"/>
      <c r="H149" s="184"/>
      <c r="I149" s="184"/>
      <c r="J149" s="254" t="s">
        <v>11</v>
      </c>
      <c r="K149" s="401">
        <f>SW_ms.sql.ser.ent_SEK</f>
        <v>4766</v>
      </c>
      <c r="L149" s="192"/>
      <c r="M149" s="435"/>
      <c r="N149" s="194"/>
      <c r="O149" s="154"/>
      <c r="Q149" s="50"/>
      <c r="R149" s="50"/>
    </row>
    <row r="150" spans="2:18" ht="25" customHeight="1">
      <c r="B150" s="270"/>
      <c r="C150" s="271"/>
      <c r="D150" s="272"/>
      <c r="E150" s="273"/>
      <c r="F150" s="274"/>
      <c r="G150" s="274"/>
      <c r="H150" s="274"/>
      <c r="I150" s="274"/>
      <c r="J150" s="275"/>
      <c r="K150" s="415"/>
      <c r="M150" s="435"/>
      <c r="N150" s="194"/>
      <c r="O150" s="154"/>
    </row>
    <row r="151" spans="2:18" ht="25" customHeight="1">
      <c r="B151" s="135"/>
      <c r="C151" s="256"/>
      <c r="D151" s="50"/>
      <c r="E151" s="277"/>
      <c r="F151" s="257"/>
      <c r="G151" s="257"/>
      <c r="H151" s="257"/>
      <c r="I151" s="257"/>
      <c r="J151" s="278"/>
      <c r="K151" s="416"/>
      <c r="M151" s="435"/>
      <c r="N151" s="194"/>
      <c r="O151" s="154"/>
    </row>
    <row r="152" spans="2:18" ht="25" customHeight="1">
      <c r="M152" s="435"/>
      <c r="N152" s="194"/>
      <c r="O152" s="154"/>
    </row>
    <row r="153" spans="2:18" ht="25" customHeight="1">
      <c r="B153" s="64" t="s">
        <v>664</v>
      </c>
      <c r="C153" s="131"/>
      <c r="D153" s="131"/>
      <c r="F153" s="131"/>
      <c r="G153" s="131"/>
      <c r="H153" s="131"/>
      <c r="I153" s="131"/>
      <c r="J153" s="131"/>
      <c r="M153" s="435"/>
      <c r="N153" s="194"/>
      <c r="O153" s="154"/>
    </row>
    <row r="154" spans="2:18" ht="25" customHeight="1">
      <c r="B154" s="72" t="s">
        <v>665</v>
      </c>
      <c r="M154" s="435"/>
    </row>
    <row r="155" spans="2:18" ht="25" customHeight="1">
      <c r="B155" s="252" t="s">
        <v>22</v>
      </c>
      <c r="C155" s="251"/>
      <c r="D155" s="251"/>
      <c r="E155" s="172" t="s">
        <v>242</v>
      </c>
      <c r="F155" s="172"/>
      <c r="G155" s="172"/>
      <c r="H155" s="172"/>
      <c r="I155" s="172"/>
      <c r="J155" s="2"/>
      <c r="K155" s="399" t="s">
        <v>257</v>
      </c>
      <c r="M155" s="435"/>
      <c r="N155" s="194"/>
      <c r="O155" s="154"/>
    </row>
    <row r="156" spans="2:18" ht="25" customHeight="1">
      <c r="B156" s="133" t="s">
        <v>647</v>
      </c>
      <c r="C156" s="253"/>
      <c r="D156" s="184"/>
      <c r="E156" s="184" t="s">
        <v>103</v>
      </c>
      <c r="F156" s="184"/>
      <c r="G156" s="184"/>
      <c r="H156" s="184"/>
      <c r="I156" s="184"/>
      <c r="J156" s="279"/>
      <c r="K156" s="401">
        <f>PAAS_man.elasticsearch_SEK</f>
        <v>2</v>
      </c>
      <c r="M156" s="435"/>
      <c r="N156" s="194"/>
      <c r="O156" s="154"/>
    </row>
    <row r="157" spans="2:18" ht="25" customHeight="1">
      <c r="B157" s="135" t="s">
        <v>653</v>
      </c>
      <c r="C157" s="256"/>
      <c r="D157" s="190"/>
      <c r="E157" s="190" t="s">
        <v>651</v>
      </c>
      <c r="F157" s="257"/>
      <c r="G157" s="257"/>
      <c r="H157" s="257"/>
      <c r="I157" s="257"/>
      <c r="J157" s="278"/>
      <c r="K157" s="403">
        <f>PAAS_man.mariadb_SEK</f>
        <v>2</v>
      </c>
      <c r="M157" s="435"/>
      <c r="N157" s="194"/>
      <c r="O157" s="154"/>
    </row>
    <row r="158" spans="2:18" ht="25" customHeight="1">
      <c r="B158" s="133" t="s">
        <v>648</v>
      </c>
      <c r="C158" s="253"/>
      <c r="D158" s="184"/>
      <c r="E158" s="184" t="s">
        <v>652</v>
      </c>
      <c r="F158" s="184"/>
      <c r="G158" s="184"/>
      <c r="H158" s="184"/>
      <c r="I158" s="184"/>
      <c r="J158" s="279"/>
      <c r="K158" s="401">
        <f>PAAS_man.elasticsearch_SEK</f>
        <v>2</v>
      </c>
      <c r="M158" s="435"/>
      <c r="N158" s="194"/>
      <c r="O158" s="154"/>
    </row>
    <row r="159" spans="2:18" ht="25" customHeight="1">
      <c r="B159" s="135" t="s">
        <v>649</v>
      </c>
      <c r="C159" s="256"/>
      <c r="D159" s="190"/>
      <c r="E159" s="190" t="s">
        <v>105</v>
      </c>
      <c r="F159" s="257"/>
      <c r="G159" s="257"/>
      <c r="H159" s="257"/>
      <c r="I159" s="257"/>
      <c r="J159" s="278"/>
      <c r="K159" s="403">
        <f>PAAS_man.redis_SEK</f>
        <v>2</v>
      </c>
      <c r="M159" s="435"/>
      <c r="N159" s="194"/>
      <c r="O159" s="154"/>
    </row>
    <row r="160" spans="2:18" ht="25" customHeight="1">
      <c r="B160" s="280" t="s">
        <v>650</v>
      </c>
      <c r="C160" s="253"/>
      <c r="D160" s="184"/>
      <c r="E160" s="184" t="s">
        <v>396</v>
      </c>
      <c r="F160" s="184"/>
      <c r="G160" s="184"/>
      <c r="H160" s="184"/>
      <c r="I160" s="184"/>
      <c r="J160" s="279"/>
      <c r="K160" s="401">
        <f>PAAS_man.nats_SEK</f>
        <v>2</v>
      </c>
      <c r="M160" s="435"/>
      <c r="N160" s="194"/>
      <c r="O160" s="154"/>
    </row>
    <row r="161" spans="1:20" ht="25" customHeight="1">
      <c r="B161" s="270"/>
      <c r="C161" s="271"/>
      <c r="D161" s="281"/>
      <c r="E161" s="273"/>
      <c r="F161" s="274"/>
      <c r="G161" s="274"/>
      <c r="H161" s="274"/>
      <c r="I161" s="274"/>
      <c r="J161" s="275"/>
      <c r="K161" s="415"/>
      <c r="M161" s="435"/>
      <c r="N161" s="194"/>
      <c r="O161" s="154"/>
    </row>
    <row r="162" spans="1:20" ht="25" customHeight="1">
      <c r="B162" s="135"/>
      <c r="C162" s="256"/>
      <c r="D162" s="190"/>
      <c r="E162" s="277"/>
      <c r="F162" s="257"/>
      <c r="G162" s="278"/>
      <c r="H162" s="262"/>
      <c r="I162" s="282"/>
      <c r="M162" s="435"/>
    </row>
    <row r="163" spans="1:20" ht="25" customHeight="1">
      <c r="B163" s="283"/>
      <c r="C163" s="228"/>
      <c r="D163" s="228"/>
      <c r="E163" s="228"/>
      <c r="F163" s="229"/>
      <c r="G163" s="230"/>
      <c r="H163" s="228"/>
      <c r="I163" s="192"/>
      <c r="J163" s="192"/>
      <c r="K163" s="404"/>
      <c r="L163" s="194"/>
      <c r="M163" s="435"/>
      <c r="N163" s="50"/>
      <c r="O163" s="50"/>
    </row>
    <row r="164" spans="1:20" s="34" customFormat="1" ht="25" customHeight="1">
      <c r="A164" s="43"/>
      <c r="B164" s="957" t="s">
        <v>263</v>
      </c>
      <c r="C164" s="957"/>
      <c r="D164" s="957"/>
      <c r="E164" s="957"/>
      <c r="F164" s="957"/>
      <c r="G164" s="957"/>
      <c r="H164" s="284"/>
      <c r="J164" s="49"/>
      <c r="K164" s="390"/>
      <c r="M164" s="435"/>
    </row>
    <row r="165" spans="1:20" s="34" customFormat="1" ht="25" customHeight="1">
      <c r="A165" s="43"/>
      <c r="B165" s="957"/>
      <c r="C165" s="957"/>
      <c r="D165" s="957"/>
      <c r="E165" s="957"/>
      <c r="F165" s="957"/>
      <c r="G165" s="957"/>
      <c r="H165" s="284"/>
      <c r="J165" s="49"/>
      <c r="K165" s="390"/>
      <c r="M165" s="435"/>
    </row>
    <row r="166" spans="1:20" s="34" customFormat="1" ht="25" customHeight="1">
      <c r="A166" s="43"/>
      <c r="B166" s="957"/>
      <c r="C166" s="957"/>
      <c r="D166" s="957"/>
      <c r="E166" s="957"/>
      <c r="F166" s="957"/>
      <c r="G166" s="957"/>
      <c r="H166" s="284"/>
      <c r="J166" s="49"/>
      <c r="K166" s="390"/>
      <c r="M166" s="435"/>
    </row>
    <row r="167" spans="1:20" s="34" customFormat="1" ht="25" customHeight="1">
      <c r="A167" s="43"/>
      <c r="B167" s="961" t="s">
        <v>264</v>
      </c>
      <c r="C167" s="961"/>
      <c r="D167" s="961"/>
      <c r="E167" s="961"/>
      <c r="F167" s="961"/>
      <c r="H167" s="284"/>
      <c r="J167" s="49"/>
      <c r="K167" s="390"/>
      <c r="M167" s="435"/>
    </row>
    <row r="168" spans="1:20" s="34" customFormat="1" ht="25" customHeight="1">
      <c r="A168" s="43"/>
      <c r="B168" s="959" t="s">
        <v>235</v>
      </c>
      <c r="C168" s="959"/>
      <c r="D168" s="959"/>
      <c r="E168" s="959"/>
      <c r="F168" s="959"/>
      <c r="G168" s="53"/>
      <c r="H168" s="54"/>
      <c r="I168" s="53"/>
      <c r="J168" s="55"/>
      <c r="K168" s="391"/>
      <c r="L168" s="53"/>
      <c r="M168" s="435"/>
    </row>
    <row r="169" spans="1:20" s="34" customFormat="1" ht="25" customHeight="1">
      <c r="A169" s="43"/>
      <c r="B169" s="4"/>
      <c r="C169" s="60"/>
      <c r="D169" s="60"/>
      <c r="E169" s="60"/>
      <c r="F169" s="60"/>
      <c r="G169" s="53"/>
      <c r="H169" s="54"/>
      <c r="I169" s="53"/>
      <c r="J169" s="55"/>
      <c r="K169" s="391"/>
      <c r="L169" s="53"/>
      <c r="M169" s="435"/>
    </row>
    <row r="170" spans="1:20" ht="25" customHeight="1">
      <c r="B170" s="64" t="s">
        <v>108</v>
      </c>
      <c r="C170" s="131"/>
      <c r="D170" s="131"/>
      <c r="F170" s="131"/>
      <c r="G170" s="131"/>
      <c r="H170" s="131"/>
      <c r="I170" s="131"/>
      <c r="J170" s="131"/>
      <c r="K170" s="418"/>
      <c r="L170" s="131"/>
      <c r="M170" s="435"/>
      <c r="O170" s="194"/>
      <c r="P170" s="194"/>
      <c r="Q170" s="154"/>
      <c r="S170" s="50"/>
      <c r="T170" s="50"/>
    </row>
    <row r="171" spans="1:20" ht="25" customHeight="1">
      <c r="B171" s="72" t="s">
        <v>265</v>
      </c>
      <c r="M171" s="435"/>
    </row>
    <row r="172" spans="1:20" ht="25" customHeight="1">
      <c r="B172" s="252" t="s">
        <v>22</v>
      </c>
      <c r="C172" s="251"/>
      <c r="D172" s="172" t="s">
        <v>242</v>
      </c>
      <c r="E172" s="1"/>
      <c r="F172" s="172"/>
      <c r="G172" s="2"/>
      <c r="H172" s="2"/>
      <c r="I172" s="251" t="s">
        <v>256</v>
      </c>
      <c r="J172" s="251"/>
      <c r="K172" s="399" t="s">
        <v>69</v>
      </c>
      <c r="L172" s="192"/>
      <c r="M172" s="435"/>
      <c r="N172" s="194"/>
      <c r="O172" s="154"/>
      <c r="Q172" s="50"/>
      <c r="R172" s="50"/>
    </row>
    <row r="173" spans="1:20" ht="25" customHeight="1">
      <c r="B173" s="133" t="s">
        <v>110</v>
      </c>
      <c r="C173" s="253"/>
      <c r="D173" s="184" t="s">
        <v>266</v>
      </c>
      <c r="E173" s="279"/>
      <c r="F173" s="184"/>
      <c r="G173" s="279"/>
      <c r="H173" s="279"/>
      <c r="I173" s="263" t="s">
        <v>19</v>
      </c>
      <c r="J173" s="263"/>
      <c r="K173" s="419">
        <v>0</v>
      </c>
      <c r="L173" s="192"/>
      <c r="M173" s="435"/>
      <c r="N173" s="194"/>
      <c r="O173" s="154"/>
      <c r="Q173" s="50"/>
      <c r="R173" s="50"/>
    </row>
    <row r="174" spans="1:20" ht="25" customHeight="1">
      <c r="B174" s="135" t="s">
        <v>112</v>
      </c>
      <c r="C174" s="256"/>
      <c r="D174" s="190" t="s">
        <v>267</v>
      </c>
      <c r="E174" s="277"/>
      <c r="F174" s="257"/>
      <c r="G174" s="278"/>
      <c r="H174" s="278"/>
      <c r="I174" s="262" t="s">
        <v>475</v>
      </c>
      <c r="J174" s="262"/>
      <c r="K174" s="416" t="s">
        <v>260</v>
      </c>
      <c r="L174" s="192"/>
      <c r="M174" s="435"/>
      <c r="N174" s="194"/>
      <c r="O174" s="154"/>
      <c r="Q174" s="50"/>
      <c r="R174" s="50"/>
    </row>
    <row r="175" spans="1:20" ht="25" customHeight="1">
      <c r="B175" s="270"/>
      <c r="C175" s="271"/>
      <c r="D175" s="271"/>
      <c r="E175" s="273"/>
      <c r="F175" s="274"/>
      <c r="G175" s="275"/>
      <c r="H175" s="275"/>
      <c r="I175" s="286"/>
      <c r="J175" s="286"/>
      <c r="K175" s="415"/>
      <c r="L175" s="192"/>
      <c r="M175" s="435"/>
      <c r="N175" s="194"/>
      <c r="O175" s="154"/>
      <c r="Q175" s="50"/>
      <c r="R175" s="50"/>
    </row>
    <row r="176" spans="1:20" ht="25" customHeight="1">
      <c r="B176" s="135"/>
      <c r="C176" s="256"/>
      <c r="D176" s="190"/>
      <c r="E176" s="277"/>
      <c r="F176" s="257"/>
      <c r="G176" s="278"/>
      <c r="H176" s="278"/>
      <c r="I176" s="262"/>
      <c r="J176" s="262"/>
      <c r="K176" s="416"/>
      <c r="L176" s="192"/>
      <c r="M176" s="435"/>
      <c r="N176" s="194"/>
      <c r="O176" s="154"/>
      <c r="Q176" s="50"/>
      <c r="R176" s="50"/>
    </row>
    <row r="177" spans="1:18" s="78" customFormat="1" ht="25" customHeight="1">
      <c r="A177" s="6"/>
      <c r="B177" s="64" t="s">
        <v>268</v>
      </c>
      <c r="C177" s="287"/>
      <c r="D177" s="287"/>
      <c r="F177" s="287"/>
      <c r="G177" s="287"/>
      <c r="H177" s="287"/>
      <c r="I177" s="288"/>
      <c r="J177" s="288"/>
      <c r="K177" s="420"/>
      <c r="L177" s="290"/>
      <c r="M177" s="435"/>
      <c r="N177" s="291"/>
      <c r="O177" s="292"/>
      <c r="Q177" s="292"/>
      <c r="R177" s="292"/>
    </row>
    <row r="178" spans="1:18" ht="25" customHeight="1">
      <c r="B178" s="72" t="s">
        <v>269</v>
      </c>
      <c r="M178" s="435"/>
    </row>
    <row r="179" spans="1:18" ht="25" customHeight="1">
      <c r="B179" s="252" t="s">
        <v>22</v>
      </c>
      <c r="C179" s="251"/>
      <c r="D179" s="172" t="s">
        <v>242</v>
      </c>
      <c r="E179" s="1"/>
      <c r="F179" s="172"/>
      <c r="G179" s="2"/>
      <c r="H179" s="2"/>
      <c r="I179" s="251" t="s">
        <v>256</v>
      </c>
      <c r="J179" s="251"/>
      <c r="K179" s="399" t="s">
        <v>69</v>
      </c>
      <c r="L179" s="192"/>
      <c r="M179" s="435"/>
      <c r="N179" s="194"/>
      <c r="O179" s="154"/>
      <c r="Q179" s="50"/>
      <c r="R179" s="50"/>
    </row>
    <row r="180" spans="1:18" ht="25" customHeight="1">
      <c r="B180" s="133" t="s">
        <v>118</v>
      </c>
      <c r="C180" s="253"/>
      <c r="D180" s="184" t="s">
        <v>119</v>
      </c>
      <c r="E180" s="279"/>
      <c r="F180" s="184"/>
      <c r="G180" s="279"/>
      <c r="H180" s="279"/>
      <c r="I180" s="254" t="s">
        <v>475</v>
      </c>
      <c r="J180" s="254"/>
      <c r="K180" s="409">
        <f>PS_consult.jun_SEK</f>
        <v>1127</v>
      </c>
      <c r="L180" s="192"/>
      <c r="M180" s="435"/>
      <c r="N180" s="194"/>
      <c r="O180" s="154"/>
      <c r="Q180" s="50"/>
      <c r="R180" s="50"/>
    </row>
    <row r="181" spans="1:18" ht="25" customHeight="1">
      <c r="B181" s="135" t="s">
        <v>120</v>
      </c>
      <c r="C181" s="256"/>
      <c r="D181" s="190" t="s">
        <v>121</v>
      </c>
      <c r="E181" s="277"/>
      <c r="F181" s="257"/>
      <c r="G181" s="278"/>
      <c r="H181" s="278"/>
      <c r="I181" s="262" t="s">
        <v>475</v>
      </c>
      <c r="J181" s="262"/>
      <c r="K181" s="417">
        <f>PS_consult.sen_SEK</f>
        <v>1374</v>
      </c>
      <c r="L181" s="192"/>
      <c r="M181" s="435"/>
      <c r="N181" s="194"/>
      <c r="O181" s="154"/>
      <c r="Q181" s="50"/>
      <c r="R181" s="50"/>
    </row>
    <row r="182" spans="1:18" ht="25" customHeight="1">
      <c r="B182" s="133" t="s">
        <v>122</v>
      </c>
      <c r="C182" s="253"/>
      <c r="D182" s="184" t="s">
        <v>123</v>
      </c>
      <c r="E182" s="279"/>
      <c r="F182" s="184"/>
      <c r="G182" s="279"/>
      <c r="H182" s="279"/>
      <c r="I182" s="254" t="s">
        <v>475</v>
      </c>
      <c r="J182" s="254"/>
      <c r="K182" s="409">
        <f>PS_cloudarch.jun_SEK</f>
        <v>1277</v>
      </c>
      <c r="L182" s="192"/>
      <c r="M182" s="435"/>
      <c r="N182" s="194"/>
      <c r="O182" s="154"/>
      <c r="Q182" s="50"/>
      <c r="R182" s="50"/>
    </row>
    <row r="183" spans="1:18" ht="25" customHeight="1">
      <c r="B183" s="135" t="s">
        <v>124</v>
      </c>
      <c r="C183" s="256"/>
      <c r="D183" s="190" t="s">
        <v>125</v>
      </c>
      <c r="E183" s="190"/>
      <c r="F183" s="190"/>
      <c r="G183" s="278"/>
      <c r="H183" s="278"/>
      <c r="I183" s="262" t="s">
        <v>475</v>
      </c>
      <c r="J183" s="262"/>
      <c r="K183" s="417">
        <f>PS_cloudarch.sen_SEK</f>
        <v>1374</v>
      </c>
      <c r="L183" s="192"/>
      <c r="M183" s="435"/>
      <c r="N183" s="194"/>
      <c r="O183" s="154"/>
      <c r="Q183" s="50"/>
      <c r="R183" s="50"/>
    </row>
    <row r="184" spans="1:18" ht="25" customHeight="1">
      <c r="B184" s="133" t="s">
        <v>126</v>
      </c>
      <c r="C184" s="253"/>
      <c r="D184" s="184" t="s">
        <v>127</v>
      </c>
      <c r="E184" s="279"/>
      <c r="F184" s="184"/>
      <c r="G184" s="279"/>
      <c r="H184" s="279"/>
      <c r="I184" s="254" t="s">
        <v>475</v>
      </c>
      <c r="J184" s="254"/>
      <c r="K184" s="409">
        <f>PS_pm.jun_SEK</f>
        <v>1139</v>
      </c>
      <c r="L184" s="192"/>
      <c r="M184" s="435"/>
      <c r="N184" s="194"/>
      <c r="O184" s="154"/>
      <c r="Q184" s="50"/>
      <c r="R184" s="50"/>
    </row>
    <row r="185" spans="1:18" ht="25" customHeight="1">
      <c r="B185" s="135" t="s">
        <v>128</v>
      </c>
      <c r="C185" s="256"/>
      <c r="D185" s="190" t="s">
        <v>129</v>
      </c>
      <c r="E185" s="277"/>
      <c r="F185" s="257"/>
      <c r="G185" s="278"/>
      <c r="H185" s="278"/>
      <c r="I185" s="262" t="s">
        <v>475</v>
      </c>
      <c r="J185" s="262"/>
      <c r="K185" s="417">
        <f>PS_pm.sen_SEK</f>
        <v>1374</v>
      </c>
      <c r="L185" s="192"/>
      <c r="M185" s="435"/>
      <c r="N185" s="194"/>
      <c r="O185" s="154"/>
      <c r="Q185" s="50"/>
      <c r="R185" s="50"/>
    </row>
    <row r="186" spans="1:18" ht="25" customHeight="1">
      <c r="B186" s="270"/>
      <c r="C186" s="271"/>
      <c r="D186" s="281"/>
      <c r="E186" s="273"/>
      <c r="F186" s="274"/>
      <c r="G186" s="275"/>
      <c r="H186" s="275"/>
      <c r="I186" s="286"/>
      <c r="J186" s="286"/>
      <c r="K186" s="415"/>
      <c r="L186" s="192"/>
      <c r="M186" s="435"/>
      <c r="N186" s="194"/>
      <c r="O186" s="154"/>
      <c r="Q186" s="50"/>
      <c r="R186" s="50"/>
    </row>
    <row r="187" spans="1:18" ht="25" customHeight="1">
      <c r="A187" s="295"/>
      <c r="B187" s="296"/>
      <c r="C187" s="297"/>
      <c r="D187" s="297"/>
      <c r="E187" s="297"/>
      <c r="F187" s="298"/>
      <c r="G187" s="299"/>
      <c r="H187" s="300"/>
      <c r="I187" s="300"/>
      <c r="J187" s="301"/>
      <c r="K187" s="421"/>
      <c r="L187" s="303"/>
      <c r="M187" s="435"/>
      <c r="N187" s="50"/>
      <c r="O187" s="50"/>
    </row>
    <row r="188" spans="1:18" s="34" customFormat="1" ht="25" customHeight="1">
      <c r="A188" s="26"/>
      <c r="B188" s="304"/>
      <c r="C188" s="305"/>
      <c r="D188" s="305"/>
      <c r="E188" s="305"/>
      <c r="F188" s="306"/>
      <c r="G188" s="307"/>
      <c r="H188" s="308"/>
      <c r="I188" s="308"/>
      <c r="J188" s="309"/>
      <c r="K188" s="422"/>
      <c r="L188" s="29"/>
      <c r="M188" s="435"/>
    </row>
    <row r="189" spans="1:18" s="34" customFormat="1" ht="25" customHeight="1">
      <c r="A189" s="26"/>
      <c r="B189" s="304"/>
      <c r="C189" s="305"/>
      <c r="D189" s="305"/>
      <c r="E189" s="305"/>
      <c r="F189" s="306"/>
      <c r="G189" s="307"/>
      <c r="H189" s="308"/>
      <c r="I189" s="308"/>
      <c r="J189" s="309"/>
      <c r="K189" s="422"/>
      <c r="L189" s="29"/>
      <c r="M189" s="435"/>
    </row>
    <row r="190" spans="1:18" s="34" customFormat="1" ht="25" customHeight="1">
      <c r="A190" s="26"/>
      <c r="B190" s="304"/>
      <c r="C190" s="305"/>
      <c r="D190" s="305"/>
      <c r="E190" s="305"/>
      <c r="F190" s="306"/>
      <c r="G190" s="307"/>
      <c r="H190" s="308"/>
      <c r="I190" s="308"/>
      <c r="J190" s="309"/>
      <c r="K190" s="422"/>
      <c r="L190" s="29"/>
      <c r="M190" s="435"/>
    </row>
    <row r="191" spans="1:18" s="34" customFormat="1" ht="25" customHeight="1">
      <c r="A191" s="26"/>
      <c r="B191" s="962" t="s">
        <v>272</v>
      </c>
      <c r="C191" s="962"/>
      <c r="D191" s="962"/>
      <c r="E191" s="962"/>
      <c r="F191" s="962"/>
      <c r="G191" s="962"/>
      <c r="H191" s="31"/>
      <c r="I191" s="148"/>
      <c r="J191" s="29"/>
      <c r="K191" s="388"/>
      <c r="L191" s="29"/>
      <c r="M191" s="435"/>
    </row>
    <row r="192" spans="1:18" s="34" customFormat="1" ht="25" customHeight="1">
      <c r="A192" s="26"/>
      <c r="B192" s="962"/>
      <c r="C192" s="962"/>
      <c r="D192" s="962"/>
      <c r="E192" s="962"/>
      <c r="F192" s="962"/>
      <c r="G192" s="962"/>
      <c r="H192" s="31"/>
      <c r="I192" s="148"/>
      <c r="J192" s="29"/>
      <c r="K192" s="388"/>
      <c r="L192" s="29"/>
      <c r="M192" s="435"/>
    </row>
    <row r="193" spans="1:20" s="34" customFormat="1" ht="25" customHeight="1">
      <c r="A193" s="26"/>
      <c r="B193" s="962"/>
      <c r="C193" s="962"/>
      <c r="D193" s="962"/>
      <c r="E193" s="962"/>
      <c r="F193" s="962"/>
      <c r="G193" s="962"/>
      <c r="H193" s="31"/>
      <c r="I193" s="148"/>
      <c r="J193" s="29"/>
      <c r="K193" s="388"/>
      <c r="L193" s="29"/>
      <c r="M193" s="435"/>
    </row>
    <row r="194" spans="1:20" s="34" customFormat="1" ht="25" customHeight="1">
      <c r="A194" s="26"/>
      <c r="B194" s="963" t="s">
        <v>235</v>
      </c>
      <c r="C194" s="963"/>
      <c r="D194" s="963"/>
      <c r="E194" s="963"/>
      <c r="F194" s="963"/>
      <c r="G194" s="29"/>
      <c r="H194" s="31"/>
      <c r="I194" s="148"/>
      <c r="J194" s="29"/>
      <c r="K194" s="388"/>
      <c r="L194" s="312"/>
      <c r="M194" s="435"/>
    </row>
    <row r="195" spans="1:20" s="34" customFormat="1" ht="25" customHeight="1">
      <c r="A195" s="26"/>
      <c r="B195" s="27"/>
      <c r="C195" s="28"/>
      <c r="D195" s="28"/>
      <c r="E195" s="28"/>
      <c r="F195" s="28"/>
      <c r="G195" s="29"/>
      <c r="H195" s="31"/>
      <c r="I195" s="148"/>
      <c r="J195" s="29"/>
      <c r="K195" s="388"/>
      <c r="L195" s="312"/>
      <c r="M195" s="435"/>
    </row>
    <row r="196" spans="1:20" s="34" customFormat="1" ht="25" customHeight="1">
      <c r="A196" s="26"/>
      <c r="B196" s="21" t="s">
        <v>273</v>
      </c>
      <c r="C196" s="28"/>
      <c r="D196" s="28"/>
      <c r="E196" s="28"/>
      <c r="F196" s="28"/>
      <c r="G196" s="29"/>
      <c r="H196" s="31"/>
      <c r="I196" s="148"/>
      <c r="J196" s="29"/>
      <c r="K196" s="388"/>
      <c r="L196" s="312"/>
      <c r="M196" s="435"/>
    </row>
    <row r="197" spans="1:20" s="34" customFormat="1" ht="25" customHeight="1">
      <c r="A197" s="26"/>
      <c r="B197" s="23" t="s">
        <v>274</v>
      </c>
      <c r="C197" s="28"/>
      <c r="D197" s="28"/>
      <c r="E197" s="28"/>
      <c r="F197" s="28"/>
      <c r="G197" s="29"/>
      <c r="H197" s="31"/>
      <c r="I197" s="29"/>
      <c r="J197" s="33"/>
      <c r="K197" s="388"/>
      <c r="L197" s="312"/>
      <c r="M197" s="435"/>
    </row>
    <row r="198" spans="1:20" s="34" customFormat="1" ht="25" customHeight="1">
      <c r="A198" s="26"/>
      <c r="B198" s="24" t="s">
        <v>3</v>
      </c>
      <c r="C198" s="313"/>
      <c r="D198" s="313"/>
      <c r="E198" s="313"/>
      <c r="F198" s="313"/>
      <c r="G198" s="312"/>
      <c r="H198" s="314"/>
      <c r="I198" s="312"/>
      <c r="J198" s="315"/>
      <c r="K198" s="423"/>
      <c r="L198" s="312"/>
      <c r="M198" s="435"/>
    </row>
    <row r="199" spans="1:20" s="143" customFormat="1" ht="25" customHeight="1">
      <c r="A199" s="441"/>
      <c r="B199" s="311"/>
      <c r="C199" s="318"/>
      <c r="D199" s="318"/>
      <c r="E199" s="318"/>
      <c r="F199" s="318"/>
      <c r="G199" s="312"/>
      <c r="H199" s="314"/>
      <c r="I199" s="312"/>
      <c r="J199" s="315"/>
      <c r="K199" s="423"/>
      <c r="L199" s="319"/>
      <c r="M199" s="435"/>
      <c r="N199" s="320"/>
      <c r="O199" s="175"/>
      <c r="P199" s="175"/>
      <c r="Q199" s="175"/>
      <c r="R199" s="175"/>
      <c r="S199" s="175"/>
      <c r="T199" s="175"/>
    </row>
    <row r="200" spans="1:20" ht="25" customHeight="1">
      <c r="A200" s="11"/>
      <c r="B200" s="321" t="s">
        <v>227</v>
      </c>
      <c r="C200" s="322"/>
      <c r="D200" s="323"/>
      <c r="E200" s="322"/>
      <c r="F200" s="324"/>
      <c r="G200" s="324"/>
      <c r="H200" s="324"/>
      <c r="I200" s="322"/>
      <c r="J200" s="324" t="s">
        <v>272</v>
      </c>
      <c r="K200" s="424"/>
      <c r="L200" s="326"/>
      <c r="M200" s="435"/>
      <c r="N200" s="249"/>
    </row>
    <row r="201" spans="1:20" ht="25" customHeight="1">
      <c r="A201" s="11"/>
      <c r="B201" s="327" t="s">
        <v>140</v>
      </c>
      <c r="C201" s="328"/>
      <c r="D201" s="329"/>
      <c r="E201" s="328"/>
      <c r="F201" s="328"/>
      <c r="G201" s="330"/>
      <c r="H201" s="331"/>
      <c r="I201" s="329"/>
      <c r="J201" s="425">
        <f>K27+K84+K72+K55+K94</f>
        <v>0</v>
      </c>
      <c r="K201" s="401"/>
      <c r="L201" s="13"/>
      <c r="M201" s="435"/>
      <c r="N201" s="249"/>
    </row>
    <row r="202" spans="1:20" ht="25" customHeight="1">
      <c r="A202" s="11"/>
      <c r="B202" s="333" t="s">
        <v>141</v>
      </c>
      <c r="C202" s="334" t="str">
        <f>K106&amp;" TB - S3"&amp;"     /     "&amp;K105&amp;" TB - Archive"</f>
        <v>0 TB - S3     /     0 TB - Archive</v>
      </c>
      <c r="D202" s="335"/>
      <c r="E202" s="335"/>
      <c r="F202" s="336"/>
      <c r="G202" s="337"/>
      <c r="H202" s="337"/>
      <c r="I202" s="338"/>
      <c r="J202" s="426">
        <f>K107</f>
        <v>0</v>
      </c>
      <c r="K202" s="401"/>
      <c r="L202" s="13"/>
      <c r="M202" s="435"/>
      <c r="N202" s="249"/>
    </row>
    <row r="203" spans="1:20" ht="25" customHeight="1">
      <c r="A203" s="11"/>
      <c r="B203" s="333" t="s">
        <v>142</v>
      </c>
      <c r="C203" s="340"/>
      <c r="D203" s="341"/>
      <c r="E203" s="342"/>
      <c r="F203" s="336"/>
      <c r="G203" s="337"/>
      <c r="H203" s="337"/>
      <c r="I203" s="338"/>
      <c r="J203" s="426">
        <f>K121</f>
        <v>0</v>
      </c>
      <c r="K203" s="401"/>
      <c r="L203" s="13"/>
      <c r="M203" s="435"/>
      <c r="N203" s="249"/>
    </row>
    <row r="204" spans="1:20" s="349" customFormat="1" ht="25" customHeight="1">
      <c r="A204" s="442"/>
      <c r="B204" s="443" t="s">
        <v>26</v>
      </c>
      <c r="C204" s="429"/>
      <c r="D204" s="429"/>
      <c r="E204" s="429"/>
      <c r="F204" s="429"/>
      <c r="G204" s="429"/>
      <c r="H204" s="429"/>
      <c r="I204" s="429"/>
      <c r="J204" s="429">
        <f>SUM(J201:J203)</f>
        <v>0</v>
      </c>
      <c r="K204" s="430"/>
      <c r="L204" s="348"/>
      <c r="M204" s="435"/>
    </row>
    <row r="205" spans="1:20" ht="25" customHeight="1">
      <c r="A205" s="11"/>
      <c r="B205" s="350"/>
      <c r="C205" s="351"/>
      <c r="D205" s="351"/>
      <c r="E205" s="351"/>
      <c r="F205" s="352"/>
      <c r="G205" s="353"/>
      <c r="H205" s="353"/>
      <c r="I205" s="354"/>
      <c r="J205" s="354"/>
      <c r="K205" s="431"/>
      <c r="L205" s="13"/>
      <c r="M205" s="435"/>
    </row>
    <row r="206" spans="1:20" ht="25" customHeight="1">
      <c r="A206" s="11"/>
      <c r="B206" s="20"/>
      <c r="C206" s="184"/>
      <c r="D206" s="356"/>
      <c r="E206" s="261"/>
      <c r="F206" s="279"/>
      <c r="G206" s="357"/>
      <c r="H206" s="184"/>
      <c r="I206" s="358"/>
      <c r="J206" s="359"/>
      <c r="K206" s="401"/>
      <c r="L206" s="13"/>
      <c r="M206" s="435"/>
    </row>
    <row r="207" spans="1:20" ht="25" customHeight="1">
      <c r="A207" s="360"/>
      <c r="B207" s="361"/>
      <c r="C207" s="219"/>
      <c r="D207" s="362"/>
      <c r="E207" s="363"/>
      <c r="F207" s="364"/>
      <c r="G207" s="365"/>
      <c r="H207" s="219"/>
      <c r="I207" s="366"/>
      <c r="J207" s="367"/>
      <c r="K207" s="411"/>
      <c r="L207" s="368"/>
      <c r="M207" s="435"/>
    </row>
    <row r="208" spans="1:20" s="379" customFormat="1" ht="25" customHeight="1">
      <c r="A208" s="369"/>
      <c r="B208" s="370"/>
      <c r="C208" s="371"/>
      <c r="D208" s="372"/>
      <c r="E208" s="373"/>
      <c r="F208" s="374"/>
      <c r="G208" s="375"/>
      <c r="H208" s="371"/>
      <c r="I208" s="376"/>
      <c r="J208" s="377"/>
      <c r="K208" s="432"/>
      <c r="M208" s="444"/>
    </row>
    <row r="209" spans="1:23" s="379" customFormat="1" ht="25" customHeight="1">
      <c r="A209" s="369"/>
      <c r="B209" s="380" t="s">
        <v>275</v>
      </c>
      <c r="C209" s="371"/>
      <c r="D209" s="371"/>
      <c r="E209" s="371"/>
      <c r="F209" s="381"/>
      <c r="G209" s="382"/>
      <c r="H209" s="383"/>
      <c r="I209" s="383"/>
      <c r="J209" s="383"/>
      <c r="K209" s="433"/>
      <c r="L209" s="377"/>
      <c r="M209" s="445"/>
      <c r="N209" s="377"/>
    </row>
    <row r="210" spans="1:23" s="379" customFormat="1" ht="25" customHeight="1">
      <c r="A210" s="369"/>
      <c r="B210" s="380" t="s">
        <v>276</v>
      </c>
      <c r="C210" s="371"/>
      <c r="D210" s="371"/>
      <c r="E210" s="371"/>
      <c r="F210" s="381"/>
      <c r="G210" s="382"/>
      <c r="H210" s="383"/>
      <c r="I210" s="383"/>
      <c r="J210" s="383"/>
      <c r="K210" s="433"/>
      <c r="L210" s="377"/>
      <c r="M210" s="445"/>
      <c r="N210" s="377"/>
    </row>
    <row r="211" spans="1:23" s="379" customFormat="1" ht="25" customHeight="1">
      <c r="A211" s="369"/>
      <c r="B211" s="380" t="s">
        <v>277</v>
      </c>
      <c r="C211" s="371"/>
      <c r="D211" s="371"/>
      <c r="E211" s="371"/>
      <c r="F211" s="381"/>
      <c r="G211" s="382"/>
      <c r="H211" s="383"/>
      <c r="I211" s="383"/>
      <c r="J211" s="383"/>
      <c r="K211" s="433"/>
      <c r="L211" s="377"/>
      <c r="M211" s="445"/>
      <c r="N211" s="377"/>
    </row>
    <row r="212" spans="1:23" s="379" customFormat="1" ht="25" customHeight="1">
      <c r="A212" s="369"/>
      <c r="B212" s="380" t="s">
        <v>278</v>
      </c>
      <c r="C212" s="371"/>
      <c r="D212" s="371"/>
      <c r="E212" s="371"/>
      <c r="F212" s="381"/>
      <c r="G212" s="382"/>
      <c r="H212" s="383"/>
      <c r="I212" s="383"/>
      <c r="J212" s="383"/>
      <c r="K212" s="433"/>
      <c r="L212" s="377"/>
      <c r="M212" s="445"/>
      <c r="N212" s="377"/>
    </row>
    <row r="213" spans="1:23" s="379" customFormat="1" ht="25" customHeight="1">
      <c r="A213" s="369"/>
      <c r="B213" s="380"/>
      <c r="C213" s="371"/>
      <c r="D213" s="371"/>
      <c r="E213" s="371"/>
      <c r="F213" s="381"/>
      <c r="G213" s="382"/>
      <c r="H213" s="383"/>
      <c r="I213" s="383"/>
      <c r="J213" s="383"/>
      <c r="K213" s="433"/>
      <c r="L213" s="377"/>
      <c r="M213" s="445"/>
      <c r="N213" s="377"/>
    </row>
    <row r="214" spans="1:23" s="379" customFormat="1" ht="25" customHeight="1">
      <c r="A214" s="369"/>
      <c r="B214" s="370"/>
      <c r="C214" s="371"/>
      <c r="D214" s="371"/>
      <c r="E214" s="371"/>
      <c r="F214" s="381"/>
      <c r="G214" s="382"/>
      <c r="H214" s="383"/>
      <c r="I214" s="383"/>
      <c r="J214" s="383"/>
      <c r="K214" s="433"/>
      <c r="L214" s="377"/>
      <c r="M214" s="445"/>
      <c r="N214" s="377"/>
    </row>
    <row r="215" spans="1:23" s="379" customFormat="1" ht="25" customHeight="1">
      <c r="A215" s="369"/>
      <c r="B215" s="370"/>
      <c r="C215" s="371"/>
      <c r="D215" s="371"/>
      <c r="E215" s="371"/>
      <c r="F215" s="381"/>
      <c r="G215" s="382"/>
      <c r="H215" s="383"/>
      <c r="I215" s="383"/>
      <c r="J215" s="383"/>
      <c r="K215" s="433"/>
      <c r="L215" s="377"/>
      <c r="M215" s="445"/>
      <c r="N215" s="377"/>
    </row>
    <row r="216" spans="1:23" s="379" customFormat="1" ht="25" customHeight="1">
      <c r="A216" s="369"/>
      <c r="B216" s="370"/>
      <c r="C216" s="371"/>
      <c r="D216" s="371"/>
      <c r="E216" s="371"/>
      <c r="F216" s="381"/>
      <c r="G216" s="382"/>
      <c r="H216" s="383"/>
      <c r="I216" s="383"/>
      <c r="J216" s="383"/>
      <c r="K216" s="433"/>
      <c r="L216" s="377"/>
      <c r="M216" s="445"/>
      <c r="N216" s="377"/>
    </row>
    <row r="217" spans="1:23" s="379" customFormat="1" ht="25" customHeight="1">
      <c r="A217" s="369"/>
      <c r="B217" s="370"/>
      <c r="C217" s="371"/>
      <c r="D217" s="371"/>
      <c r="E217" s="371"/>
      <c r="F217" s="381"/>
      <c r="G217" s="382"/>
      <c r="H217" s="383"/>
      <c r="I217" s="383"/>
      <c r="J217" s="383"/>
      <c r="K217" s="433"/>
      <c r="L217" s="377"/>
      <c r="M217" s="445"/>
      <c r="N217" s="377"/>
    </row>
    <row r="218" spans="1:23" s="384" customFormat="1" ht="25" customHeight="1">
      <c r="A218" s="369"/>
      <c r="B218" s="370"/>
      <c r="C218" s="371"/>
      <c r="D218" s="371"/>
      <c r="E218" s="371"/>
      <c r="F218" s="381"/>
      <c r="G218" s="382"/>
      <c r="H218" s="383"/>
      <c r="I218" s="383"/>
      <c r="J218" s="383"/>
      <c r="K218" s="433"/>
      <c r="L218" s="377"/>
      <c r="M218" s="445"/>
      <c r="N218" s="377"/>
      <c r="O218" s="379"/>
      <c r="P218" s="379"/>
      <c r="Q218" s="379"/>
      <c r="R218" s="379"/>
      <c r="S218" s="379"/>
      <c r="T218" s="379"/>
      <c r="U218" s="379"/>
      <c r="V218" s="379"/>
      <c r="W218" s="379"/>
    </row>
    <row r="219" spans="1:23" s="379" customFormat="1" ht="25" customHeight="1">
      <c r="A219" s="369"/>
      <c r="B219" s="370"/>
      <c r="C219" s="371"/>
      <c r="D219" s="371"/>
      <c r="E219" s="371"/>
      <c r="F219" s="381"/>
      <c r="G219" s="382"/>
      <c r="H219" s="383"/>
      <c r="I219" s="383"/>
      <c r="J219" s="383"/>
      <c r="K219" s="433"/>
      <c r="L219" s="377"/>
      <c r="M219" s="445"/>
      <c r="N219" s="377"/>
    </row>
    <row r="220" spans="1:23" s="379" customFormat="1" ht="25" customHeight="1">
      <c r="A220" s="369"/>
      <c r="B220" s="370"/>
      <c r="C220" s="371"/>
      <c r="D220" s="371"/>
      <c r="E220" s="371"/>
      <c r="F220" s="381"/>
      <c r="G220" s="382"/>
      <c r="H220" s="383"/>
      <c r="I220" s="383"/>
      <c r="J220" s="383"/>
      <c r="K220" s="433"/>
      <c r="L220" s="377"/>
      <c r="M220" s="445"/>
      <c r="N220" s="377"/>
    </row>
    <row r="221" spans="1:23" s="379" customFormat="1" ht="25" customHeight="1">
      <c r="A221" s="369"/>
      <c r="B221" s="370"/>
      <c r="C221" s="371"/>
      <c r="D221" s="371"/>
      <c r="E221" s="371"/>
      <c r="F221" s="381"/>
      <c r="G221" s="382"/>
      <c r="H221" s="383"/>
      <c r="I221" s="383"/>
      <c r="J221" s="383"/>
      <c r="K221" s="433"/>
      <c r="L221" s="377"/>
      <c r="M221" s="445"/>
      <c r="N221" s="377"/>
    </row>
    <row r="222" spans="1:23" s="379" customFormat="1" ht="25" customHeight="1">
      <c r="A222" s="369"/>
      <c r="B222" s="370"/>
      <c r="C222" s="371"/>
      <c r="D222" s="371"/>
      <c r="E222" s="371"/>
      <c r="F222" s="381"/>
      <c r="G222" s="382"/>
      <c r="H222" s="383"/>
      <c r="I222" s="383"/>
      <c r="J222" s="383"/>
      <c r="K222" s="433"/>
      <c r="L222" s="377"/>
      <c r="M222" s="445"/>
      <c r="N222" s="377"/>
    </row>
    <row r="223" spans="1:23" s="379" customFormat="1" ht="25" customHeight="1">
      <c r="A223" s="369"/>
      <c r="B223" s="370"/>
      <c r="C223" s="371"/>
      <c r="D223" s="371"/>
      <c r="E223" s="371"/>
      <c r="F223" s="381"/>
      <c r="G223" s="382"/>
      <c r="H223" s="383"/>
      <c r="I223" s="383"/>
      <c r="J223" s="383"/>
      <c r="K223" s="433"/>
      <c r="L223" s="377"/>
      <c r="M223" s="445"/>
      <c r="N223" s="377"/>
    </row>
    <row r="224" spans="1:23" s="379" customFormat="1" ht="25" customHeight="1">
      <c r="A224" s="369"/>
      <c r="B224" s="370"/>
      <c r="C224" s="371"/>
      <c r="D224" s="371"/>
      <c r="E224" s="371"/>
      <c r="F224" s="381"/>
      <c r="G224" s="382"/>
      <c r="H224" s="383"/>
      <c r="I224" s="383"/>
      <c r="J224" s="383"/>
      <c r="K224" s="433"/>
      <c r="L224" s="377"/>
      <c r="M224" s="445"/>
      <c r="N224" s="377"/>
    </row>
    <row r="225" spans="1:14" s="379" customFormat="1" ht="25" customHeight="1">
      <c r="A225" s="369"/>
      <c r="B225" s="370"/>
      <c r="C225" s="371"/>
      <c r="D225" s="371"/>
      <c r="E225" s="371"/>
      <c r="F225" s="381"/>
      <c r="G225" s="382"/>
      <c r="H225" s="383"/>
      <c r="I225" s="383"/>
      <c r="J225" s="383"/>
      <c r="K225" s="433"/>
      <c r="L225" s="377"/>
      <c r="M225" s="445"/>
      <c r="N225" s="377"/>
    </row>
    <row r="226" spans="1:14" s="379" customFormat="1" ht="25" customHeight="1">
      <c r="A226" s="369"/>
      <c r="B226" s="370"/>
      <c r="C226" s="371"/>
      <c r="D226" s="371"/>
      <c r="E226" s="371"/>
      <c r="F226" s="381"/>
      <c r="G226" s="382"/>
      <c r="H226" s="383"/>
      <c r="I226" s="383"/>
      <c r="J226" s="383"/>
      <c r="K226" s="433"/>
      <c r="L226" s="377"/>
      <c r="M226" s="445"/>
      <c r="N226" s="377"/>
    </row>
    <row r="227" spans="1:14" s="379" customFormat="1" ht="25" customHeight="1">
      <c r="A227" s="369"/>
      <c r="B227" s="370"/>
      <c r="C227" s="371"/>
      <c r="D227" s="371"/>
      <c r="E227" s="371"/>
      <c r="F227" s="381"/>
      <c r="G227" s="382"/>
      <c r="H227" s="383"/>
      <c r="I227" s="383"/>
      <c r="J227" s="383"/>
      <c r="K227" s="433"/>
      <c r="L227" s="377"/>
      <c r="M227" s="445"/>
      <c r="N227" s="377"/>
    </row>
    <row r="228" spans="1:14" s="379" customFormat="1" ht="25" customHeight="1">
      <c r="A228" s="369"/>
      <c r="B228" s="370"/>
      <c r="C228" s="371"/>
      <c r="D228" s="371"/>
      <c r="E228" s="371"/>
      <c r="F228" s="381"/>
      <c r="G228" s="382"/>
      <c r="H228" s="383"/>
      <c r="I228" s="383"/>
      <c r="J228" s="383"/>
      <c r="K228" s="433"/>
      <c r="L228" s="377"/>
      <c r="M228" s="445"/>
      <c r="N228" s="377"/>
    </row>
    <row r="229" spans="1:14" s="379" customFormat="1" ht="25" customHeight="1">
      <c r="A229" s="369"/>
      <c r="B229" s="370"/>
      <c r="C229" s="371"/>
      <c r="D229" s="371"/>
      <c r="E229" s="371"/>
      <c r="F229" s="381"/>
      <c r="G229" s="382"/>
      <c r="H229" s="383"/>
      <c r="I229" s="383"/>
      <c r="J229" s="383"/>
      <c r="K229" s="433"/>
      <c r="L229" s="377"/>
      <c r="M229" s="445"/>
      <c r="N229" s="377"/>
    </row>
    <row r="230" spans="1:14" s="379" customFormat="1" ht="25" customHeight="1">
      <c r="A230" s="369"/>
      <c r="B230" s="370"/>
      <c r="C230" s="371"/>
      <c r="D230" s="371"/>
      <c r="E230" s="371"/>
      <c r="F230" s="381"/>
      <c r="G230" s="382"/>
      <c r="H230" s="383"/>
      <c r="I230" s="383"/>
      <c r="J230" s="383"/>
      <c r="K230" s="433"/>
      <c r="L230" s="377"/>
      <c r="M230" s="445"/>
      <c r="N230" s="377"/>
    </row>
    <row r="231" spans="1:14" s="379" customFormat="1" ht="25" customHeight="1">
      <c r="A231" s="369"/>
      <c r="B231" s="370"/>
      <c r="C231" s="371"/>
      <c r="D231" s="371"/>
      <c r="E231" s="371"/>
      <c r="F231" s="381"/>
      <c r="G231" s="382"/>
      <c r="H231" s="383"/>
      <c r="I231" s="383"/>
      <c r="J231" s="383"/>
      <c r="K231" s="433"/>
      <c r="L231" s="377"/>
      <c r="M231" s="445"/>
      <c r="N231" s="377"/>
    </row>
    <row r="232" spans="1:14" s="379" customFormat="1" ht="25" customHeight="1">
      <c r="A232" s="369"/>
      <c r="B232" s="370"/>
      <c r="C232" s="371"/>
      <c r="D232" s="371"/>
      <c r="E232" s="371"/>
      <c r="F232" s="381"/>
      <c r="G232" s="382"/>
      <c r="H232" s="383"/>
      <c r="I232" s="383"/>
      <c r="J232" s="383"/>
      <c r="K232" s="433"/>
      <c r="L232" s="377"/>
      <c r="M232" s="445"/>
      <c r="N232" s="377"/>
    </row>
    <row r="233" spans="1:14" s="379" customFormat="1" ht="25" customHeight="1">
      <c r="A233" s="369"/>
      <c r="B233" s="370"/>
      <c r="C233" s="371"/>
      <c r="D233" s="371"/>
      <c r="E233" s="371"/>
      <c r="F233" s="381"/>
      <c r="G233" s="382"/>
      <c r="H233" s="383"/>
      <c r="I233" s="383"/>
      <c r="J233" s="383"/>
      <c r="K233" s="433"/>
      <c r="L233" s="377"/>
      <c r="M233" s="445"/>
      <c r="N233" s="377"/>
    </row>
    <row r="234" spans="1:14" s="379" customFormat="1" ht="25" customHeight="1">
      <c r="A234" s="369"/>
      <c r="B234" s="370"/>
      <c r="C234" s="371"/>
      <c r="D234" s="371"/>
      <c r="E234" s="371"/>
      <c r="F234" s="381"/>
      <c r="G234" s="382"/>
      <c r="H234" s="383"/>
      <c r="I234" s="383"/>
      <c r="J234" s="383"/>
      <c r="K234" s="433"/>
      <c r="L234" s="377"/>
      <c r="M234" s="445"/>
      <c r="N234" s="377"/>
    </row>
    <row r="235" spans="1:14" s="379" customFormat="1" ht="25" customHeight="1">
      <c r="A235" s="369"/>
      <c r="B235" s="370"/>
      <c r="C235" s="371"/>
      <c r="D235" s="371"/>
      <c r="E235" s="371"/>
      <c r="F235" s="381"/>
      <c r="G235" s="382"/>
      <c r="H235" s="383"/>
      <c r="I235" s="383"/>
      <c r="J235" s="383"/>
      <c r="K235" s="433"/>
      <c r="L235" s="377"/>
      <c r="M235" s="445"/>
      <c r="N235" s="377"/>
    </row>
    <row r="236" spans="1:14" s="379" customFormat="1" ht="25" customHeight="1">
      <c r="A236" s="369"/>
      <c r="B236" s="370"/>
      <c r="C236" s="371"/>
      <c r="D236" s="371"/>
      <c r="E236" s="371"/>
      <c r="F236" s="381"/>
      <c r="G236" s="382"/>
      <c r="H236" s="383"/>
      <c r="I236" s="383"/>
      <c r="J236" s="383"/>
      <c r="K236" s="433"/>
      <c r="L236" s="377"/>
      <c r="M236" s="445"/>
      <c r="N236" s="377"/>
    </row>
    <row r="237" spans="1:14" s="379" customFormat="1" ht="25" customHeight="1">
      <c r="A237" s="369"/>
      <c r="B237" s="370"/>
      <c r="C237" s="371"/>
      <c r="D237" s="371"/>
      <c r="E237" s="371"/>
      <c r="F237" s="381"/>
      <c r="G237" s="382"/>
      <c r="H237" s="383"/>
      <c r="I237" s="383"/>
      <c r="J237" s="383"/>
      <c r="K237" s="433"/>
      <c r="L237" s="377"/>
      <c r="M237" s="445"/>
      <c r="N237" s="377"/>
    </row>
    <row r="238" spans="1:14" s="379" customFormat="1" ht="25" customHeight="1">
      <c r="A238" s="369"/>
      <c r="B238" s="370"/>
      <c r="K238" s="433"/>
      <c r="M238" s="444"/>
    </row>
    <row r="239" spans="1:14" s="379" customFormat="1" ht="25" customHeight="1">
      <c r="A239" s="369"/>
      <c r="B239" s="370"/>
      <c r="K239" s="433"/>
      <c r="M239" s="444"/>
    </row>
    <row r="240" spans="1:14" s="379" customFormat="1" ht="25" customHeight="1">
      <c r="A240" s="369"/>
      <c r="B240" s="370"/>
      <c r="K240" s="433"/>
      <c r="M240" s="444"/>
    </row>
    <row r="241" spans="1:13" s="379" customFormat="1" ht="25" customHeight="1">
      <c r="A241" s="369"/>
      <c r="B241" s="370"/>
      <c r="K241" s="433"/>
      <c r="M241" s="444"/>
    </row>
    <row r="242" spans="1:13" s="379" customFormat="1" ht="25" customHeight="1">
      <c r="A242" s="369"/>
      <c r="B242" s="370"/>
      <c r="K242" s="433"/>
      <c r="M242" s="444"/>
    </row>
    <row r="243" spans="1:13" s="379" customFormat="1" ht="25" customHeight="1">
      <c r="A243" s="369"/>
      <c r="B243" s="370"/>
      <c r="K243" s="433"/>
      <c r="M243" s="444"/>
    </row>
    <row r="244" spans="1:13" s="379" customFormat="1" ht="25" customHeight="1">
      <c r="A244" s="369"/>
      <c r="B244" s="370"/>
      <c r="K244" s="433"/>
      <c r="M244" s="444"/>
    </row>
    <row r="245" spans="1:13" s="379" customFormat="1" ht="25" customHeight="1">
      <c r="A245" s="369"/>
      <c r="B245" s="370"/>
      <c r="K245" s="433"/>
      <c r="M245" s="444"/>
    </row>
    <row r="246" spans="1:13" s="379" customFormat="1" ht="25" customHeight="1">
      <c r="A246" s="369"/>
      <c r="B246" s="370"/>
      <c r="K246" s="433"/>
      <c r="M246" s="444"/>
    </row>
    <row r="247" spans="1:13" s="379" customFormat="1" ht="25" customHeight="1">
      <c r="A247" s="369"/>
      <c r="B247" s="370"/>
      <c r="K247" s="433"/>
      <c r="M247" s="444"/>
    </row>
    <row r="248" spans="1:13" s="379" customFormat="1" ht="25" customHeight="1">
      <c r="A248" s="369"/>
      <c r="B248" s="370"/>
      <c r="K248" s="433"/>
      <c r="M248" s="444"/>
    </row>
    <row r="249" spans="1:13" s="379" customFormat="1" ht="25" customHeight="1">
      <c r="A249" s="369"/>
      <c r="B249" s="370"/>
      <c r="K249" s="433"/>
      <c r="M249" s="444"/>
    </row>
    <row r="250" spans="1:13" s="379" customFormat="1" ht="25" customHeight="1">
      <c r="A250" s="369"/>
      <c r="B250" s="370"/>
      <c r="K250" s="433"/>
      <c r="M250" s="444"/>
    </row>
    <row r="251" spans="1:13" s="379" customFormat="1" ht="25" customHeight="1">
      <c r="A251" s="369"/>
      <c r="B251" s="370"/>
      <c r="K251" s="433"/>
      <c r="M251" s="444"/>
    </row>
    <row r="252" spans="1:13" s="379" customFormat="1" ht="25" customHeight="1">
      <c r="A252" s="369"/>
      <c r="B252" s="370"/>
      <c r="K252" s="433"/>
      <c r="M252" s="444"/>
    </row>
    <row r="253" spans="1:13" s="379" customFormat="1" ht="25" customHeight="1">
      <c r="A253" s="369"/>
      <c r="B253" s="370"/>
      <c r="K253" s="433"/>
      <c r="M253" s="444"/>
    </row>
    <row r="254" spans="1:13" s="379" customFormat="1" ht="25" customHeight="1">
      <c r="A254" s="369"/>
      <c r="B254" s="370"/>
      <c r="K254" s="433"/>
      <c r="M254" s="444"/>
    </row>
    <row r="255" spans="1:13" s="379" customFormat="1" ht="25" customHeight="1">
      <c r="A255" s="369"/>
      <c r="B255" s="370"/>
      <c r="K255" s="433"/>
      <c r="M255" s="444"/>
    </row>
    <row r="256" spans="1:13" s="379" customFormat="1" ht="25" customHeight="1">
      <c r="A256" s="369"/>
      <c r="B256" s="370"/>
      <c r="K256" s="433"/>
      <c r="M256" s="444"/>
    </row>
    <row r="257" spans="1:13" s="379" customFormat="1" ht="25" customHeight="1">
      <c r="A257" s="369"/>
      <c r="B257" s="370"/>
      <c r="K257" s="433"/>
      <c r="M257" s="444"/>
    </row>
    <row r="258" spans="1:13" s="379" customFormat="1" ht="25" customHeight="1">
      <c r="A258" s="369"/>
      <c r="B258" s="370"/>
      <c r="K258" s="433"/>
      <c r="M258" s="444"/>
    </row>
    <row r="259" spans="1:13" s="379" customFormat="1" ht="25" customHeight="1">
      <c r="A259" s="369"/>
      <c r="B259" s="370"/>
      <c r="K259" s="433"/>
      <c r="M259" s="444"/>
    </row>
    <row r="260" spans="1:13" s="379" customFormat="1" ht="25" customHeight="1">
      <c r="A260" s="369"/>
      <c r="B260" s="370"/>
      <c r="K260" s="433"/>
      <c r="M260" s="444"/>
    </row>
    <row r="261" spans="1:13" s="379" customFormat="1" ht="25" customHeight="1">
      <c r="A261" s="369"/>
      <c r="B261" s="370"/>
      <c r="K261" s="433"/>
      <c r="M261" s="444"/>
    </row>
    <row r="262" spans="1:13" s="379" customFormat="1" ht="25" customHeight="1">
      <c r="A262" s="369"/>
      <c r="B262" s="370"/>
      <c r="K262" s="433"/>
      <c r="M262" s="444"/>
    </row>
    <row r="263" spans="1:13" s="379" customFormat="1" ht="25" customHeight="1">
      <c r="A263" s="369"/>
      <c r="B263" s="370"/>
      <c r="K263" s="433"/>
      <c r="M263" s="444"/>
    </row>
    <row r="264" spans="1:13" s="379" customFormat="1" ht="25" customHeight="1">
      <c r="A264" s="369"/>
      <c r="B264" s="370"/>
      <c r="K264" s="433"/>
      <c r="M264" s="444"/>
    </row>
    <row r="265" spans="1:13" s="379" customFormat="1" ht="25" customHeight="1">
      <c r="A265" s="369"/>
      <c r="B265" s="370"/>
      <c r="K265" s="433"/>
      <c r="M265" s="444"/>
    </row>
    <row r="266" spans="1:13" s="379" customFormat="1" ht="25" customHeight="1">
      <c r="A266" s="369"/>
      <c r="B266" s="370"/>
      <c r="K266" s="433"/>
      <c r="M266" s="444"/>
    </row>
    <row r="267" spans="1:13" s="379" customFormat="1" ht="25" customHeight="1">
      <c r="A267" s="369"/>
      <c r="B267" s="370"/>
      <c r="K267" s="433"/>
      <c r="M267" s="444"/>
    </row>
    <row r="268" spans="1:13" s="379" customFormat="1" ht="25" customHeight="1">
      <c r="A268" s="369"/>
      <c r="B268" s="370"/>
      <c r="K268" s="433"/>
      <c r="M268" s="444"/>
    </row>
    <row r="269" spans="1:13" s="379" customFormat="1" ht="25" customHeight="1">
      <c r="A269" s="369"/>
      <c r="B269" s="370"/>
      <c r="K269" s="433"/>
      <c r="M269" s="444"/>
    </row>
    <row r="270" spans="1:13" s="379" customFormat="1" ht="25" customHeight="1">
      <c r="A270" s="369"/>
      <c r="B270" s="370"/>
      <c r="K270" s="433"/>
      <c r="M270" s="444"/>
    </row>
    <row r="271" spans="1:13" s="379" customFormat="1" ht="25" customHeight="1">
      <c r="A271" s="369"/>
      <c r="B271" s="370"/>
      <c r="K271" s="433"/>
      <c r="M271" s="444"/>
    </row>
    <row r="272" spans="1:13" s="379" customFormat="1" ht="25" customHeight="1">
      <c r="A272" s="369"/>
      <c r="B272" s="370"/>
      <c r="K272" s="433"/>
      <c r="M272" s="444"/>
    </row>
    <row r="273" spans="1:13" s="379" customFormat="1" ht="25" customHeight="1">
      <c r="A273" s="369"/>
      <c r="B273" s="370"/>
      <c r="K273" s="433"/>
      <c r="M273" s="444"/>
    </row>
    <row r="274" spans="1:13" s="379" customFormat="1" ht="25" customHeight="1">
      <c r="A274" s="369"/>
      <c r="B274" s="370"/>
      <c r="K274" s="433"/>
      <c r="M274" s="444"/>
    </row>
    <row r="275" spans="1:13" s="379" customFormat="1" ht="25" customHeight="1">
      <c r="A275" s="369"/>
      <c r="B275" s="370"/>
      <c r="K275" s="433"/>
      <c r="M275" s="444"/>
    </row>
    <row r="276" spans="1:13" s="379" customFormat="1" ht="25" customHeight="1">
      <c r="A276" s="369"/>
      <c r="B276" s="370"/>
      <c r="K276" s="433"/>
      <c r="M276" s="444"/>
    </row>
    <row r="277" spans="1:13" s="379" customFormat="1" ht="25" customHeight="1">
      <c r="A277" s="369"/>
      <c r="B277" s="370"/>
      <c r="K277" s="433"/>
      <c r="M277" s="444"/>
    </row>
    <row r="278" spans="1:13" s="379" customFormat="1" ht="25" customHeight="1">
      <c r="A278" s="369"/>
      <c r="B278" s="370"/>
      <c r="K278" s="433"/>
      <c r="M278" s="444"/>
    </row>
    <row r="279" spans="1:13" s="379" customFormat="1" ht="25" customHeight="1">
      <c r="A279" s="369"/>
      <c r="B279" s="370"/>
      <c r="K279" s="433"/>
      <c r="M279" s="444"/>
    </row>
    <row r="280" spans="1:13" s="379" customFormat="1" ht="25" customHeight="1">
      <c r="A280" s="369"/>
      <c r="B280" s="370"/>
      <c r="K280" s="433"/>
      <c r="M280" s="444"/>
    </row>
    <row r="281" spans="1:13" s="379" customFormat="1" ht="25" customHeight="1">
      <c r="A281" s="369"/>
      <c r="B281" s="370"/>
      <c r="K281" s="433"/>
      <c r="M281" s="444"/>
    </row>
    <row r="282" spans="1:13" s="379" customFormat="1" ht="25" customHeight="1">
      <c r="A282" s="369"/>
      <c r="B282" s="370"/>
      <c r="K282" s="433"/>
      <c r="M282" s="444"/>
    </row>
    <row r="283" spans="1:13" s="379" customFormat="1" ht="25" customHeight="1">
      <c r="A283" s="369"/>
      <c r="B283" s="370"/>
      <c r="K283" s="433"/>
      <c r="M283" s="444"/>
    </row>
    <row r="284" spans="1:13" s="379" customFormat="1" ht="25" customHeight="1">
      <c r="A284" s="369"/>
      <c r="B284" s="370"/>
      <c r="K284" s="433"/>
      <c r="M284" s="444"/>
    </row>
    <row r="285" spans="1:13" s="379" customFormat="1" ht="25" customHeight="1">
      <c r="A285" s="369"/>
      <c r="B285" s="370"/>
      <c r="K285" s="433"/>
      <c r="M285" s="444"/>
    </row>
    <row r="286" spans="1:13" s="379" customFormat="1" ht="25" customHeight="1">
      <c r="A286" s="369"/>
      <c r="B286" s="370"/>
      <c r="K286" s="433"/>
      <c r="M286" s="444"/>
    </row>
    <row r="287" spans="1:13" s="379" customFormat="1" ht="25" customHeight="1">
      <c r="A287" s="369"/>
      <c r="B287" s="370"/>
      <c r="K287" s="433"/>
      <c r="M287" s="444"/>
    </row>
    <row r="288" spans="1:13" s="379" customFormat="1" ht="25" customHeight="1">
      <c r="A288" s="369"/>
      <c r="B288" s="370"/>
      <c r="K288" s="433"/>
      <c r="M288" s="444"/>
    </row>
    <row r="300" spans="2:4" ht="25" customHeight="1">
      <c r="B300" s="386"/>
      <c r="C300" s="190"/>
      <c r="D300" s="163"/>
    </row>
  </sheetData>
  <sheetProtection algorithmName="SHA-512" hashValue="Kv3uxYuUFfPeVU3TOiPJD2Y2iNLysKw+0QwAVbWsTC3goiOr45OJJgr0ZPaJVEOLp/1DJOtonkvpQADbic+Ajg==" saltValue="/4le4uc/6lDBB2NuLAaQCw==" spinCount="100000" sheet="1" selectLockedCells="1"/>
  <mergeCells count="20">
    <mergeCell ref="B110:G112"/>
    <mergeCell ref="B114:F114"/>
    <mergeCell ref="B168:F168"/>
    <mergeCell ref="B191:G193"/>
    <mergeCell ref="B194:F194"/>
    <mergeCell ref="B125:G127"/>
    <mergeCell ref="B128:F128"/>
    <mergeCell ref="B129:F129"/>
    <mergeCell ref="B164:G166"/>
    <mergeCell ref="B167:F167"/>
    <mergeCell ref="B77:E77"/>
    <mergeCell ref="B97:G99"/>
    <mergeCell ref="B4:C4"/>
    <mergeCell ref="B30:G32"/>
    <mergeCell ref="B34:F34"/>
    <mergeCell ref="B39:E39"/>
    <mergeCell ref="B60:E60"/>
    <mergeCell ref="B15:L17"/>
    <mergeCell ref="B23:E23"/>
    <mergeCell ref="B18:F18"/>
  </mergeCells>
  <conditionalFormatting sqref="I25:I26 K25:K26">
    <cfRule type="cellIs" dxfId="61" priority="1" operator="greaterThan">
      <formula>0</formula>
    </cfRule>
  </conditionalFormatting>
  <conditionalFormatting sqref="I41:I54 K41:K54 I62:I71 K62:K71 I91:I93 K91:K93 I105:I106 K105:K106 I118:I120 K118:K120 J119:J120">
    <cfRule type="cellIs" dxfId="60" priority="5" operator="greaterThan">
      <formula>0</formula>
    </cfRule>
  </conditionalFormatting>
  <conditionalFormatting sqref="I79:I83 K79:K83">
    <cfRule type="cellIs" dxfId="59" priority="3" operator="greaterThan">
      <formula>0</formula>
    </cfRule>
  </conditionalFormatting>
  <hyperlinks>
    <hyperlink ref="B10" r:id="rId1" xr:uid="{00000000-0004-0000-0200-000000000000}"/>
    <hyperlink ref="B77" location="'SEK - Safesprings tjänster 2023'!I80" display="Sentral blokklagring gir tre kopier av dataene distribuert i en robust CEPH-klynge." xr:uid="{00000000-0004-0000-0200-000001000000}"/>
    <hyperlink ref="B198" r:id="rId2" xr:uid="{00000000-0004-0000-0200-000004000000}"/>
    <hyperlink ref="B23" location="'SEK - Safesprings tjänster 2023'!I80" display="Central blocklagring kan köpas till instanserna. Se &quot;Central blocklagring&quot; i prislistan." xr:uid="{992FEEBE-177A-2C47-B115-733109178C9F}"/>
  </hyperlinks>
  <pageMargins left="0" right="0" top="0" bottom="0" header="0.511811023622047" footer="0"/>
  <pageSetup paperSize="9" orientation="portrait" horizontalDpi="300" verticalDpi="300"/>
  <headerFooter>
    <oddFooter>&amp;C&amp;P av &amp;N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327"/>
  <sheetViews>
    <sheetView showGridLines="0" zoomScaleNormal="100" workbookViewId="0"/>
  </sheetViews>
  <sheetFormatPr baseColWidth="10" defaultColWidth="15" defaultRowHeight="24.75" customHeight="1"/>
  <cols>
    <col min="1" max="1" width="11.83203125" style="446" customWidth="1"/>
    <col min="2" max="2" width="30.83203125" style="268" customWidth="1"/>
    <col min="3" max="5" width="14.83203125" style="8" customWidth="1"/>
    <col min="6" max="10" width="14.83203125" style="446" customWidth="1"/>
    <col min="11" max="11" width="14.83203125" style="447" customWidth="1"/>
    <col min="12" max="12" width="14.83203125" style="446" customWidth="1"/>
    <col min="13" max="13" width="14.83203125" style="448" customWidth="1"/>
    <col min="14" max="14" width="14.83203125" style="446" customWidth="1"/>
    <col min="15" max="16384" width="15" style="446"/>
  </cols>
  <sheetData>
    <row r="1" spans="1:28" ht="24.75" customHeight="1">
      <c r="A1" s="449"/>
      <c r="B1" s="5"/>
      <c r="C1" s="5"/>
      <c r="D1" s="13"/>
      <c r="E1" s="13"/>
      <c r="F1" s="449"/>
      <c r="G1" s="449"/>
      <c r="H1" s="449"/>
      <c r="I1" s="449"/>
      <c r="J1" s="449"/>
      <c r="K1" s="449"/>
      <c r="L1" s="450"/>
      <c r="M1" s="451"/>
      <c r="N1" s="449"/>
      <c r="O1" s="452"/>
    </row>
    <row r="2" spans="1:28" ht="24.75" customHeight="1">
      <c r="A2" s="449"/>
      <c r="B2" s="5"/>
      <c r="C2" s="5"/>
      <c r="D2" s="13"/>
      <c r="E2" s="13"/>
      <c r="F2" s="449"/>
      <c r="G2" s="449"/>
      <c r="H2" s="449"/>
      <c r="I2" s="449"/>
      <c r="J2" s="449"/>
      <c r="K2" s="449"/>
      <c r="L2" s="450"/>
      <c r="M2" s="451"/>
      <c r="N2" s="449"/>
      <c r="O2" s="452"/>
    </row>
    <row r="3" spans="1:28" ht="24.75" customHeight="1">
      <c r="A3" s="449"/>
      <c r="B3" s="5"/>
      <c r="C3" s="5"/>
      <c r="D3" s="13"/>
      <c r="E3" s="13"/>
      <c r="F3" s="449"/>
      <c r="G3" s="449"/>
      <c r="H3" s="449"/>
      <c r="I3" s="449"/>
      <c r="J3" s="449"/>
      <c r="K3" s="449"/>
      <c r="L3" s="450"/>
      <c r="M3" s="451"/>
      <c r="N3" s="449"/>
      <c r="O3" s="452"/>
    </row>
    <row r="4" spans="1:28" ht="24.75" customHeight="1">
      <c r="A4" s="449"/>
      <c r="B4" s="966"/>
      <c r="C4" s="966"/>
      <c r="D4" s="13"/>
      <c r="E4" s="13"/>
      <c r="F4" s="449"/>
      <c r="G4" s="449"/>
      <c r="H4" s="449"/>
      <c r="I4" s="449"/>
      <c r="J4" s="449"/>
      <c r="K4" s="449"/>
      <c r="L4" s="450"/>
      <c r="M4" s="451"/>
      <c r="N4" s="449"/>
      <c r="O4" s="452"/>
    </row>
    <row r="5" spans="1:28" ht="24.75" customHeight="1">
      <c r="A5" s="449"/>
      <c r="B5" s="18" t="s">
        <v>279</v>
      </c>
      <c r="C5" s="18"/>
      <c r="D5" s="13"/>
      <c r="E5" s="13"/>
      <c r="F5" s="449"/>
      <c r="G5" s="449"/>
      <c r="H5" s="449"/>
      <c r="I5" s="449"/>
      <c r="J5" s="449"/>
      <c r="K5" s="449"/>
      <c r="L5" s="450"/>
      <c r="M5" s="451"/>
      <c r="N5" s="449"/>
      <c r="O5" s="452"/>
    </row>
    <row r="6" spans="1:28" ht="24.75" customHeight="1">
      <c r="A6" s="449"/>
      <c r="B6" s="453"/>
      <c r="C6" s="5"/>
      <c r="D6" s="13"/>
      <c r="E6" s="13"/>
      <c r="F6" s="449"/>
      <c r="G6" s="449"/>
      <c r="H6" s="449"/>
      <c r="I6" s="449"/>
      <c r="J6" s="449"/>
      <c r="K6" s="449"/>
      <c r="L6" s="450"/>
      <c r="M6" s="451"/>
      <c r="N6" s="449"/>
      <c r="O6" s="452"/>
    </row>
    <row r="7" spans="1:28" ht="24.75" customHeight="1">
      <c r="A7" s="449"/>
      <c r="B7" s="184"/>
      <c r="C7" s="5"/>
      <c r="D7" s="13"/>
      <c r="E7" s="13"/>
      <c r="F7" s="449"/>
      <c r="G7" s="449"/>
      <c r="H7" s="449"/>
      <c r="I7" s="449"/>
      <c r="J7" s="449"/>
      <c r="K7" s="449"/>
      <c r="L7" s="450"/>
      <c r="M7" s="451"/>
      <c r="N7" s="449"/>
      <c r="O7" s="452"/>
    </row>
    <row r="8" spans="1:28" ht="24.75" customHeight="1">
      <c r="A8" s="449"/>
      <c r="B8" s="22" t="s">
        <v>0</v>
      </c>
      <c r="C8" s="5"/>
      <c r="D8" s="22" t="s">
        <v>1</v>
      </c>
      <c r="E8" s="13"/>
      <c r="F8" s="449"/>
      <c r="G8" s="449"/>
      <c r="H8" s="449"/>
      <c r="I8" s="449"/>
      <c r="J8" s="449"/>
      <c r="K8" s="449"/>
      <c r="L8" s="450"/>
      <c r="M8" s="451"/>
      <c r="N8" s="449"/>
      <c r="O8" s="452"/>
    </row>
    <row r="9" spans="1:28" ht="24.75" customHeight="1">
      <c r="A9" s="449"/>
      <c r="B9" s="454" t="s">
        <v>280</v>
      </c>
      <c r="C9" s="5"/>
      <c r="D9" s="449"/>
      <c r="E9" s="449"/>
      <c r="F9" s="449"/>
      <c r="G9" s="449"/>
      <c r="H9" s="449"/>
      <c r="I9" s="449"/>
      <c r="J9" s="449"/>
      <c r="K9" s="449"/>
      <c r="L9" s="450"/>
      <c r="M9" s="451"/>
      <c r="N9" s="449"/>
      <c r="O9" s="452"/>
    </row>
    <row r="10" spans="1:28" ht="24.75" customHeight="1">
      <c r="A10" s="449"/>
      <c r="B10" s="455" t="s">
        <v>281</v>
      </c>
      <c r="C10" s="25"/>
      <c r="D10" s="449"/>
      <c r="E10" s="449"/>
      <c r="F10" s="449"/>
      <c r="G10" s="449"/>
      <c r="H10" s="449"/>
      <c r="I10" s="449"/>
      <c r="J10" s="449"/>
      <c r="K10" s="449"/>
      <c r="L10" s="450"/>
      <c r="M10" s="451"/>
      <c r="N10" s="449"/>
      <c r="O10" s="452"/>
    </row>
    <row r="11" spans="1:28" s="462" customFormat="1" ht="24.75" customHeight="1">
      <c r="A11" s="456"/>
      <c r="B11" s="28"/>
      <c r="C11" s="28"/>
      <c r="D11" s="967" t="str">
        <f>"1 SEK = "&amp;EUR&amp;" EUR"</f>
        <v>1 SEK = 0,094 EUR</v>
      </c>
      <c r="E11" s="967"/>
      <c r="F11" s="967"/>
      <c r="G11" s="457"/>
      <c r="H11" s="457"/>
      <c r="I11" s="458"/>
      <c r="J11" s="456"/>
      <c r="K11" s="456"/>
      <c r="L11" s="459"/>
      <c r="M11" s="460"/>
      <c r="N11" s="456"/>
      <c r="O11" s="461"/>
    </row>
    <row r="12" spans="1:28" s="462" customFormat="1" ht="24.75" customHeight="1">
      <c r="A12" s="463"/>
      <c r="B12" s="37"/>
      <c r="C12" s="37"/>
      <c r="D12" s="38"/>
      <c r="E12" s="38"/>
      <c r="F12" s="463"/>
      <c r="G12" s="464"/>
      <c r="H12" s="464"/>
      <c r="I12" s="465"/>
      <c r="J12" s="463"/>
      <c r="K12" s="463"/>
      <c r="L12" s="466"/>
      <c r="M12" s="467"/>
      <c r="N12" s="468"/>
      <c r="O12" s="461"/>
    </row>
    <row r="13" spans="1:28" s="462" customFormat="1" ht="24.75" customHeight="1">
      <c r="B13" s="90"/>
      <c r="C13" s="34"/>
      <c r="D13" s="34"/>
      <c r="E13" s="34"/>
      <c r="G13" s="469"/>
      <c r="H13" s="469"/>
      <c r="I13" s="470"/>
      <c r="L13" s="471"/>
      <c r="M13" s="472"/>
      <c r="O13" s="461"/>
    </row>
    <row r="14" spans="1:28" s="462" customFormat="1" ht="24.75" customHeight="1">
      <c r="B14" s="90"/>
      <c r="C14" s="34"/>
      <c r="D14" s="34"/>
      <c r="E14" s="34"/>
      <c r="G14" s="469"/>
      <c r="H14" s="469"/>
      <c r="I14" s="470"/>
      <c r="L14" s="471"/>
      <c r="M14" s="472"/>
      <c r="O14" s="461"/>
    </row>
    <row r="15" spans="1:28" s="462" customFormat="1" ht="24.75" customHeight="1">
      <c r="B15" s="968" t="s">
        <v>140</v>
      </c>
      <c r="C15" s="968"/>
      <c r="D15" s="968"/>
      <c r="E15" s="968"/>
      <c r="F15" s="968"/>
      <c r="G15" s="968"/>
      <c r="H15" s="470"/>
      <c r="J15" s="473"/>
      <c r="L15" s="471"/>
      <c r="M15" s="472"/>
      <c r="O15" s="461"/>
      <c r="U15" s="474"/>
      <c r="Z15" s="474"/>
      <c r="AA15" s="474"/>
      <c r="AB15" s="474"/>
    </row>
    <row r="16" spans="1:28" s="462" customFormat="1" ht="24.75" customHeight="1">
      <c r="B16" s="968"/>
      <c r="C16" s="968"/>
      <c r="D16" s="968"/>
      <c r="E16" s="968"/>
      <c r="F16" s="968"/>
      <c r="G16" s="968"/>
      <c r="H16" s="470"/>
      <c r="J16" s="473"/>
      <c r="L16" s="471"/>
      <c r="M16" s="472"/>
      <c r="O16" s="461"/>
      <c r="U16" s="474"/>
      <c r="Z16" s="474"/>
      <c r="AA16" s="474"/>
      <c r="AB16" s="474"/>
    </row>
    <row r="17" spans="2:28" s="462" customFormat="1" ht="24.75" customHeight="1">
      <c r="B17" s="968"/>
      <c r="C17" s="968"/>
      <c r="D17" s="968"/>
      <c r="E17" s="968"/>
      <c r="F17" s="968"/>
      <c r="G17" s="968"/>
      <c r="H17" s="470"/>
      <c r="J17" s="473"/>
      <c r="L17" s="471"/>
      <c r="M17" s="472"/>
      <c r="O17" s="461"/>
      <c r="U17" s="474"/>
      <c r="Z17" s="474"/>
      <c r="AA17" s="474"/>
      <c r="AB17" s="474"/>
    </row>
    <row r="18" spans="2:28" s="462" customFormat="1" ht="24.75" customHeight="1">
      <c r="B18" s="51" t="s">
        <v>282</v>
      </c>
      <c r="C18" s="475"/>
      <c r="D18" s="475"/>
      <c r="E18" s="475"/>
      <c r="F18" s="476"/>
      <c r="H18" s="470"/>
      <c r="J18" s="473"/>
      <c r="L18" s="471"/>
      <c r="M18" s="472"/>
      <c r="O18" s="461"/>
      <c r="U18" s="474"/>
      <c r="V18" s="474"/>
      <c r="W18" s="474"/>
      <c r="X18" s="474"/>
      <c r="Y18" s="474"/>
      <c r="Z18" s="474"/>
      <c r="AA18" s="474"/>
      <c r="AB18" s="474"/>
    </row>
    <row r="19" spans="2:28" s="462" customFormat="1" ht="24.75" customHeight="1">
      <c r="B19" s="969" t="s">
        <v>6</v>
      </c>
      <c r="C19" s="969"/>
      <c r="D19" s="969"/>
      <c r="E19" s="969"/>
      <c r="F19" s="969"/>
      <c r="G19" s="478"/>
      <c r="H19" s="479"/>
      <c r="I19" s="478"/>
      <c r="J19" s="480"/>
      <c r="K19" s="478"/>
      <c r="L19" s="481"/>
      <c r="M19" s="482"/>
      <c r="N19" s="478"/>
      <c r="O19" s="483"/>
      <c r="U19" s="474"/>
      <c r="V19" s="474"/>
      <c r="W19" s="474"/>
      <c r="X19" s="474"/>
      <c r="Y19" s="474"/>
      <c r="Z19" s="474"/>
      <c r="AA19" s="474"/>
      <c r="AB19" s="474"/>
    </row>
    <row r="20" spans="2:28" s="462" customFormat="1" ht="24.75" customHeight="1">
      <c r="B20" s="58" t="s">
        <v>283</v>
      </c>
      <c r="C20" s="59"/>
      <c r="D20" s="59"/>
      <c r="E20" s="59"/>
      <c r="F20" s="484"/>
      <c r="G20" s="478"/>
      <c r="H20" s="479"/>
      <c r="I20" s="478"/>
      <c r="J20" s="480"/>
      <c r="K20" s="478"/>
      <c r="L20" s="481"/>
      <c r="M20" s="482"/>
      <c r="N20" s="478"/>
      <c r="O20" s="483"/>
      <c r="U20" s="474"/>
      <c r="V20" s="474"/>
      <c r="W20" s="474"/>
      <c r="X20" s="474"/>
      <c r="Y20" s="485"/>
      <c r="Z20" s="486"/>
      <c r="AA20" s="474"/>
      <c r="AB20" s="474"/>
    </row>
    <row r="21" spans="2:28" s="462" customFormat="1" ht="24.75" customHeight="1">
      <c r="B21" s="60"/>
      <c r="C21" s="60"/>
      <c r="D21" s="60"/>
      <c r="E21" s="60"/>
      <c r="F21" s="484"/>
      <c r="G21" s="478"/>
      <c r="H21" s="479"/>
      <c r="I21" s="478"/>
      <c r="J21" s="480"/>
      <c r="K21" s="478"/>
      <c r="L21" s="481"/>
      <c r="M21" s="482"/>
      <c r="N21" s="478"/>
      <c r="O21" s="483"/>
      <c r="R21" s="446"/>
      <c r="S21" s="446"/>
      <c r="T21" s="446"/>
      <c r="U21" s="474"/>
      <c r="V21" s="474"/>
      <c r="W21" s="474"/>
      <c r="X21" s="474"/>
      <c r="Y21" s="474"/>
      <c r="Z21" s="474"/>
      <c r="AA21" s="485"/>
      <c r="AB21" s="474"/>
    </row>
    <row r="22" spans="2:28" s="462" customFormat="1" ht="24.75" customHeight="1">
      <c r="B22" s="60"/>
      <c r="C22" s="60"/>
      <c r="D22" s="60"/>
      <c r="E22" s="60"/>
      <c r="F22" s="484"/>
      <c r="G22" s="478"/>
      <c r="H22" s="479"/>
      <c r="I22" s="478"/>
      <c r="J22" s="480"/>
      <c r="K22" s="478"/>
      <c r="L22" s="481"/>
      <c r="M22" s="482"/>
      <c r="N22" s="478"/>
      <c r="O22" s="483"/>
      <c r="R22" s="446"/>
      <c r="S22" s="446"/>
      <c r="T22" s="446"/>
      <c r="U22" s="474"/>
      <c r="V22" s="474"/>
      <c r="W22" s="474"/>
      <c r="X22" s="474"/>
      <c r="Y22" s="474"/>
      <c r="Z22" s="474"/>
      <c r="AA22" s="485"/>
      <c r="AB22" s="474"/>
    </row>
    <row r="23" spans="2:28" ht="24.75" customHeight="1">
      <c r="B23" s="487" t="s">
        <v>284</v>
      </c>
      <c r="C23" s="488"/>
      <c r="D23" s="488"/>
      <c r="K23" s="489"/>
      <c r="O23" s="452"/>
    </row>
    <row r="24" spans="2:28" s="490" customFormat="1" ht="24.75" customHeight="1">
      <c r="B24" s="74" t="s">
        <v>10</v>
      </c>
      <c r="C24" s="75" t="s">
        <v>11</v>
      </c>
      <c r="D24" s="75" t="s">
        <v>12</v>
      </c>
      <c r="E24" s="142" t="s">
        <v>285</v>
      </c>
      <c r="F24" s="491"/>
      <c r="G24" s="492" t="s">
        <v>13</v>
      </c>
      <c r="H24" s="493" t="s">
        <v>286</v>
      </c>
      <c r="I24" s="494" t="s">
        <v>287</v>
      </c>
      <c r="J24" s="491"/>
      <c r="K24" s="492" t="s">
        <v>16</v>
      </c>
      <c r="O24" s="495"/>
      <c r="Q24" s="496"/>
      <c r="R24" s="497"/>
      <c r="S24" s="497"/>
      <c r="T24" s="497"/>
      <c r="U24" s="496"/>
    </row>
    <row r="25" spans="2:28" s="474" customFormat="1" ht="24.75" customHeight="1">
      <c r="B25" s="80" t="s">
        <v>288</v>
      </c>
      <c r="C25" s="148">
        <v>1</v>
      </c>
      <c r="D25" s="148">
        <v>1</v>
      </c>
      <c r="E25" s="148">
        <v>40</v>
      </c>
      <c r="F25" s="498"/>
      <c r="G25" s="499">
        <f t="shared" ref="G25:G37" si="0">H25/720</f>
        <v>3.6424999999999999E-2</v>
      </c>
      <c r="H25" s="499">
        <f t="shared" ref="H25:H37" si="1">C25*IAAS_vcpu_EUR+D25*IAAS_ram_EUR+E25*IAAS_ssd_EUR</f>
        <v>26.225999999999999</v>
      </c>
      <c r="I25" s="500"/>
      <c r="J25" s="498" t="s">
        <v>287</v>
      </c>
      <c r="K25" s="501">
        <f t="shared" ref="K25:K37" si="2">ROUNDUP(I25*H25,2)</f>
        <v>0</v>
      </c>
      <c r="O25" s="502"/>
    </row>
    <row r="26" spans="2:28" s="474" customFormat="1" ht="24.75" customHeight="1">
      <c r="B26" s="86" t="s">
        <v>289</v>
      </c>
      <c r="C26" s="49">
        <v>1</v>
      </c>
      <c r="D26" s="49">
        <v>2</v>
      </c>
      <c r="E26" s="49">
        <v>40</v>
      </c>
      <c r="F26" s="473"/>
      <c r="G26" s="503">
        <f t="shared" si="0"/>
        <v>4.3605555555555557E-2</v>
      </c>
      <c r="H26" s="503">
        <f t="shared" si="1"/>
        <v>31.396000000000001</v>
      </c>
      <c r="I26" s="500"/>
      <c r="J26" s="473" t="str">
        <f t="shared" ref="J26:J37" si="3">J25</f>
        <v>Instances</v>
      </c>
      <c r="K26" s="504">
        <f t="shared" si="2"/>
        <v>0</v>
      </c>
      <c r="O26" s="502"/>
    </row>
    <row r="27" spans="2:28" s="474" customFormat="1" ht="24.75" customHeight="1">
      <c r="B27" s="80" t="s">
        <v>290</v>
      </c>
      <c r="C27" s="148">
        <v>2</v>
      </c>
      <c r="D27" s="148">
        <v>4</v>
      </c>
      <c r="E27" s="148">
        <v>40</v>
      </c>
      <c r="F27" s="498"/>
      <c r="G27" s="499">
        <f t="shared" si="0"/>
        <v>6.8411111111111117E-2</v>
      </c>
      <c r="H27" s="499">
        <f t="shared" si="1"/>
        <v>49.256</v>
      </c>
      <c r="I27" s="500"/>
      <c r="J27" s="498" t="str">
        <f t="shared" si="3"/>
        <v>Instances</v>
      </c>
      <c r="K27" s="501">
        <f t="shared" si="2"/>
        <v>0</v>
      </c>
      <c r="L27" s="505"/>
      <c r="O27" s="502"/>
    </row>
    <row r="28" spans="2:28" s="474" customFormat="1" ht="24.75" customHeight="1">
      <c r="B28" s="86" t="s">
        <v>291</v>
      </c>
      <c r="C28" s="49">
        <v>4</v>
      </c>
      <c r="D28" s="49">
        <v>8</v>
      </c>
      <c r="E28" s="49">
        <v>40</v>
      </c>
      <c r="F28" s="473"/>
      <c r="G28" s="503">
        <f t="shared" si="0"/>
        <v>0.11802222222222222</v>
      </c>
      <c r="H28" s="503">
        <f t="shared" si="1"/>
        <v>84.975999999999999</v>
      </c>
      <c r="I28" s="500"/>
      <c r="J28" s="473" t="str">
        <f t="shared" si="3"/>
        <v>Instances</v>
      </c>
      <c r="K28" s="504">
        <f t="shared" si="2"/>
        <v>0</v>
      </c>
      <c r="O28" s="502"/>
    </row>
    <row r="29" spans="2:28" s="474" customFormat="1" ht="24.75" customHeight="1">
      <c r="B29" s="80" t="s">
        <v>292</v>
      </c>
      <c r="C29" s="148">
        <v>8</v>
      </c>
      <c r="D29" s="148">
        <v>16</v>
      </c>
      <c r="E29" s="148">
        <v>40</v>
      </c>
      <c r="F29" s="498"/>
      <c r="G29" s="499">
        <f t="shared" si="0"/>
        <v>0.21724444444444443</v>
      </c>
      <c r="H29" s="499">
        <f t="shared" si="1"/>
        <v>156.416</v>
      </c>
      <c r="I29" s="500"/>
      <c r="J29" s="498" t="str">
        <f t="shared" si="3"/>
        <v>Instances</v>
      </c>
      <c r="K29" s="501">
        <f t="shared" si="2"/>
        <v>0</v>
      </c>
      <c r="O29" s="502"/>
    </row>
    <row r="30" spans="2:28" s="474" customFormat="1" ht="24.75" customHeight="1">
      <c r="B30" s="86" t="s">
        <v>293</v>
      </c>
      <c r="C30" s="49">
        <v>16</v>
      </c>
      <c r="D30" s="49">
        <v>32</v>
      </c>
      <c r="E30" s="49">
        <v>40</v>
      </c>
      <c r="F30" s="473"/>
      <c r="G30" s="503">
        <f t="shared" si="0"/>
        <v>0.41568888888888889</v>
      </c>
      <c r="H30" s="503">
        <f t="shared" si="1"/>
        <v>299.29599999999999</v>
      </c>
      <c r="I30" s="500"/>
      <c r="J30" s="473" t="str">
        <f t="shared" si="3"/>
        <v>Instances</v>
      </c>
      <c r="K30" s="504">
        <f t="shared" si="2"/>
        <v>0</v>
      </c>
      <c r="O30" s="502"/>
    </row>
    <row r="31" spans="2:28" s="474" customFormat="1" ht="24.75" customHeight="1">
      <c r="B31" s="80" t="s">
        <v>294</v>
      </c>
      <c r="C31" s="148">
        <v>1</v>
      </c>
      <c r="D31" s="148">
        <v>4</v>
      </c>
      <c r="E31" s="148">
        <v>40</v>
      </c>
      <c r="F31" s="498"/>
      <c r="G31" s="499">
        <f t="shared" si="0"/>
        <v>5.7966666666666673E-2</v>
      </c>
      <c r="H31" s="499">
        <f t="shared" si="1"/>
        <v>41.736000000000004</v>
      </c>
      <c r="I31" s="500"/>
      <c r="J31" s="498" t="str">
        <f t="shared" si="3"/>
        <v>Instances</v>
      </c>
      <c r="K31" s="501">
        <f t="shared" si="2"/>
        <v>0</v>
      </c>
      <c r="O31" s="502"/>
    </row>
    <row r="32" spans="2:28" s="474" customFormat="1" ht="24.75" customHeight="1">
      <c r="B32" s="86" t="s">
        <v>295</v>
      </c>
      <c r="C32" s="49">
        <v>2</v>
      </c>
      <c r="D32" s="49">
        <v>8</v>
      </c>
      <c r="E32" s="49">
        <v>40</v>
      </c>
      <c r="F32" s="473"/>
      <c r="G32" s="503">
        <f t="shared" si="0"/>
        <v>9.7133333333333349E-2</v>
      </c>
      <c r="H32" s="503">
        <f t="shared" si="1"/>
        <v>69.936000000000007</v>
      </c>
      <c r="I32" s="500"/>
      <c r="J32" s="473" t="str">
        <f t="shared" si="3"/>
        <v>Instances</v>
      </c>
      <c r="K32" s="504">
        <f t="shared" si="2"/>
        <v>0</v>
      </c>
      <c r="O32" s="502"/>
    </row>
    <row r="33" spans="2:20" s="474" customFormat="1" ht="24.75" customHeight="1">
      <c r="B33" s="80" t="s">
        <v>296</v>
      </c>
      <c r="C33" s="148">
        <v>4</v>
      </c>
      <c r="D33" s="148">
        <v>16</v>
      </c>
      <c r="E33" s="148">
        <v>40</v>
      </c>
      <c r="F33" s="498"/>
      <c r="G33" s="499">
        <f t="shared" si="0"/>
        <v>0.17546666666666666</v>
      </c>
      <c r="H33" s="499">
        <f t="shared" si="1"/>
        <v>126.336</v>
      </c>
      <c r="I33" s="500"/>
      <c r="J33" s="498" t="str">
        <f t="shared" si="3"/>
        <v>Instances</v>
      </c>
      <c r="K33" s="501">
        <f t="shared" si="2"/>
        <v>0</v>
      </c>
      <c r="O33" s="502"/>
    </row>
    <row r="34" spans="2:20" s="474" customFormat="1" ht="24.75" customHeight="1">
      <c r="B34" s="86" t="s">
        <v>297</v>
      </c>
      <c r="C34" s="49">
        <v>8</v>
      </c>
      <c r="D34" s="49">
        <v>32</v>
      </c>
      <c r="E34" s="49">
        <v>40</v>
      </c>
      <c r="F34" s="473"/>
      <c r="G34" s="503">
        <f t="shared" si="0"/>
        <v>0.33213333333333334</v>
      </c>
      <c r="H34" s="503">
        <f t="shared" si="1"/>
        <v>239.136</v>
      </c>
      <c r="I34" s="500"/>
      <c r="J34" s="473" t="str">
        <f t="shared" si="3"/>
        <v>Instances</v>
      </c>
      <c r="K34" s="504">
        <f t="shared" si="2"/>
        <v>0</v>
      </c>
      <c r="O34" s="502"/>
      <c r="R34" s="485"/>
      <c r="S34" s="485"/>
      <c r="T34" s="485"/>
    </row>
    <row r="35" spans="2:20" s="474" customFormat="1" ht="24.75" customHeight="1">
      <c r="B35" s="80" t="s">
        <v>298</v>
      </c>
      <c r="C35" s="148">
        <v>16</v>
      </c>
      <c r="D35" s="148">
        <v>64</v>
      </c>
      <c r="E35" s="148">
        <v>40</v>
      </c>
      <c r="F35" s="498"/>
      <c r="G35" s="499">
        <f t="shared" si="0"/>
        <v>0.64546666666666663</v>
      </c>
      <c r="H35" s="499">
        <f t="shared" si="1"/>
        <v>464.73599999999999</v>
      </c>
      <c r="I35" s="500"/>
      <c r="J35" s="498" t="str">
        <f t="shared" si="3"/>
        <v>Instances</v>
      </c>
      <c r="K35" s="501">
        <f t="shared" si="2"/>
        <v>0</v>
      </c>
      <c r="O35" s="502"/>
      <c r="R35" s="485"/>
      <c r="S35" s="485"/>
      <c r="T35" s="485"/>
    </row>
    <row r="36" spans="2:20" s="474" customFormat="1" ht="24.75" customHeight="1">
      <c r="B36" s="86" t="s">
        <v>299</v>
      </c>
      <c r="C36" s="49">
        <v>32</v>
      </c>
      <c r="D36" s="49">
        <v>128</v>
      </c>
      <c r="E36" s="49">
        <v>40</v>
      </c>
      <c r="F36" s="473"/>
      <c r="G36" s="503">
        <f t="shared" si="0"/>
        <v>1.2721333333333331</v>
      </c>
      <c r="H36" s="503">
        <f t="shared" si="1"/>
        <v>915.93599999999992</v>
      </c>
      <c r="I36" s="500"/>
      <c r="J36" s="473" t="str">
        <f t="shared" si="3"/>
        <v>Instances</v>
      </c>
      <c r="K36" s="504">
        <f t="shared" si="2"/>
        <v>0</v>
      </c>
      <c r="O36" s="502"/>
      <c r="R36" s="485"/>
      <c r="S36" s="485"/>
      <c r="T36" s="485"/>
    </row>
    <row r="37" spans="2:20" s="474" customFormat="1" ht="24.75" customHeight="1">
      <c r="B37" s="80" t="s">
        <v>300</v>
      </c>
      <c r="C37" s="148">
        <v>64</v>
      </c>
      <c r="D37" s="148">
        <v>256</v>
      </c>
      <c r="E37" s="148">
        <v>40</v>
      </c>
      <c r="F37" s="498"/>
      <c r="G37" s="499">
        <f t="shared" si="0"/>
        <v>2.5254666666666665</v>
      </c>
      <c r="H37" s="499">
        <f t="shared" si="1"/>
        <v>1818.336</v>
      </c>
      <c r="I37" s="500"/>
      <c r="J37" s="498" t="str">
        <f t="shared" si="3"/>
        <v>Instances</v>
      </c>
      <c r="K37" s="501">
        <f t="shared" si="2"/>
        <v>0</v>
      </c>
      <c r="O37" s="502"/>
      <c r="R37" s="485"/>
      <c r="S37" s="485"/>
      <c r="T37" s="485"/>
    </row>
    <row r="38" spans="2:20" ht="24.75" customHeight="1">
      <c r="B38" s="506" t="s">
        <v>17</v>
      </c>
      <c r="C38" s="507">
        <f t="array" ref="C38">SUM(C25:C37*I25:I37)</f>
        <v>0</v>
      </c>
      <c r="D38" s="507">
        <f t="array" ref="D38">SUM(D25:D37*I25:I37)</f>
        <v>0</v>
      </c>
      <c r="E38" s="507">
        <f t="array" ref="E38">SUM(E25:E37*I25:I37)</f>
        <v>0</v>
      </c>
      <c r="F38" s="506"/>
      <c r="G38" s="506"/>
      <c r="H38" s="506"/>
      <c r="I38" s="507">
        <f>SUM(I25:I37)</f>
        <v>0</v>
      </c>
      <c r="J38" s="506"/>
      <c r="K38" s="508" t="str">
        <f>SUM(K25:K37)&amp;" €"</f>
        <v>0 €</v>
      </c>
      <c r="O38" s="452"/>
      <c r="R38" s="485"/>
      <c r="S38" s="485"/>
      <c r="T38" s="509"/>
    </row>
    <row r="39" spans="2:20" ht="24.75" customHeight="1">
      <c r="B39" s="99"/>
      <c r="C39" s="139"/>
      <c r="D39" s="139"/>
      <c r="E39" s="139"/>
      <c r="F39" s="510"/>
      <c r="G39" s="511"/>
      <c r="H39" s="512"/>
      <c r="I39" s="513"/>
      <c r="J39" s="514"/>
      <c r="K39" s="513"/>
      <c r="O39" s="452"/>
      <c r="R39" s="485"/>
      <c r="S39" s="485"/>
      <c r="T39" s="509"/>
    </row>
    <row r="40" spans="2:20" ht="24.75" customHeight="1">
      <c r="B40" s="99"/>
      <c r="C40" s="139"/>
      <c r="D40" s="139"/>
      <c r="E40" s="139"/>
      <c r="F40" s="510"/>
      <c r="G40" s="511"/>
      <c r="H40" s="512"/>
      <c r="I40" s="513"/>
      <c r="J40" s="514"/>
      <c r="K40" s="513"/>
      <c r="O40" s="452"/>
      <c r="R40" s="485"/>
      <c r="S40" s="485"/>
      <c r="T40" s="509"/>
    </row>
    <row r="41" spans="2:20" s="515" customFormat="1" ht="24.75" customHeight="1">
      <c r="B41" s="214" t="s">
        <v>301</v>
      </c>
      <c r="C41" s="65"/>
      <c r="D41" s="65"/>
      <c r="E41" s="65"/>
      <c r="F41" s="516"/>
      <c r="G41" s="516"/>
      <c r="H41" s="517"/>
      <c r="I41" s="518"/>
      <c r="J41" s="518"/>
      <c r="K41" s="519"/>
      <c r="O41" s="520"/>
      <c r="R41" s="521"/>
      <c r="S41" s="521"/>
      <c r="T41" s="522"/>
    </row>
    <row r="42" spans="2:20" s="523" customFormat="1" ht="24.75" customHeight="1">
      <c r="B42" s="74" t="s">
        <v>10</v>
      </c>
      <c r="C42" s="75" t="s">
        <v>11</v>
      </c>
      <c r="D42" s="75" t="s">
        <v>12</v>
      </c>
      <c r="E42" s="142" t="s">
        <v>28</v>
      </c>
      <c r="F42" s="491"/>
      <c r="G42" s="492" t="s">
        <v>13</v>
      </c>
      <c r="H42" s="493" t="s">
        <v>286</v>
      </c>
      <c r="I42" s="494" t="s">
        <v>287</v>
      </c>
      <c r="J42" s="491"/>
      <c r="K42" s="492" t="s">
        <v>16</v>
      </c>
      <c r="O42" s="452"/>
      <c r="P42" s="446"/>
      <c r="Q42" s="446"/>
      <c r="R42" s="485"/>
      <c r="S42" s="485"/>
      <c r="T42" s="509"/>
    </row>
    <row r="43" spans="2:20" s="474" customFormat="1" ht="24.75" customHeight="1">
      <c r="B43" s="80" t="s">
        <v>302</v>
      </c>
      <c r="C43" s="81">
        <v>1</v>
      </c>
      <c r="D43" s="81">
        <v>1</v>
      </c>
      <c r="E43" s="524">
        <v>10</v>
      </c>
      <c r="F43" s="525"/>
      <c r="G43" s="526">
        <f t="shared" ref="G43:G66" si="4">H43/720</f>
        <v>1.8930555555555555E-2</v>
      </c>
      <c r="H43" s="526">
        <f t="shared" ref="H43:H66" si="5">C43*IAAS_vcpu_EUR+D43*IAAS_ram_EUR+E43*IAAS_nvme_EUR</f>
        <v>13.629999999999999</v>
      </c>
      <c r="I43" s="500"/>
      <c r="J43" s="498" t="str">
        <f>J37</f>
        <v>Instances</v>
      </c>
      <c r="K43" s="501">
        <f t="shared" ref="K43:K66" si="6">ROUNDUP(I43*H43,2)</f>
        <v>0</v>
      </c>
      <c r="O43" s="502"/>
      <c r="R43" s="485"/>
      <c r="T43" s="485"/>
    </row>
    <row r="44" spans="2:20" s="474" customFormat="1" ht="24.75" customHeight="1">
      <c r="B44" s="86" t="s">
        <v>303</v>
      </c>
      <c r="C44" s="87">
        <v>1</v>
      </c>
      <c r="D44" s="87">
        <v>2</v>
      </c>
      <c r="E44" s="161">
        <v>20</v>
      </c>
      <c r="F44" s="527"/>
      <c r="G44" s="528">
        <f t="shared" si="4"/>
        <v>2.7416666666666666E-2</v>
      </c>
      <c r="H44" s="528">
        <f t="shared" si="5"/>
        <v>19.739999999999998</v>
      </c>
      <c r="I44" s="500"/>
      <c r="J44" s="473" t="str">
        <f t="shared" ref="J44:J51" si="7">J43</f>
        <v>Instances</v>
      </c>
      <c r="K44" s="504">
        <f t="shared" si="6"/>
        <v>0</v>
      </c>
      <c r="O44" s="502"/>
      <c r="R44" s="485"/>
      <c r="T44" s="485"/>
    </row>
    <row r="45" spans="2:20" s="474" customFormat="1" ht="24.75" customHeight="1">
      <c r="B45" s="80" t="s">
        <v>304</v>
      </c>
      <c r="C45" s="81">
        <v>2</v>
      </c>
      <c r="D45" s="81">
        <v>4</v>
      </c>
      <c r="E45" s="524">
        <v>250</v>
      </c>
      <c r="F45" s="525"/>
      <c r="G45" s="526">
        <f t="shared" si="4"/>
        <v>8.2250000000000004E-2</v>
      </c>
      <c r="H45" s="526">
        <f t="shared" si="5"/>
        <v>59.22</v>
      </c>
      <c r="I45" s="500"/>
      <c r="J45" s="498" t="str">
        <f t="shared" si="7"/>
        <v>Instances</v>
      </c>
      <c r="K45" s="501">
        <f t="shared" si="6"/>
        <v>0</v>
      </c>
      <c r="O45" s="502"/>
      <c r="R45" s="485"/>
      <c r="T45" s="485"/>
    </row>
    <row r="46" spans="2:20" s="474" customFormat="1" ht="24.75" customHeight="1">
      <c r="B46" s="86" t="s">
        <v>305</v>
      </c>
      <c r="C46" s="87">
        <v>4</v>
      </c>
      <c r="D46" s="87">
        <v>8</v>
      </c>
      <c r="E46" s="161">
        <v>250</v>
      </c>
      <c r="F46" s="527"/>
      <c r="G46" s="528">
        <f t="shared" si="4"/>
        <v>0.1318611111111111</v>
      </c>
      <c r="H46" s="528">
        <f t="shared" si="5"/>
        <v>94.94</v>
      </c>
      <c r="I46" s="500"/>
      <c r="J46" s="473" t="str">
        <f t="shared" si="7"/>
        <v>Instances</v>
      </c>
      <c r="K46" s="504">
        <f t="shared" si="6"/>
        <v>0</v>
      </c>
      <c r="O46" s="502"/>
      <c r="R46" s="485"/>
      <c r="T46" s="485"/>
    </row>
    <row r="47" spans="2:20" s="474" customFormat="1" ht="24.75" customHeight="1">
      <c r="B47" s="80" t="s">
        <v>306</v>
      </c>
      <c r="C47" s="81">
        <v>8</v>
      </c>
      <c r="D47" s="81">
        <v>16</v>
      </c>
      <c r="E47" s="524">
        <v>250</v>
      </c>
      <c r="F47" s="525"/>
      <c r="G47" s="526">
        <f t="shared" si="4"/>
        <v>0.23108333333333334</v>
      </c>
      <c r="H47" s="526">
        <f t="shared" si="5"/>
        <v>166.38</v>
      </c>
      <c r="I47" s="500"/>
      <c r="J47" s="498" t="str">
        <f t="shared" si="7"/>
        <v>Instances</v>
      </c>
      <c r="K47" s="501">
        <f t="shared" si="6"/>
        <v>0</v>
      </c>
      <c r="O47" s="502"/>
      <c r="R47" s="485"/>
      <c r="T47" s="485"/>
    </row>
    <row r="48" spans="2:20" s="474" customFormat="1" ht="24.75" customHeight="1">
      <c r="B48" s="86" t="s">
        <v>307</v>
      </c>
      <c r="C48" s="87">
        <v>16</v>
      </c>
      <c r="D48" s="87">
        <v>32</v>
      </c>
      <c r="E48" s="161">
        <v>250</v>
      </c>
      <c r="F48" s="527"/>
      <c r="G48" s="528">
        <f t="shared" si="4"/>
        <v>0.42952777777777779</v>
      </c>
      <c r="H48" s="528">
        <f t="shared" si="5"/>
        <v>309.26</v>
      </c>
      <c r="I48" s="500"/>
      <c r="J48" s="473" t="str">
        <f t="shared" si="7"/>
        <v>Instances</v>
      </c>
      <c r="K48" s="504">
        <f t="shared" si="6"/>
        <v>0</v>
      </c>
      <c r="O48" s="502"/>
      <c r="R48" s="485"/>
      <c r="T48" s="485"/>
    </row>
    <row r="49" spans="2:20" s="474" customFormat="1" ht="24.75" customHeight="1">
      <c r="B49" s="80" t="s">
        <v>308</v>
      </c>
      <c r="C49" s="81">
        <v>16</v>
      </c>
      <c r="D49" s="81">
        <v>32</v>
      </c>
      <c r="E49" s="524">
        <v>500</v>
      </c>
      <c r="F49" s="525"/>
      <c r="G49" s="526">
        <f t="shared" si="4"/>
        <v>0.46216666666666667</v>
      </c>
      <c r="H49" s="526">
        <f t="shared" si="5"/>
        <v>332.76</v>
      </c>
      <c r="I49" s="500"/>
      <c r="J49" s="498" t="str">
        <f t="shared" si="7"/>
        <v>Instances</v>
      </c>
      <c r="K49" s="501">
        <f t="shared" si="6"/>
        <v>0</v>
      </c>
      <c r="O49" s="502"/>
      <c r="R49" s="485"/>
      <c r="T49" s="485"/>
    </row>
    <row r="50" spans="2:20" s="474" customFormat="1" ht="24.75" customHeight="1">
      <c r="B50" s="86" t="s">
        <v>309</v>
      </c>
      <c r="C50" s="87">
        <v>16</v>
      </c>
      <c r="D50" s="87">
        <v>32</v>
      </c>
      <c r="E50" s="161">
        <v>1000</v>
      </c>
      <c r="F50" s="527"/>
      <c r="G50" s="528">
        <f t="shared" si="4"/>
        <v>0.52744444444444438</v>
      </c>
      <c r="H50" s="528">
        <f t="shared" si="5"/>
        <v>379.76</v>
      </c>
      <c r="I50" s="500"/>
      <c r="J50" s="473" t="str">
        <f t="shared" si="7"/>
        <v>Instances</v>
      </c>
      <c r="K50" s="504">
        <f t="shared" si="6"/>
        <v>0</v>
      </c>
      <c r="O50" s="502"/>
      <c r="R50" s="485"/>
      <c r="T50" s="485"/>
    </row>
    <row r="51" spans="2:20" s="474" customFormat="1" ht="24.75" customHeight="1">
      <c r="B51" s="80" t="s">
        <v>310</v>
      </c>
      <c r="C51" s="81">
        <v>32</v>
      </c>
      <c r="D51" s="81">
        <v>64</v>
      </c>
      <c r="E51" s="524">
        <v>250</v>
      </c>
      <c r="F51" s="525"/>
      <c r="G51" s="526">
        <f t="shared" si="4"/>
        <v>0.82641666666666669</v>
      </c>
      <c r="H51" s="526">
        <f t="shared" si="5"/>
        <v>595.02</v>
      </c>
      <c r="I51" s="500"/>
      <c r="J51" s="498" t="str">
        <f t="shared" si="7"/>
        <v>Instances</v>
      </c>
      <c r="K51" s="501">
        <f t="shared" si="6"/>
        <v>0</v>
      </c>
      <c r="O51" s="502"/>
      <c r="R51" s="485"/>
      <c r="T51" s="485"/>
    </row>
    <row r="52" spans="2:20" s="474" customFormat="1" ht="24.75" customHeight="1">
      <c r="B52" s="86" t="s">
        <v>311</v>
      </c>
      <c r="C52" s="87">
        <v>32</v>
      </c>
      <c r="D52" s="87">
        <v>64</v>
      </c>
      <c r="E52" s="161">
        <v>500</v>
      </c>
      <c r="F52" s="527"/>
      <c r="G52" s="528">
        <f t="shared" si="4"/>
        <v>0.85905555555555557</v>
      </c>
      <c r="H52" s="528">
        <f t="shared" si="5"/>
        <v>618.52</v>
      </c>
      <c r="I52" s="500"/>
      <c r="J52" s="473" t="str">
        <f>J47</f>
        <v>Instances</v>
      </c>
      <c r="K52" s="504">
        <f t="shared" si="6"/>
        <v>0</v>
      </c>
      <c r="O52" s="502"/>
      <c r="R52" s="485"/>
      <c r="T52" s="485"/>
    </row>
    <row r="53" spans="2:20" s="474" customFormat="1" ht="24.75" customHeight="1">
      <c r="B53" s="80" t="s">
        <v>312</v>
      </c>
      <c r="C53" s="81">
        <v>32</v>
      </c>
      <c r="D53" s="81">
        <v>64</v>
      </c>
      <c r="E53" s="524">
        <v>1000</v>
      </c>
      <c r="F53" s="525"/>
      <c r="G53" s="526">
        <f t="shared" si="4"/>
        <v>0.92433333333333334</v>
      </c>
      <c r="H53" s="526">
        <f t="shared" si="5"/>
        <v>665.52</v>
      </c>
      <c r="I53" s="500"/>
      <c r="J53" s="498" t="str">
        <f t="shared" ref="J53:J66" si="8">J52</f>
        <v>Instances</v>
      </c>
      <c r="K53" s="501">
        <f t="shared" si="6"/>
        <v>0</v>
      </c>
      <c r="O53" s="502"/>
      <c r="R53" s="485"/>
      <c r="T53" s="485"/>
    </row>
    <row r="54" spans="2:20" s="474" customFormat="1" ht="24.75" customHeight="1">
      <c r="B54" s="86" t="s">
        <v>313</v>
      </c>
      <c r="C54" s="87">
        <v>1</v>
      </c>
      <c r="D54" s="87">
        <v>4</v>
      </c>
      <c r="E54" s="161">
        <v>20</v>
      </c>
      <c r="F54" s="527"/>
      <c r="G54" s="528">
        <f t="shared" si="4"/>
        <v>4.1777777777777775E-2</v>
      </c>
      <c r="H54" s="528">
        <f t="shared" si="5"/>
        <v>30.08</v>
      </c>
      <c r="I54" s="500"/>
      <c r="J54" s="473" t="str">
        <f t="shared" si="8"/>
        <v>Instances</v>
      </c>
      <c r="K54" s="504">
        <f t="shared" si="6"/>
        <v>0</v>
      </c>
      <c r="O54" s="502"/>
      <c r="R54" s="485"/>
      <c r="T54" s="485"/>
    </row>
    <row r="55" spans="2:20" s="474" customFormat="1" ht="24.75" customHeight="1">
      <c r="B55" s="80" t="s">
        <v>314</v>
      </c>
      <c r="C55" s="81">
        <v>2</v>
      </c>
      <c r="D55" s="81">
        <v>8</v>
      </c>
      <c r="E55" s="524">
        <v>250</v>
      </c>
      <c r="F55" s="525"/>
      <c r="G55" s="526">
        <f t="shared" si="4"/>
        <v>0.11097222222222224</v>
      </c>
      <c r="H55" s="526">
        <f t="shared" si="5"/>
        <v>79.900000000000006</v>
      </c>
      <c r="I55" s="500"/>
      <c r="J55" s="498" t="str">
        <f t="shared" si="8"/>
        <v>Instances</v>
      </c>
      <c r="K55" s="501">
        <f t="shared" si="6"/>
        <v>0</v>
      </c>
      <c r="O55" s="502"/>
      <c r="R55" s="485"/>
      <c r="T55" s="485"/>
    </row>
    <row r="56" spans="2:20" s="474" customFormat="1" ht="24.75" customHeight="1">
      <c r="B56" s="86" t="s">
        <v>315</v>
      </c>
      <c r="C56" s="87">
        <v>4</v>
      </c>
      <c r="D56" s="87">
        <v>16</v>
      </c>
      <c r="E56" s="161">
        <v>250</v>
      </c>
      <c r="F56" s="527"/>
      <c r="G56" s="528">
        <f t="shared" si="4"/>
        <v>0.18930555555555556</v>
      </c>
      <c r="H56" s="528">
        <f t="shared" si="5"/>
        <v>136.30000000000001</v>
      </c>
      <c r="I56" s="500"/>
      <c r="J56" s="473" t="str">
        <f t="shared" si="8"/>
        <v>Instances</v>
      </c>
      <c r="K56" s="504">
        <f t="shared" si="6"/>
        <v>0</v>
      </c>
      <c r="O56" s="502"/>
      <c r="R56" s="485"/>
      <c r="T56" s="485"/>
    </row>
    <row r="57" spans="2:20" s="474" customFormat="1" ht="24.75" customHeight="1">
      <c r="B57" s="80" t="s">
        <v>316</v>
      </c>
      <c r="C57" s="81">
        <v>8</v>
      </c>
      <c r="D57" s="81">
        <v>32</v>
      </c>
      <c r="E57" s="524">
        <v>250</v>
      </c>
      <c r="F57" s="525"/>
      <c r="G57" s="526">
        <f t="shared" si="4"/>
        <v>0.34597222222222224</v>
      </c>
      <c r="H57" s="526">
        <f t="shared" si="5"/>
        <v>249.1</v>
      </c>
      <c r="I57" s="500"/>
      <c r="J57" s="498" t="str">
        <f t="shared" si="8"/>
        <v>Instances</v>
      </c>
      <c r="K57" s="501">
        <f t="shared" si="6"/>
        <v>0</v>
      </c>
      <c r="O57" s="502"/>
      <c r="R57" s="485"/>
      <c r="T57" s="485"/>
    </row>
    <row r="58" spans="2:20" s="474" customFormat="1" ht="24.75" customHeight="1">
      <c r="B58" s="86" t="s">
        <v>317</v>
      </c>
      <c r="C58" s="87">
        <v>8</v>
      </c>
      <c r="D58" s="87">
        <v>32</v>
      </c>
      <c r="E58" s="161">
        <v>500</v>
      </c>
      <c r="F58" s="527"/>
      <c r="G58" s="528">
        <f t="shared" si="4"/>
        <v>0.37861111111111112</v>
      </c>
      <c r="H58" s="528">
        <f t="shared" si="5"/>
        <v>272.60000000000002</v>
      </c>
      <c r="I58" s="500"/>
      <c r="J58" s="473" t="str">
        <f t="shared" si="8"/>
        <v>Instances</v>
      </c>
      <c r="K58" s="504">
        <f t="shared" si="6"/>
        <v>0</v>
      </c>
      <c r="O58" s="502"/>
      <c r="R58" s="485"/>
      <c r="T58" s="485"/>
    </row>
    <row r="59" spans="2:20" s="474" customFormat="1" ht="24.75" customHeight="1">
      <c r="B59" s="80" t="s">
        <v>318</v>
      </c>
      <c r="C59" s="81">
        <v>8</v>
      </c>
      <c r="D59" s="81">
        <v>32</v>
      </c>
      <c r="E59" s="524">
        <v>1000</v>
      </c>
      <c r="F59" s="525"/>
      <c r="G59" s="526">
        <f t="shared" si="4"/>
        <v>0.44388888888888894</v>
      </c>
      <c r="H59" s="526">
        <f t="shared" si="5"/>
        <v>319.60000000000002</v>
      </c>
      <c r="I59" s="500"/>
      <c r="J59" s="498" t="str">
        <f t="shared" si="8"/>
        <v>Instances</v>
      </c>
      <c r="K59" s="501">
        <f t="shared" si="6"/>
        <v>0</v>
      </c>
      <c r="O59" s="502"/>
      <c r="R59" s="485"/>
      <c r="T59" s="485"/>
    </row>
    <row r="60" spans="2:20" s="474" customFormat="1" ht="24.75" customHeight="1">
      <c r="B60" s="86" t="s">
        <v>319</v>
      </c>
      <c r="C60" s="87">
        <v>16</v>
      </c>
      <c r="D60" s="87">
        <v>64</v>
      </c>
      <c r="E60" s="161">
        <v>250</v>
      </c>
      <c r="F60" s="527"/>
      <c r="G60" s="528">
        <f t="shared" si="4"/>
        <v>0.65930555555555559</v>
      </c>
      <c r="H60" s="528">
        <f t="shared" si="5"/>
        <v>474.7</v>
      </c>
      <c r="I60" s="500"/>
      <c r="J60" s="473" t="str">
        <f t="shared" si="8"/>
        <v>Instances</v>
      </c>
      <c r="K60" s="504">
        <f t="shared" si="6"/>
        <v>0</v>
      </c>
      <c r="O60" s="502"/>
      <c r="R60" s="485"/>
      <c r="T60" s="485"/>
    </row>
    <row r="61" spans="2:20" s="474" customFormat="1" ht="24.75" customHeight="1">
      <c r="B61" s="80" t="s">
        <v>320</v>
      </c>
      <c r="C61" s="81">
        <v>16</v>
      </c>
      <c r="D61" s="81">
        <v>64</v>
      </c>
      <c r="E61" s="524">
        <v>500</v>
      </c>
      <c r="F61" s="525"/>
      <c r="G61" s="526">
        <f t="shared" si="4"/>
        <v>0.69194444444444447</v>
      </c>
      <c r="H61" s="526">
        <f t="shared" si="5"/>
        <v>498.2</v>
      </c>
      <c r="I61" s="500"/>
      <c r="J61" s="498" t="str">
        <f t="shared" si="8"/>
        <v>Instances</v>
      </c>
      <c r="K61" s="501">
        <f t="shared" si="6"/>
        <v>0</v>
      </c>
      <c r="O61" s="502"/>
      <c r="R61" s="485"/>
      <c r="T61" s="485"/>
    </row>
    <row r="62" spans="2:20" s="474" customFormat="1" ht="24.75" customHeight="1">
      <c r="B62" s="86" t="s">
        <v>321</v>
      </c>
      <c r="C62" s="87">
        <v>16</v>
      </c>
      <c r="D62" s="87">
        <v>64</v>
      </c>
      <c r="E62" s="161">
        <v>1000</v>
      </c>
      <c r="F62" s="527"/>
      <c r="G62" s="528">
        <f t="shared" si="4"/>
        <v>0.75722222222222224</v>
      </c>
      <c r="H62" s="528">
        <f t="shared" si="5"/>
        <v>545.20000000000005</v>
      </c>
      <c r="I62" s="500"/>
      <c r="J62" s="473" t="str">
        <f t="shared" si="8"/>
        <v>Instances</v>
      </c>
      <c r="K62" s="504">
        <f t="shared" si="6"/>
        <v>0</v>
      </c>
      <c r="O62" s="502"/>
      <c r="R62" s="485"/>
      <c r="T62" s="485"/>
    </row>
    <row r="63" spans="2:20" s="474" customFormat="1" ht="24.75" customHeight="1">
      <c r="B63" s="80" t="s">
        <v>322</v>
      </c>
      <c r="C63" s="81">
        <v>32</v>
      </c>
      <c r="D63" s="81">
        <v>128</v>
      </c>
      <c r="E63" s="524">
        <v>250</v>
      </c>
      <c r="F63" s="525"/>
      <c r="G63" s="526">
        <f t="shared" si="4"/>
        <v>1.2859722222222223</v>
      </c>
      <c r="H63" s="526">
        <f t="shared" si="5"/>
        <v>925.9</v>
      </c>
      <c r="I63" s="500"/>
      <c r="J63" s="498" t="str">
        <f t="shared" si="8"/>
        <v>Instances</v>
      </c>
      <c r="K63" s="501">
        <f t="shared" si="6"/>
        <v>0</v>
      </c>
      <c r="O63" s="502"/>
      <c r="R63" s="485"/>
      <c r="T63" s="485"/>
    </row>
    <row r="64" spans="2:20" s="474" customFormat="1" ht="24.75" customHeight="1">
      <c r="B64" s="86" t="s">
        <v>323</v>
      </c>
      <c r="C64" s="87">
        <v>32</v>
      </c>
      <c r="D64" s="87">
        <v>128</v>
      </c>
      <c r="E64" s="161">
        <v>500</v>
      </c>
      <c r="F64" s="527"/>
      <c r="G64" s="528">
        <f t="shared" si="4"/>
        <v>1.3186111111111112</v>
      </c>
      <c r="H64" s="528">
        <f t="shared" si="5"/>
        <v>949.4</v>
      </c>
      <c r="I64" s="500"/>
      <c r="J64" s="473" t="str">
        <f t="shared" si="8"/>
        <v>Instances</v>
      </c>
      <c r="K64" s="504">
        <f t="shared" si="6"/>
        <v>0</v>
      </c>
      <c r="O64" s="502"/>
      <c r="R64" s="485"/>
      <c r="T64" s="485"/>
    </row>
    <row r="65" spans="2:23" s="474" customFormat="1" ht="24.75" customHeight="1">
      <c r="B65" s="80" t="s">
        <v>324</v>
      </c>
      <c r="C65" s="81">
        <v>32</v>
      </c>
      <c r="D65" s="81">
        <v>128</v>
      </c>
      <c r="E65" s="524">
        <v>1000</v>
      </c>
      <c r="F65" s="525"/>
      <c r="G65" s="526">
        <f t="shared" si="4"/>
        <v>1.3838888888888889</v>
      </c>
      <c r="H65" s="526">
        <f t="shared" si="5"/>
        <v>996.4</v>
      </c>
      <c r="I65" s="500"/>
      <c r="J65" s="498" t="str">
        <f t="shared" si="8"/>
        <v>Instances</v>
      </c>
      <c r="K65" s="501">
        <f t="shared" si="6"/>
        <v>0</v>
      </c>
      <c r="O65" s="502"/>
      <c r="R65" s="485"/>
      <c r="T65" s="485"/>
    </row>
    <row r="66" spans="2:23" s="474" customFormat="1" ht="24.75" customHeight="1">
      <c r="B66" s="86" t="s">
        <v>325</v>
      </c>
      <c r="C66" s="87">
        <v>64</v>
      </c>
      <c r="D66" s="87">
        <v>256</v>
      </c>
      <c r="E66" s="161">
        <v>1000</v>
      </c>
      <c r="F66" s="527"/>
      <c r="G66" s="528">
        <f t="shared" si="4"/>
        <v>2.6372222222222224</v>
      </c>
      <c r="H66" s="528">
        <f t="shared" si="5"/>
        <v>1898.8</v>
      </c>
      <c r="I66" s="500"/>
      <c r="J66" s="473" t="str">
        <f t="shared" si="8"/>
        <v>Instances</v>
      </c>
      <c r="K66" s="504">
        <f t="shared" si="6"/>
        <v>0</v>
      </c>
      <c r="O66" s="502"/>
      <c r="R66" s="485"/>
      <c r="T66" s="485"/>
    </row>
    <row r="67" spans="2:23" s="474" customFormat="1" ht="24.75" customHeight="1">
      <c r="B67" s="506" t="s">
        <v>17</v>
      </c>
      <c r="C67" s="529">
        <f t="array" ref="C67">SUM(C43:C66*I43:I66)</f>
        <v>0</v>
      </c>
      <c r="D67" s="529">
        <f t="array" ref="D67">SUM(D43:D66*I43:I66)</f>
        <v>0</v>
      </c>
      <c r="E67" s="530">
        <f t="array" ref="E67">SUM(E43:E66*I43:I66)</f>
        <v>0</v>
      </c>
      <c r="F67" s="529"/>
      <c r="G67" s="529"/>
      <c r="H67" s="529"/>
      <c r="I67" s="529">
        <f>SUM(I43:I66)</f>
        <v>0</v>
      </c>
      <c r="J67" s="531"/>
      <c r="K67" s="532">
        <f>SUM(K43:K65)</f>
        <v>0</v>
      </c>
      <c r="O67" s="502"/>
      <c r="R67" s="485"/>
      <c r="T67" s="485"/>
    </row>
    <row r="68" spans="2:23" ht="24.75" customHeight="1">
      <c r="B68" s="108"/>
      <c r="C68" s="109"/>
      <c r="D68" s="109"/>
      <c r="E68" s="109"/>
      <c r="F68" s="533"/>
      <c r="G68" s="534"/>
      <c r="H68" s="535"/>
      <c r="I68" s="535"/>
      <c r="J68" s="533"/>
      <c r="K68" s="536"/>
      <c r="O68" s="452"/>
      <c r="R68" s="485"/>
      <c r="S68" s="485"/>
      <c r="T68" s="509"/>
    </row>
    <row r="69" spans="2:23" ht="24.75" customHeight="1">
      <c r="B69" s="108"/>
      <c r="C69" s="109"/>
      <c r="D69" s="109"/>
      <c r="E69" s="109"/>
      <c r="F69" s="533"/>
      <c r="G69" s="534"/>
      <c r="H69" s="535"/>
      <c r="I69" s="535"/>
      <c r="J69" s="535"/>
      <c r="K69" s="533"/>
      <c r="L69" s="537"/>
      <c r="M69" s="446"/>
      <c r="O69" s="452"/>
      <c r="S69" s="485"/>
      <c r="T69" s="485"/>
      <c r="U69" s="509"/>
    </row>
    <row r="70" spans="2:23" ht="24.75" customHeight="1">
      <c r="B70" s="538" t="s">
        <v>326</v>
      </c>
      <c r="C70" s="539"/>
      <c r="D70" s="539"/>
      <c r="E70" s="539"/>
      <c r="F70" s="539"/>
      <c r="G70" s="539"/>
      <c r="H70" s="540"/>
      <c r="I70" s="447"/>
      <c r="J70" s="447"/>
      <c r="L70" s="541"/>
      <c r="M70" s="542"/>
      <c r="O70" s="452"/>
      <c r="T70" s="485"/>
      <c r="U70" s="485"/>
      <c r="V70" s="509"/>
    </row>
    <row r="71" spans="2:23" s="543" customFormat="1" ht="24.75" customHeight="1">
      <c r="B71" s="74" t="s">
        <v>10</v>
      </c>
      <c r="C71" s="75" t="s">
        <v>11</v>
      </c>
      <c r="D71" s="75" t="s">
        <v>12</v>
      </c>
      <c r="E71" s="142" t="s">
        <v>28</v>
      </c>
      <c r="F71" s="491" t="s">
        <v>29</v>
      </c>
      <c r="G71" s="492" t="s">
        <v>13</v>
      </c>
      <c r="H71" s="492" t="s">
        <v>75</v>
      </c>
      <c r="I71" s="494" t="s">
        <v>287</v>
      </c>
      <c r="J71" s="494" t="s">
        <v>327</v>
      </c>
      <c r="K71" s="491"/>
      <c r="L71" s="492" t="s">
        <v>16</v>
      </c>
      <c r="M71" s="544" t="s">
        <v>328</v>
      </c>
      <c r="N71" s="545"/>
      <c r="O71" s="546"/>
      <c r="P71" s="545"/>
      <c r="Q71" s="545"/>
      <c r="U71" s="547"/>
      <c r="V71" s="547"/>
      <c r="W71" s="548"/>
    </row>
    <row r="72" spans="2:23" s="474" customFormat="1" ht="24.75" customHeight="1">
      <c r="B72" s="80" t="s">
        <v>329</v>
      </c>
      <c r="C72" s="81">
        <v>4</v>
      </c>
      <c r="D72" s="81">
        <v>16</v>
      </c>
      <c r="E72" s="82">
        <v>250</v>
      </c>
      <c r="F72" s="525">
        <v>1</v>
      </c>
      <c r="G72" s="526">
        <f>H72/720</f>
        <v>0.90736111111111106</v>
      </c>
      <c r="H72" s="526">
        <f>C72*IAAS_vcpu_EUR+D72*IAAS_ram_EUR+E72*IAAS_nvme_EUR+F72*IAAS_gpu_EUR</f>
        <v>653.29999999999995</v>
      </c>
      <c r="I72" s="500"/>
      <c r="J72" s="500"/>
      <c r="K72" s="498" t="str">
        <f>J61</f>
        <v>Instances</v>
      </c>
      <c r="L72" s="501">
        <f>ROUNDUP(I72*H72,2)</f>
        <v>0</v>
      </c>
      <c r="M72" s="549">
        <f>J72*C72*SW_win.ser.201X_EUR</f>
        <v>0</v>
      </c>
      <c r="O72" s="502"/>
      <c r="T72" s="485"/>
      <c r="V72" s="485"/>
    </row>
    <row r="73" spans="2:23" s="474" customFormat="1" ht="24.75" customHeight="1">
      <c r="B73" s="86" t="s">
        <v>330</v>
      </c>
      <c r="C73" s="87">
        <v>8</v>
      </c>
      <c r="D73" s="87">
        <v>32</v>
      </c>
      <c r="E73" s="88">
        <v>500</v>
      </c>
      <c r="F73" s="527">
        <v>2</v>
      </c>
      <c r="G73" s="528">
        <f>H73/720</f>
        <v>1.8147222222222221</v>
      </c>
      <c r="H73" s="528">
        <f>C73*IAAS_vcpu_EUR+D73*IAAS_ram_EUR+E73*IAAS_nvme_EUR+F73*IAAS_gpu_EUR</f>
        <v>1306.5999999999999</v>
      </c>
      <c r="I73" s="500"/>
      <c r="J73" s="500"/>
      <c r="K73" s="473" t="str">
        <f>J62</f>
        <v>Instances</v>
      </c>
      <c r="L73" s="504">
        <f>ROUNDUP(I73*H73,2)</f>
        <v>0</v>
      </c>
      <c r="M73" s="550">
        <f>J73*C73*SW_win.ser.201X_EUR</f>
        <v>0</v>
      </c>
      <c r="O73" s="502"/>
      <c r="T73" s="485"/>
      <c r="V73" s="485"/>
    </row>
    <row r="74" spans="2:23" s="474" customFormat="1" ht="24.75" customHeight="1">
      <c r="B74" s="80" t="s">
        <v>331</v>
      </c>
      <c r="C74" s="81">
        <v>16</v>
      </c>
      <c r="D74" s="81">
        <v>64</v>
      </c>
      <c r="E74" s="82">
        <v>1000</v>
      </c>
      <c r="F74" s="525">
        <v>4</v>
      </c>
      <c r="G74" s="526">
        <f>H74/720</f>
        <v>3.6294444444444443</v>
      </c>
      <c r="H74" s="526">
        <f>C74*IAAS_vcpu_EUR+D74*IAAS_ram_EUR+E74*IAAS_nvme_EUR+F74*IAAS_gpu_EUR</f>
        <v>2613.1999999999998</v>
      </c>
      <c r="I74" s="500"/>
      <c r="J74" s="500"/>
      <c r="K74" s="498" t="str">
        <f>J63</f>
        <v>Instances</v>
      </c>
      <c r="L74" s="501">
        <f>ROUNDUP(I74*H74,2)</f>
        <v>0</v>
      </c>
      <c r="M74" s="549">
        <f>J74*C74*SW_win.ser.201X_EUR</f>
        <v>0</v>
      </c>
      <c r="O74" s="502"/>
      <c r="T74" s="485"/>
      <c r="V74" s="485"/>
    </row>
    <row r="75" spans="2:23" s="474" customFormat="1" ht="24.75" customHeight="1">
      <c r="B75" s="86" t="s">
        <v>332</v>
      </c>
      <c r="C75" s="87">
        <v>32</v>
      </c>
      <c r="D75" s="87">
        <v>128</v>
      </c>
      <c r="E75" s="88">
        <v>1000</v>
      </c>
      <c r="F75" s="527">
        <v>6</v>
      </c>
      <c r="G75" s="528">
        <f>H75/720</f>
        <v>5.6922222222222221</v>
      </c>
      <c r="H75" s="528">
        <f>C75*IAAS_vcpu_EUR+D75*IAAS_ram_EUR+E75*IAAS_nvme_EUR+F75*IAAS_gpu_EUR</f>
        <v>4098.3999999999996</v>
      </c>
      <c r="I75" s="500"/>
      <c r="J75" s="500"/>
      <c r="K75" s="473" t="str">
        <f>J64</f>
        <v>Instances</v>
      </c>
      <c r="L75" s="504">
        <f>ROUNDUP(I75*H75,2)</f>
        <v>0</v>
      </c>
      <c r="M75" s="550">
        <f>J75*C75*SW_win.ser.201X_EUR</f>
        <v>0</v>
      </c>
      <c r="O75" s="502"/>
      <c r="T75" s="485"/>
      <c r="V75" s="485"/>
    </row>
    <row r="76" spans="2:23" s="551" customFormat="1" ht="24.75" customHeight="1">
      <c r="B76" s="506" t="s">
        <v>17</v>
      </c>
      <c r="C76" s="552"/>
      <c r="D76" s="552"/>
      <c r="E76" s="552"/>
      <c r="F76" s="553"/>
      <c r="G76" s="554"/>
      <c r="H76" s="555"/>
      <c r="I76" s="529">
        <f>SUM(I72:I75)</f>
        <v>0</v>
      </c>
      <c r="J76" s="529">
        <f>SUM(J72:J75)</f>
        <v>0</v>
      </c>
      <c r="K76" s="531"/>
      <c r="L76" s="532">
        <f>SUM(L72:L75)</f>
        <v>0</v>
      </c>
      <c r="M76" s="556">
        <f>SUM(M72:M75)</f>
        <v>0</v>
      </c>
      <c r="N76" s="557"/>
      <c r="O76" s="558"/>
      <c r="P76" s="559"/>
      <c r="Q76" s="559"/>
      <c r="R76" s="559"/>
      <c r="S76" s="559"/>
      <c r="T76" s="560"/>
      <c r="U76" s="559"/>
      <c r="V76" s="561"/>
    </row>
    <row r="77" spans="2:23" s="474" customFormat="1" ht="24.75" customHeight="1">
      <c r="B77" s="99"/>
      <c r="C77" s="153"/>
      <c r="D77" s="153"/>
      <c r="E77" s="139"/>
      <c r="F77" s="562"/>
      <c r="G77" s="562"/>
      <c r="H77" s="486"/>
      <c r="I77" s="486"/>
      <c r="J77" s="486"/>
      <c r="K77" s="486"/>
      <c r="L77" s="563"/>
      <c r="M77" s="564"/>
      <c r="O77" s="502"/>
      <c r="T77" s="485"/>
      <c r="V77" s="485"/>
    </row>
    <row r="78" spans="2:23" s="474" customFormat="1" ht="24.75" customHeight="1">
      <c r="B78" s="99"/>
      <c r="C78" s="153"/>
      <c r="D78" s="153"/>
      <c r="E78" s="139"/>
      <c r="F78" s="562"/>
      <c r="G78" s="562"/>
      <c r="H78" s="486"/>
      <c r="I78" s="486"/>
      <c r="J78" s="486"/>
      <c r="K78" s="486"/>
      <c r="L78" s="563"/>
      <c r="M78" s="564"/>
      <c r="O78" s="502"/>
      <c r="T78" s="485"/>
      <c r="V78" s="485"/>
    </row>
    <row r="79" spans="2:23" s="515" customFormat="1" ht="24.75" customHeight="1">
      <c r="B79" s="214" t="s">
        <v>333</v>
      </c>
      <c r="C79" s="156"/>
      <c r="D79" s="156"/>
      <c r="E79" s="156"/>
      <c r="F79" s="565"/>
      <c r="G79" s="565"/>
      <c r="H79" s="486"/>
      <c r="I79" s="486"/>
      <c r="J79" s="486"/>
      <c r="K79" s="486"/>
      <c r="L79" s="563"/>
      <c r="M79" s="564"/>
      <c r="O79" s="520"/>
      <c r="P79" s="486"/>
      <c r="Q79" s="486"/>
      <c r="R79" s="486"/>
      <c r="S79" s="486"/>
      <c r="T79" s="521"/>
      <c r="U79" s="486"/>
      <c r="V79" s="522"/>
    </row>
    <row r="80" spans="2:23" s="543" customFormat="1" ht="24.75" customHeight="1">
      <c r="B80" s="74" t="s">
        <v>10</v>
      </c>
      <c r="C80" s="75" t="s">
        <v>11</v>
      </c>
      <c r="D80" s="75" t="s">
        <v>12</v>
      </c>
      <c r="E80" s="142" t="s">
        <v>28</v>
      </c>
      <c r="F80" s="491"/>
      <c r="G80" s="492" t="s">
        <v>13</v>
      </c>
      <c r="H80" s="492" t="s">
        <v>75</v>
      </c>
      <c r="I80" s="494" t="s">
        <v>287</v>
      </c>
      <c r="J80" s="494" t="s">
        <v>327</v>
      </c>
      <c r="K80" s="491"/>
      <c r="L80" s="492" t="s">
        <v>16</v>
      </c>
      <c r="M80" s="544" t="s">
        <v>328</v>
      </c>
      <c r="N80" s="545"/>
      <c r="O80" s="546"/>
      <c r="P80" s="545"/>
      <c r="Q80" s="545"/>
      <c r="U80" s="547"/>
      <c r="V80" s="547"/>
      <c r="W80" s="548"/>
    </row>
    <row r="81" spans="2:23" s="474" customFormat="1" ht="24.75" customHeight="1">
      <c r="B81" s="566" t="s">
        <v>334</v>
      </c>
      <c r="C81" s="157">
        <v>16</v>
      </c>
      <c r="D81" s="157">
        <v>128</v>
      </c>
      <c r="E81" s="158">
        <v>3800</v>
      </c>
      <c r="F81" s="567"/>
      <c r="G81" s="526">
        <f>H81/720</f>
        <v>0.89300000000000002</v>
      </c>
      <c r="H81" s="526">
        <f>INSTANCE_p1.2xlarge.16d_EUR</f>
        <v>642.96</v>
      </c>
      <c r="I81" s="500"/>
      <c r="J81" s="500"/>
      <c r="K81" s="498" t="s">
        <v>335</v>
      </c>
      <c r="L81" s="501">
        <f>ROUNDUP(I81*H81,2)</f>
        <v>0</v>
      </c>
      <c r="M81" s="549">
        <f>J81*C81*SW_win.ser.201X_EUR</f>
        <v>0</v>
      </c>
      <c r="N81" s="486"/>
      <c r="O81" s="502"/>
    </row>
    <row r="82" spans="2:23" s="474" customFormat="1" ht="24.75" customHeight="1">
      <c r="B82" s="568" t="s">
        <v>336</v>
      </c>
      <c r="C82" s="160">
        <v>32</v>
      </c>
      <c r="D82" s="160">
        <v>256</v>
      </c>
      <c r="E82" s="161">
        <v>3800</v>
      </c>
      <c r="F82" s="569"/>
      <c r="G82" s="528">
        <f>H82/720</f>
        <v>1.786</v>
      </c>
      <c r="H82" s="528">
        <f>INSTANCE_p1.4xlarge.16d_EUR</f>
        <v>1285.92</v>
      </c>
      <c r="I82" s="500"/>
      <c r="J82" s="500"/>
      <c r="K82" s="473" t="str">
        <f>K81</f>
        <v>Instanser</v>
      </c>
      <c r="L82" s="504">
        <f>ROUNDUP(I82*H82,2)</f>
        <v>0</v>
      </c>
      <c r="M82" s="550">
        <f>J82*C82*SW_win.ser.201X_EUR</f>
        <v>0</v>
      </c>
      <c r="N82" s="486"/>
      <c r="O82" s="502"/>
      <c r="W82" s="485"/>
    </row>
    <row r="83" spans="2:23" s="559" customFormat="1" ht="24.75" customHeight="1">
      <c r="B83" s="216" t="s">
        <v>337</v>
      </c>
      <c r="C83" s="165">
        <v>64</v>
      </c>
      <c r="D83" s="165">
        <v>512</v>
      </c>
      <c r="E83" s="166">
        <v>7600</v>
      </c>
      <c r="F83" s="570"/>
      <c r="G83" s="571">
        <f>H83/720</f>
        <v>3.5720000000000001</v>
      </c>
      <c r="H83" s="572">
        <f>INSTANCE_p1.8xlarge.32d_EUR</f>
        <v>2571.84</v>
      </c>
      <c r="I83" s="500"/>
      <c r="J83" s="500"/>
      <c r="K83" s="498" t="s">
        <v>335</v>
      </c>
      <c r="L83" s="501">
        <f>ROUNDUP(I83*H83,2)</f>
        <v>0</v>
      </c>
      <c r="M83" s="549">
        <f>J83*C83*SW_win.ser.201X_EUR</f>
        <v>0</v>
      </c>
      <c r="N83" s="573"/>
      <c r="O83" s="574"/>
    </row>
    <row r="84" spans="2:23" ht="24.75" customHeight="1">
      <c r="B84" s="506" t="s">
        <v>17</v>
      </c>
      <c r="C84" s="552"/>
      <c r="D84" s="552"/>
      <c r="E84" s="552"/>
      <c r="F84" s="553"/>
      <c r="G84" s="554"/>
      <c r="H84" s="555"/>
      <c r="I84" s="529">
        <f>SUM(I81:I83)</f>
        <v>0</v>
      </c>
      <c r="J84" s="529">
        <f>SUM(J81:J83)</f>
        <v>0</v>
      </c>
      <c r="K84" s="531"/>
      <c r="L84" s="532">
        <f>SUM(L81:L83)</f>
        <v>0</v>
      </c>
      <c r="M84" s="556">
        <f>SUM(M81:M83)</f>
        <v>0</v>
      </c>
      <c r="O84" s="452"/>
    </row>
    <row r="85" spans="2:23" ht="24.75" customHeight="1">
      <c r="B85" s="168"/>
      <c r="C85" s="169"/>
      <c r="D85" s="169"/>
      <c r="E85" s="169"/>
      <c r="F85" s="575"/>
      <c r="G85" s="575"/>
      <c r="H85" s="559"/>
      <c r="I85" s="576"/>
      <c r="J85" s="576"/>
      <c r="K85" s="514"/>
      <c r="L85" s="513"/>
      <c r="M85" s="577"/>
      <c r="O85" s="452"/>
    </row>
    <row r="86" spans="2:23" s="474" customFormat="1" ht="24.75" customHeight="1">
      <c r="B86" s="170"/>
      <c r="C86" s="153"/>
      <c r="D86" s="153"/>
      <c r="E86" s="153"/>
      <c r="F86" s="562"/>
      <c r="G86" s="562"/>
      <c r="H86" s="486"/>
      <c r="I86" s="486"/>
      <c r="J86" s="486"/>
      <c r="K86" s="486"/>
      <c r="L86" s="563"/>
      <c r="M86" s="564"/>
      <c r="O86" s="502"/>
      <c r="T86" s="485"/>
      <c r="V86" s="485"/>
    </row>
    <row r="87" spans="2:23" ht="24.75" customHeight="1">
      <c r="B87" s="214" t="s">
        <v>338</v>
      </c>
      <c r="C87" s="156"/>
      <c r="D87" s="156"/>
      <c r="E87" s="156"/>
      <c r="F87" s="565"/>
      <c r="G87" s="565"/>
      <c r="H87" s="486"/>
      <c r="I87" s="486"/>
      <c r="J87" s="486"/>
      <c r="K87" s="486"/>
      <c r="L87" s="563"/>
      <c r="M87" s="564"/>
      <c r="O87" s="452"/>
      <c r="P87" s="474"/>
      <c r="Q87" s="474"/>
      <c r="R87" s="474"/>
      <c r="S87" s="474"/>
      <c r="T87" s="485"/>
      <c r="U87" s="474"/>
      <c r="V87" s="509"/>
    </row>
    <row r="88" spans="2:23" s="578" customFormat="1" ht="24.75" customHeight="1">
      <c r="B88" s="74" t="s">
        <v>10</v>
      </c>
      <c r="C88" s="172" t="s">
        <v>36</v>
      </c>
      <c r="D88" s="172"/>
      <c r="E88" s="1" t="s">
        <v>13</v>
      </c>
      <c r="F88" s="970" t="s">
        <v>339</v>
      </c>
      <c r="G88" s="970"/>
      <c r="H88" s="580"/>
      <c r="I88" s="581" t="s">
        <v>185</v>
      </c>
      <c r="J88" s="580"/>
      <c r="K88" s="582"/>
      <c r="L88" s="497"/>
      <c r="O88" s="583"/>
      <c r="P88" s="497"/>
      <c r="T88" s="584"/>
      <c r="U88" s="584"/>
      <c r="V88" s="585"/>
    </row>
    <row r="89" spans="2:23" s="474" customFormat="1" ht="24.75" customHeight="1">
      <c r="B89" s="566" t="s">
        <v>340</v>
      </c>
      <c r="C89" s="179" t="s">
        <v>40</v>
      </c>
      <c r="D89" s="180"/>
      <c r="E89" s="586">
        <f>F89/720</f>
        <v>1.5666666666666666E-4</v>
      </c>
      <c r="F89" s="971">
        <f>VOLUME_large_EUR</f>
        <v>0.1128</v>
      </c>
      <c r="G89" s="971"/>
      <c r="H89" s="587"/>
      <c r="I89" s="588"/>
      <c r="J89" s="589" t="s">
        <v>84</v>
      </c>
      <c r="K89" s="590">
        <f>ROUNDUP(I89*F89,2)</f>
        <v>0</v>
      </c>
      <c r="L89" s="486"/>
      <c r="O89" s="502"/>
    </row>
    <row r="90" spans="2:23" s="474" customFormat="1" ht="24.75" customHeight="1">
      <c r="B90" s="568" t="s">
        <v>341</v>
      </c>
      <c r="C90" s="50" t="s">
        <v>42</v>
      </c>
      <c r="D90" s="167"/>
      <c r="E90" s="591">
        <f>F90/720</f>
        <v>4.7000000000000004E-4</v>
      </c>
      <c r="F90" s="972">
        <f>VOLUME_fast_EUR</f>
        <v>0.33840000000000003</v>
      </c>
      <c r="G90" s="972"/>
      <c r="H90" s="592"/>
      <c r="I90" s="593"/>
      <c r="J90" s="594" t="s">
        <v>84</v>
      </c>
      <c r="K90" s="595">
        <f>ROUNDUP(I90*F90,2)</f>
        <v>0</v>
      </c>
      <c r="L90" s="486"/>
      <c r="O90" s="502"/>
      <c r="V90" s="485"/>
    </row>
    <row r="91" spans="2:23" ht="24.75" customHeight="1">
      <c r="B91" s="506" t="s">
        <v>17</v>
      </c>
      <c r="C91" s="552"/>
      <c r="D91" s="552"/>
      <c r="E91" s="552"/>
      <c r="F91" s="554"/>
      <c r="G91" s="555"/>
      <c r="H91" s="555"/>
      <c r="I91" s="596" t="str">
        <f>SUM(I89:I90)&amp;" GB"</f>
        <v>0 GB</v>
      </c>
      <c r="J91" s="597"/>
      <c r="K91" s="556">
        <f>SUM(K89:K90)</f>
        <v>0</v>
      </c>
      <c r="O91" s="452"/>
    </row>
    <row r="92" spans="2:23" ht="24.75" customHeight="1">
      <c r="B92" s="168"/>
      <c r="C92" s="169"/>
      <c r="D92" s="169"/>
      <c r="E92" s="169"/>
      <c r="F92" s="575"/>
      <c r="G92" s="575"/>
      <c r="H92" s="598"/>
      <c r="I92" s="598"/>
      <c r="J92" s="598"/>
      <c r="K92" s="599"/>
      <c r="L92" s="600"/>
      <c r="M92" s="601"/>
      <c r="O92" s="452"/>
    </row>
    <row r="93" spans="2:23" ht="24.75" customHeight="1">
      <c r="B93" s="602"/>
      <c r="C93" s="169"/>
      <c r="D93" s="169"/>
      <c r="E93" s="169"/>
      <c r="F93" s="575"/>
      <c r="G93" s="575"/>
      <c r="H93" s="598"/>
      <c r="I93" s="598"/>
      <c r="J93" s="598"/>
      <c r="K93" s="599"/>
      <c r="L93" s="600"/>
      <c r="M93" s="601"/>
      <c r="O93" s="452"/>
    </row>
    <row r="94" spans="2:23" s="462" customFormat="1" ht="24.75" customHeight="1">
      <c r="B94" s="602"/>
      <c r="C94" s="169"/>
      <c r="D94" s="169"/>
      <c r="E94" s="169"/>
      <c r="F94" s="575"/>
      <c r="G94" s="575"/>
      <c r="H94" s="598"/>
      <c r="I94" s="598"/>
      <c r="J94" s="598"/>
      <c r="K94" s="599"/>
      <c r="L94" s="600"/>
      <c r="M94" s="601"/>
      <c r="O94" s="461"/>
    </row>
    <row r="95" spans="2:23" s="462" customFormat="1" ht="24.75" customHeight="1">
      <c r="B95" s="968" t="s">
        <v>141</v>
      </c>
      <c r="C95" s="968"/>
      <c r="D95" s="968"/>
      <c r="E95" s="968"/>
      <c r="F95" s="968"/>
      <c r="G95" s="968"/>
      <c r="H95" s="470"/>
      <c r="J95" s="473"/>
      <c r="K95" s="473"/>
      <c r="M95" s="472"/>
      <c r="O95" s="461"/>
    </row>
    <row r="96" spans="2:23" s="462" customFormat="1" ht="24.75" customHeight="1">
      <c r="B96" s="968"/>
      <c r="C96" s="968"/>
      <c r="D96" s="968"/>
      <c r="E96" s="968"/>
      <c r="F96" s="968"/>
      <c r="G96" s="968"/>
      <c r="H96" s="470"/>
      <c r="J96" s="473"/>
      <c r="K96" s="473"/>
      <c r="M96" s="472"/>
      <c r="O96" s="461"/>
    </row>
    <row r="97" spans="2:22" s="462" customFormat="1" ht="24.75" customHeight="1">
      <c r="B97" s="968"/>
      <c r="C97" s="968"/>
      <c r="D97" s="968"/>
      <c r="E97" s="968"/>
      <c r="F97" s="968"/>
      <c r="G97" s="968"/>
      <c r="H97" s="470"/>
      <c r="J97" s="473"/>
      <c r="K97" s="473"/>
      <c r="M97" s="472"/>
      <c r="O97" s="461"/>
    </row>
    <row r="98" spans="2:22" s="462" customFormat="1" ht="24.75" customHeight="1">
      <c r="B98" s="973" t="s">
        <v>342</v>
      </c>
      <c r="C98" s="973"/>
      <c r="D98" s="973"/>
      <c r="E98" s="973"/>
      <c r="F98" s="973"/>
      <c r="H98" s="470"/>
      <c r="J98" s="473"/>
      <c r="K98" s="473"/>
      <c r="M98" s="472"/>
      <c r="N98" s="478"/>
      <c r="O98" s="483"/>
    </row>
    <row r="99" spans="2:22" s="603" customFormat="1" ht="24.75" customHeight="1">
      <c r="B99" s="969" t="s">
        <v>343</v>
      </c>
      <c r="C99" s="969"/>
      <c r="D99" s="969"/>
      <c r="E99" s="969"/>
      <c r="F99" s="969"/>
      <c r="G99" s="604"/>
      <c r="H99" s="605"/>
      <c r="I99" s="604"/>
      <c r="J99" s="606"/>
      <c r="K99" s="607"/>
      <c r="L99" s="604"/>
      <c r="M99" s="608"/>
      <c r="N99" s="604"/>
      <c r="O99" s="609"/>
    </row>
    <row r="100" spans="2:22" s="462" customFormat="1" ht="24.75" customHeight="1">
      <c r="B100" s="610" t="s">
        <v>344</v>
      </c>
      <c r="C100" s="59"/>
      <c r="D100" s="59"/>
      <c r="E100" s="59"/>
      <c r="F100" s="484"/>
      <c r="G100" s="478"/>
      <c r="H100" s="479"/>
      <c r="I100" s="478"/>
      <c r="J100" s="480"/>
      <c r="K100" s="611"/>
      <c r="L100" s="611"/>
      <c r="M100" s="482"/>
      <c r="N100" s="481"/>
      <c r="O100" s="502"/>
      <c r="Q100" s="474"/>
      <c r="R100" s="474"/>
    </row>
    <row r="101" spans="2:22" s="474" customFormat="1" ht="24.75" customHeight="1">
      <c r="B101" s="170"/>
      <c r="C101" s="153"/>
      <c r="D101" s="153"/>
      <c r="E101" s="153"/>
      <c r="F101" s="562"/>
      <c r="G101" s="562"/>
      <c r="H101" s="486"/>
      <c r="I101" s="486"/>
      <c r="J101" s="486"/>
      <c r="K101" s="486"/>
      <c r="L101" s="563"/>
      <c r="M101" s="564"/>
      <c r="O101" s="502"/>
      <c r="T101" s="485"/>
      <c r="V101" s="485"/>
    </row>
    <row r="102" spans="2:22" s="462" customFormat="1" ht="24.75" customHeight="1">
      <c r="B102" s="74" t="s">
        <v>10</v>
      </c>
      <c r="C102" s="202" t="s">
        <v>345</v>
      </c>
      <c r="D102" s="970" t="s">
        <v>346</v>
      </c>
      <c r="E102" s="970"/>
      <c r="F102" s="970"/>
      <c r="G102" s="970"/>
      <c r="H102" s="581" t="s">
        <v>345</v>
      </c>
      <c r="I102" s="580"/>
      <c r="J102" s="970"/>
      <c r="K102" s="970"/>
      <c r="L102" s="579"/>
      <c r="M102" s="612" t="s">
        <v>38</v>
      </c>
      <c r="N102" s="481"/>
      <c r="O102" s="502"/>
      <c r="Q102" s="474"/>
      <c r="R102" s="474"/>
    </row>
    <row r="103" spans="2:22" s="551" customFormat="1" ht="24.75" customHeight="1">
      <c r="B103" s="216" t="s">
        <v>347</v>
      </c>
      <c r="C103" s="217"/>
      <c r="D103" s="613"/>
      <c r="E103" s="614">
        <f t="array" ref="E103">_xlfn.IFS(H103&lt;50,D104,H103&lt;100,D105,H103&lt;500,D106,H103&lt;1000,D107,H103&gt;999,D108)</f>
        <v>32.9</v>
      </c>
      <c r="F103" s="615"/>
      <c r="G103" s="615"/>
      <c r="H103" s="616">
        <v>0</v>
      </c>
      <c r="I103" s="617" t="s">
        <v>53</v>
      </c>
      <c r="J103" s="618"/>
      <c r="K103" s="618"/>
      <c r="L103" s="618"/>
      <c r="M103" s="619">
        <f t="array" ref="M103">_xlfn.IFS(H103&lt;1000,ROUNDUP(H103*E103,2),H103&gt;999,E103)</f>
        <v>0</v>
      </c>
      <c r="N103" s="620"/>
      <c r="O103" s="574"/>
      <c r="Q103" s="559"/>
      <c r="R103" s="559"/>
    </row>
    <row r="104" spans="2:22" s="462" customFormat="1" ht="24.75" customHeight="1">
      <c r="B104" s="221" t="s">
        <v>347</v>
      </c>
      <c r="C104" s="222" t="s">
        <v>54</v>
      </c>
      <c r="D104" s="974">
        <f>S3_storage.50_EUR</f>
        <v>32.9</v>
      </c>
      <c r="E104" s="974"/>
      <c r="F104" s="975"/>
      <c r="G104" s="975"/>
      <c r="H104" s="975"/>
      <c r="I104" s="975"/>
      <c r="J104" s="975"/>
      <c r="K104" s="975"/>
      <c r="L104" s="621"/>
      <c r="M104" s="622"/>
      <c r="N104" s="481"/>
      <c r="O104" s="502"/>
      <c r="Q104" s="474"/>
      <c r="R104" s="474"/>
    </row>
    <row r="105" spans="2:22" s="462" customFormat="1" ht="24.75" customHeight="1">
      <c r="B105" s="223" t="s">
        <v>347</v>
      </c>
      <c r="C105" s="224" t="s">
        <v>55</v>
      </c>
      <c r="D105" s="976">
        <f>S3_storage.100_EUR</f>
        <v>25.38</v>
      </c>
      <c r="E105" s="976"/>
      <c r="F105" s="977"/>
      <c r="G105" s="977"/>
      <c r="H105" s="977"/>
      <c r="I105" s="977"/>
      <c r="J105" s="977"/>
      <c r="K105" s="977"/>
      <c r="L105" s="623"/>
      <c r="M105" s="624"/>
      <c r="N105" s="481"/>
      <c r="O105" s="502"/>
      <c r="Q105" s="474"/>
      <c r="R105" s="474"/>
    </row>
    <row r="106" spans="2:22" s="462" customFormat="1" ht="24.75" customHeight="1">
      <c r="B106" s="221" t="s">
        <v>347</v>
      </c>
      <c r="C106" s="222" t="s">
        <v>56</v>
      </c>
      <c r="D106" s="978">
        <f>S3_storage.500_EUR</f>
        <v>18.8</v>
      </c>
      <c r="E106" s="978"/>
      <c r="F106" s="979"/>
      <c r="G106" s="979"/>
      <c r="H106" s="979"/>
      <c r="I106" s="979"/>
      <c r="J106" s="979"/>
      <c r="K106" s="979"/>
      <c r="L106" s="625"/>
      <c r="M106" s="626"/>
      <c r="N106" s="481"/>
      <c r="O106" s="502"/>
      <c r="Q106" s="474"/>
      <c r="R106" s="474"/>
    </row>
    <row r="107" spans="2:22" s="462" customFormat="1" ht="24.75" customHeight="1">
      <c r="B107" s="223" t="s">
        <v>347</v>
      </c>
      <c r="C107" s="224" t="s">
        <v>57</v>
      </c>
      <c r="D107" s="976">
        <f>S3_storage.1000_EUR</f>
        <v>17.39</v>
      </c>
      <c r="E107" s="976"/>
      <c r="F107" s="977"/>
      <c r="G107" s="977"/>
      <c r="H107" s="977"/>
      <c r="I107" s="977"/>
      <c r="J107" s="977"/>
      <c r="K107" s="977"/>
      <c r="L107" s="623"/>
      <c r="M107" s="624"/>
      <c r="N107" s="481"/>
      <c r="O107" s="502"/>
      <c r="Q107" s="474"/>
      <c r="R107" s="474"/>
    </row>
    <row r="108" spans="2:22" s="462" customFormat="1" ht="24.75" customHeight="1">
      <c r="B108" s="225" t="s">
        <v>347</v>
      </c>
      <c r="C108" s="226" t="s">
        <v>58</v>
      </c>
      <c r="D108" s="980" t="str">
        <f>S3_storage.quote_EUR</f>
        <v>Request a quote</v>
      </c>
      <c r="E108" s="980"/>
      <c r="F108" s="981"/>
      <c r="G108" s="981"/>
      <c r="H108" s="981"/>
      <c r="I108" s="981"/>
      <c r="J108" s="981"/>
      <c r="K108" s="981"/>
      <c r="L108" s="627"/>
      <c r="M108" s="628"/>
      <c r="N108" s="481"/>
      <c r="O108" s="502"/>
      <c r="Q108" s="474"/>
      <c r="R108" s="474"/>
    </row>
    <row r="109" spans="2:22" ht="24.75" customHeight="1">
      <c r="B109" s="629" t="s">
        <v>348</v>
      </c>
      <c r="C109" s="139"/>
      <c r="D109" s="630"/>
      <c r="E109" s="630"/>
      <c r="F109" s="511"/>
      <c r="G109" s="511"/>
      <c r="H109" s="512"/>
      <c r="I109" s="512"/>
      <c r="J109" s="512"/>
      <c r="K109" s="631"/>
      <c r="L109" s="631"/>
      <c r="M109" s="556">
        <f>M103</f>
        <v>0</v>
      </c>
      <c r="N109" s="620"/>
      <c r="O109" s="502"/>
      <c r="Q109" s="474"/>
      <c r="R109" s="474"/>
    </row>
    <row r="110" spans="2:22" ht="24.75" customHeight="1">
      <c r="B110" s="108"/>
      <c r="C110" s="109"/>
      <c r="D110" s="632"/>
      <c r="E110" s="632"/>
      <c r="F110" s="533"/>
      <c r="G110" s="534"/>
      <c r="H110" s="535"/>
      <c r="I110" s="535"/>
      <c r="J110" s="533"/>
      <c r="K110" s="536"/>
      <c r="M110" s="633"/>
      <c r="O110" s="452"/>
      <c r="R110" s="485"/>
      <c r="S110" s="485"/>
      <c r="T110" s="509"/>
    </row>
    <row r="111" spans="2:22" s="462" customFormat="1" ht="24.75" customHeight="1">
      <c r="B111" s="74" t="s">
        <v>10</v>
      </c>
      <c r="C111" s="202" t="s">
        <v>345</v>
      </c>
      <c r="D111" s="982" t="s">
        <v>346</v>
      </c>
      <c r="E111" s="982"/>
      <c r="F111" s="970"/>
      <c r="G111" s="970"/>
      <c r="H111" s="581" t="s">
        <v>345</v>
      </c>
      <c r="I111" s="581"/>
      <c r="J111" s="970"/>
      <c r="K111" s="970"/>
      <c r="L111" s="579"/>
      <c r="M111" s="612"/>
      <c r="N111" s="481"/>
      <c r="O111" s="502"/>
      <c r="Q111" s="474"/>
      <c r="R111" s="474"/>
    </row>
    <row r="112" spans="2:22" s="551" customFormat="1" ht="24.75" customHeight="1">
      <c r="B112" s="216" t="s">
        <v>52</v>
      </c>
      <c r="C112" s="217"/>
      <c r="D112" s="613"/>
      <c r="E112" s="614">
        <f t="array" ref="E112">_xlfn.IFS(H112&lt;50,D113,H112&lt;100,D114,H112&lt;500,D115,H112&lt;1000,D116,H112&gt;999,D117)</f>
        <v>32.9</v>
      </c>
      <c r="F112" s="615"/>
      <c r="G112" s="615"/>
      <c r="H112" s="616">
        <v>0</v>
      </c>
      <c r="I112" s="617" t="s">
        <v>53</v>
      </c>
      <c r="J112" s="618"/>
      <c r="K112" s="618"/>
      <c r="L112" s="618"/>
      <c r="M112" s="619">
        <f t="array" ref="M112">_xlfn.IFS(H112&lt;1000,ROUNDUP(H112*E112,2),H112&gt;999,E112)</f>
        <v>0</v>
      </c>
      <c r="N112" s="620"/>
      <c r="O112" s="574"/>
      <c r="Q112" s="559"/>
      <c r="R112" s="559"/>
    </row>
    <row r="113" spans="2:28" s="462" customFormat="1" ht="24.75" customHeight="1">
      <c r="B113" s="221" t="s">
        <v>52</v>
      </c>
      <c r="C113" s="222" t="s">
        <v>54</v>
      </c>
      <c r="D113" s="974">
        <f>S3_archive.50_EUR</f>
        <v>32.9</v>
      </c>
      <c r="E113" s="974"/>
      <c r="F113" s="975"/>
      <c r="G113" s="975"/>
      <c r="H113" s="975"/>
      <c r="I113" s="975"/>
      <c r="J113" s="975"/>
      <c r="K113" s="975"/>
      <c r="L113" s="621"/>
      <c r="M113" s="622"/>
      <c r="N113" s="481"/>
      <c r="O113" s="502"/>
      <c r="Q113" s="474"/>
      <c r="R113" s="474"/>
    </row>
    <row r="114" spans="2:28" s="462" customFormat="1" ht="24.75" customHeight="1">
      <c r="B114" s="223" t="s">
        <v>52</v>
      </c>
      <c r="C114" s="224" t="s">
        <v>55</v>
      </c>
      <c r="D114" s="976">
        <f>S3_archive.100_EUR</f>
        <v>25.38</v>
      </c>
      <c r="E114" s="976"/>
      <c r="F114" s="977"/>
      <c r="G114" s="977"/>
      <c r="H114" s="977"/>
      <c r="I114" s="977"/>
      <c r="J114" s="977"/>
      <c r="K114" s="977"/>
      <c r="L114" s="623"/>
      <c r="M114" s="624"/>
      <c r="N114" s="481"/>
      <c r="O114" s="502"/>
      <c r="Q114" s="474"/>
      <c r="R114" s="474"/>
    </row>
    <row r="115" spans="2:28" s="462" customFormat="1" ht="24.75" customHeight="1">
      <c r="B115" s="221" t="s">
        <v>52</v>
      </c>
      <c r="C115" s="222" t="s">
        <v>56</v>
      </c>
      <c r="D115" s="978">
        <f>S3_archive.500_EUR</f>
        <v>18.8</v>
      </c>
      <c r="E115" s="978"/>
      <c r="F115" s="979"/>
      <c r="G115" s="979"/>
      <c r="H115" s="979"/>
      <c r="I115" s="979"/>
      <c r="J115" s="979"/>
      <c r="K115" s="979"/>
      <c r="L115" s="625"/>
      <c r="M115" s="626"/>
      <c r="N115" s="481"/>
      <c r="O115" s="502"/>
      <c r="Q115" s="474"/>
      <c r="R115" s="474"/>
    </row>
    <row r="116" spans="2:28" s="462" customFormat="1" ht="24.75" customHeight="1">
      <c r="B116" s="223" t="s">
        <v>52</v>
      </c>
      <c r="C116" s="224" t="s">
        <v>57</v>
      </c>
      <c r="D116" s="976">
        <f>S3_archive.1000_EUR</f>
        <v>17.39</v>
      </c>
      <c r="E116" s="976"/>
      <c r="F116" s="977"/>
      <c r="G116" s="977"/>
      <c r="H116" s="977"/>
      <c r="I116" s="977"/>
      <c r="J116" s="977"/>
      <c r="K116" s="977"/>
      <c r="L116" s="623"/>
      <c r="M116" s="624"/>
      <c r="N116" s="481"/>
      <c r="O116" s="502"/>
      <c r="Q116" s="474"/>
      <c r="R116" s="474"/>
    </row>
    <row r="117" spans="2:28" s="462" customFormat="1" ht="24.75" customHeight="1">
      <c r="B117" s="225" t="s">
        <v>52</v>
      </c>
      <c r="C117" s="226" t="s">
        <v>58</v>
      </c>
      <c r="D117" s="980" t="str">
        <f>S3_archive.quote_EUR</f>
        <v>Request a quote</v>
      </c>
      <c r="E117" s="980"/>
      <c r="F117" s="981"/>
      <c r="G117" s="981"/>
      <c r="H117" s="981"/>
      <c r="I117" s="981"/>
      <c r="J117" s="981"/>
      <c r="K117" s="981"/>
      <c r="L117" s="627"/>
      <c r="M117" s="628"/>
      <c r="N117" s="481"/>
      <c r="O117" s="502"/>
      <c r="Q117" s="474"/>
      <c r="R117" s="474"/>
    </row>
    <row r="118" spans="2:28" s="462" customFormat="1" ht="24.75" customHeight="1">
      <c r="B118" s="629" t="s">
        <v>348</v>
      </c>
      <c r="C118" s="139"/>
      <c r="D118" s="139"/>
      <c r="E118" s="139"/>
      <c r="F118" s="511"/>
      <c r="G118" s="511"/>
      <c r="H118" s="512"/>
      <c r="I118" s="512"/>
      <c r="J118" s="512"/>
      <c r="K118" s="631"/>
      <c r="L118" s="631"/>
      <c r="M118" s="634">
        <f>M112</f>
        <v>0</v>
      </c>
      <c r="N118" s="481"/>
      <c r="O118" s="502"/>
      <c r="Q118" s="474"/>
      <c r="R118" s="474"/>
    </row>
    <row r="119" spans="2:28" s="543" customFormat="1" ht="24.75" customHeight="1">
      <c r="B119" s="4"/>
      <c r="C119" s="60"/>
      <c r="D119" s="60"/>
      <c r="E119" s="60"/>
      <c r="F119" s="484"/>
      <c r="G119" s="478"/>
      <c r="H119" s="479"/>
      <c r="I119" s="478"/>
      <c r="J119" s="480"/>
      <c r="K119" s="611"/>
      <c r="L119" s="611"/>
      <c r="M119" s="482"/>
      <c r="N119" s="481"/>
      <c r="O119" s="635"/>
      <c r="Q119" s="578"/>
      <c r="R119" s="578"/>
      <c r="S119" s="578"/>
      <c r="T119" s="578"/>
      <c r="U119" s="578"/>
      <c r="V119" s="578"/>
      <c r="W119" s="578"/>
    </row>
    <row r="120" spans="2:28" ht="24.75" customHeight="1">
      <c r="B120" s="228"/>
      <c r="C120" s="228"/>
      <c r="D120" s="228"/>
      <c r="E120" s="228"/>
      <c r="F120" s="636"/>
      <c r="G120" s="637"/>
      <c r="H120" s="598"/>
      <c r="I120" s="598"/>
      <c r="J120" s="598"/>
      <c r="K120" s="598"/>
      <c r="L120" s="598"/>
      <c r="M120" s="601"/>
      <c r="N120" s="638"/>
      <c r="O120" s="502"/>
      <c r="Q120" s="474"/>
      <c r="R120" s="474"/>
      <c r="U120" s="462"/>
    </row>
    <row r="121" spans="2:28" s="462" customFormat="1" ht="24.75" customHeight="1">
      <c r="B121" s="228"/>
      <c r="C121" s="228"/>
      <c r="D121" s="228"/>
      <c r="E121" s="228"/>
      <c r="F121" s="636"/>
      <c r="G121" s="637"/>
      <c r="H121" s="598"/>
      <c r="I121" s="598"/>
      <c r="J121" s="598"/>
      <c r="K121" s="598"/>
      <c r="L121" s="598"/>
      <c r="M121" s="601"/>
      <c r="N121" s="638"/>
      <c r="O121" s="461"/>
    </row>
    <row r="122" spans="2:28" s="462" customFormat="1" ht="24.75" customHeight="1">
      <c r="B122" s="968" t="s">
        <v>142</v>
      </c>
      <c r="C122" s="968"/>
      <c r="D122" s="968"/>
      <c r="E122" s="968"/>
      <c r="F122" s="968"/>
      <c r="G122" s="968"/>
      <c r="H122" s="470"/>
      <c r="J122" s="473"/>
      <c r="K122" s="473"/>
      <c r="L122" s="473"/>
      <c r="M122" s="472"/>
      <c r="N122" s="471"/>
      <c r="O122" s="461"/>
    </row>
    <row r="123" spans="2:28" s="462" customFormat="1" ht="24.75" customHeight="1">
      <c r="B123" s="968"/>
      <c r="C123" s="968"/>
      <c r="D123" s="968"/>
      <c r="E123" s="968"/>
      <c r="F123" s="968"/>
      <c r="G123" s="968"/>
      <c r="H123" s="470"/>
      <c r="J123" s="473"/>
      <c r="K123" s="473"/>
      <c r="L123" s="473"/>
      <c r="M123" s="472"/>
      <c r="N123" s="471"/>
      <c r="O123" s="461"/>
    </row>
    <row r="124" spans="2:28" s="462" customFormat="1" ht="24.75" customHeight="1">
      <c r="B124" s="968"/>
      <c r="C124" s="968"/>
      <c r="D124" s="968"/>
      <c r="E124" s="968"/>
      <c r="F124" s="968"/>
      <c r="G124" s="968"/>
      <c r="H124" s="470"/>
      <c r="J124" s="473"/>
      <c r="K124" s="473"/>
      <c r="L124" s="473"/>
      <c r="M124" s="472"/>
      <c r="N124" s="471"/>
      <c r="O124" s="461"/>
    </row>
    <row r="125" spans="2:28" s="462" customFormat="1" ht="24.75" customHeight="1">
      <c r="B125" s="983" t="s">
        <v>349</v>
      </c>
      <c r="C125" s="983"/>
      <c r="D125" s="983"/>
      <c r="E125" s="983"/>
      <c r="F125" s="983"/>
      <c r="H125" s="470"/>
      <c r="J125" s="473"/>
      <c r="K125" s="473"/>
      <c r="L125" s="473"/>
      <c r="M125" s="472"/>
      <c r="N125" s="471"/>
      <c r="O125" s="483"/>
    </row>
    <row r="126" spans="2:28" s="462" customFormat="1" ht="24.75" customHeight="1">
      <c r="B126" s="984" t="s">
        <v>6</v>
      </c>
      <c r="C126" s="984"/>
      <c r="D126" s="984"/>
      <c r="E126" s="984"/>
      <c r="F126" s="984"/>
      <c r="G126" s="478"/>
      <c r="H126" s="479"/>
      <c r="I126" s="478"/>
      <c r="J126" s="480"/>
      <c r="K126" s="611"/>
      <c r="L126" s="611"/>
      <c r="M126" s="482"/>
      <c r="N126" s="481"/>
      <c r="O126" s="483"/>
    </row>
    <row r="127" spans="2:28" s="486" customFormat="1" ht="24.75" customHeight="1">
      <c r="B127" s="610" t="s">
        <v>344</v>
      </c>
      <c r="C127" s="59"/>
      <c r="D127" s="59"/>
      <c r="E127" s="59"/>
      <c r="F127" s="484"/>
      <c r="G127" s="478"/>
      <c r="H127" s="479"/>
      <c r="I127" s="478"/>
      <c r="J127" s="480"/>
      <c r="K127" s="611"/>
      <c r="L127" s="611"/>
      <c r="M127" s="482"/>
      <c r="N127" s="481"/>
      <c r="O127" s="502"/>
      <c r="Q127" s="474"/>
      <c r="R127" s="474"/>
      <c r="S127" s="474"/>
      <c r="T127" s="474"/>
      <c r="U127" s="474"/>
      <c r="V127" s="474"/>
      <c r="W127" s="474"/>
      <c r="Z127" s="446"/>
      <c r="AA127" s="446"/>
      <c r="AB127" s="446"/>
    </row>
    <row r="128" spans="2:28" s="543" customFormat="1" ht="24.75" customHeight="1">
      <c r="B128" s="215"/>
      <c r="C128" s="154"/>
      <c r="D128" s="154"/>
      <c r="E128" s="154"/>
      <c r="F128" s="486"/>
      <c r="G128" s="486"/>
      <c r="H128" s="486"/>
      <c r="I128" s="486"/>
      <c r="J128" s="486"/>
      <c r="K128" s="486"/>
      <c r="L128" s="486"/>
      <c r="M128" s="564"/>
      <c r="N128" s="563"/>
      <c r="O128" s="635"/>
      <c r="R128" s="578"/>
      <c r="S128" s="578"/>
      <c r="T128" s="578"/>
      <c r="U128" s="578"/>
      <c r="V128" s="578"/>
      <c r="W128" s="578"/>
    </row>
    <row r="129" spans="2:34" ht="24.75" customHeight="1">
      <c r="B129" s="74" t="s">
        <v>10</v>
      </c>
      <c r="D129" s="580" t="s">
        <v>350</v>
      </c>
      <c r="E129" s="2"/>
      <c r="F129" s="970" t="s">
        <v>351</v>
      </c>
      <c r="G129" s="970"/>
      <c r="H129" s="581" t="s">
        <v>197</v>
      </c>
      <c r="I129" s="580"/>
      <c r="J129" s="985" t="s">
        <v>352</v>
      </c>
      <c r="K129" s="985"/>
      <c r="L129" s="639"/>
      <c r="M129" s="582" t="s">
        <v>69</v>
      </c>
      <c r="N129" s="563"/>
      <c r="O129" s="452"/>
    </row>
    <row r="130" spans="2:34" ht="24.75" customHeight="1">
      <c r="B130" s="986" t="s">
        <v>353</v>
      </c>
      <c r="C130" s="986"/>
      <c r="D130" s="641" t="s">
        <v>19</v>
      </c>
      <c r="E130" s="235"/>
      <c r="F130" s="987">
        <f>BAAS_on.demand_EUR</f>
        <v>0.2303</v>
      </c>
      <c r="G130" s="987"/>
      <c r="H130" s="642">
        <v>0</v>
      </c>
      <c r="I130" s="589" t="s">
        <v>84</v>
      </c>
      <c r="J130" s="988" t="s">
        <v>19</v>
      </c>
      <c r="K130" s="988"/>
      <c r="L130" s="643"/>
      <c r="M130" s="590">
        <f>ROUNDUP(H130*F130,2)</f>
        <v>0</v>
      </c>
      <c r="N130" s="563"/>
      <c r="O130" s="452"/>
    </row>
    <row r="131" spans="2:34" ht="24.75" customHeight="1">
      <c r="B131" s="989" t="s">
        <v>354</v>
      </c>
      <c r="C131" s="989"/>
      <c r="D131" s="645">
        <f>BAAS_small.fee_EUR</f>
        <v>517</v>
      </c>
      <c r="E131" s="646"/>
      <c r="F131" s="990">
        <f>BAAS_small_EUR</f>
        <v>0.16450000000000001</v>
      </c>
      <c r="G131" s="990"/>
      <c r="H131" s="647">
        <v>0</v>
      </c>
      <c r="I131" s="594" t="s">
        <v>84</v>
      </c>
      <c r="J131" s="991">
        <v>0.75</v>
      </c>
      <c r="K131" s="991"/>
      <c r="L131" s="594"/>
      <c r="M131" s="595">
        <f>IF(H131&gt;0,IF(SUM($D$131+($F$131*((H131*(1-$J$131))-1000)))&lt;=D131,$D$131,$D$131+($F$131*((H131*(1-$J$131))-1000))),0)</f>
        <v>0</v>
      </c>
      <c r="N131" s="563"/>
      <c r="O131" s="452"/>
    </row>
    <row r="132" spans="2:34" s="648" customFormat="1" ht="24.75" customHeight="1">
      <c r="B132" s="992" t="s">
        <v>355</v>
      </c>
      <c r="C132" s="992"/>
      <c r="D132" s="650">
        <f>BAAS_large.fee_EUR</f>
        <v>893</v>
      </c>
      <c r="E132" s="651"/>
      <c r="F132" s="993">
        <f>BAAS_large_EUR</f>
        <v>8.6480000000000001E-2</v>
      </c>
      <c r="G132" s="993"/>
      <c r="H132" s="616">
        <v>0</v>
      </c>
      <c r="I132" s="652" t="s">
        <v>84</v>
      </c>
      <c r="J132" s="994">
        <v>0.75</v>
      </c>
      <c r="K132" s="994"/>
      <c r="L132" s="652"/>
      <c r="M132" s="653">
        <f>IF(H132&gt;0,$D$132+($F$132*(H132*(1-$J$132))),0)</f>
        <v>0</v>
      </c>
      <c r="N132" s="563"/>
      <c r="O132" s="654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</row>
    <row r="133" spans="2:34" s="648" customFormat="1" ht="24.75" customHeight="1">
      <c r="B133" s="629" t="s">
        <v>348</v>
      </c>
      <c r="C133" s="139"/>
      <c r="D133" s="139"/>
      <c r="E133" s="139"/>
      <c r="F133" s="511"/>
      <c r="G133" s="512"/>
      <c r="H133" s="596" t="str">
        <f>SUM(H130:H132)&amp;" GB"</f>
        <v>0 GB</v>
      </c>
      <c r="I133" s="512"/>
      <c r="J133" s="512"/>
      <c r="K133" s="631"/>
      <c r="L133" s="631"/>
      <c r="M133" s="556">
        <f>SUM(M130:M132)</f>
        <v>0</v>
      </c>
      <c r="N133" s="563"/>
      <c r="O133" s="654"/>
      <c r="Q133" s="655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</row>
    <row r="134" spans="2:34" s="648" customFormat="1" ht="24.75" customHeight="1">
      <c r="B134" s="629"/>
      <c r="C134" s="139"/>
      <c r="D134" s="139"/>
      <c r="E134" s="139"/>
      <c r="F134" s="511"/>
      <c r="G134" s="512"/>
      <c r="H134" s="512"/>
      <c r="I134" s="512"/>
      <c r="J134" s="512"/>
      <c r="K134" s="631"/>
      <c r="L134" s="631"/>
      <c r="M134" s="577"/>
      <c r="N134" s="563"/>
      <c r="O134" s="654"/>
      <c r="Q134" s="655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</row>
    <row r="135" spans="2:34" s="648" customFormat="1" ht="24.75" customHeight="1">
      <c r="B135" s="995" t="s">
        <v>356</v>
      </c>
      <c r="C135" s="995"/>
      <c r="D135" s="995"/>
      <c r="E135" s="995"/>
      <c r="F135" s="995"/>
      <c r="G135" s="995"/>
      <c r="H135" s="995"/>
      <c r="I135" s="995"/>
      <c r="J135" s="512"/>
      <c r="K135" s="631"/>
      <c r="L135" s="631"/>
      <c r="M135" s="577"/>
      <c r="N135" s="513"/>
      <c r="O135" s="654"/>
      <c r="Q135" s="655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</row>
    <row r="136" spans="2:34" ht="24.75" customHeight="1">
      <c r="B136" s="995" t="s">
        <v>357</v>
      </c>
      <c r="C136" s="995"/>
      <c r="D136" s="995"/>
      <c r="E136" s="995"/>
      <c r="F136" s="995"/>
      <c r="G136" s="995"/>
      <c r="H136" s="995"/>
      <c r="I136" s="995"/>
      <c r="J136" s="512"/>
      <c r="K136" s="631"/>
      <c r="L136" s="631"/>
      <c r="M136" s="577"/>
      <c r="N136" s="513"/>
      <c r="O136" s="502"/>
      <c r="Q136" s="474"/>
      <c r="R136" s="474"/>
    </row>
    <row r="137" spans="2:34" ht="24.75" customHeight="1">
      <c r="B137" s="995" t="s">
        <v>358</v>
      </c>
      <c r="C137" s="995"/>
      <c r="D137" s="995"/>
      <c r="E137" s="995"/>
      <c r="F137" s="995"/>
      <c r="G137" s="995"/>
      <c r="H137" s="995"/>
      <c r="I137" s="995"/>
      <c r="J137" s="598"/>
      <c r="K137" s="598"/>
      <c r="L137" s="598"/>
      <c r="M137" s="601"/>
      <c r="N137" s="638"/>
      <c r="O137" s="502"/>
      <c r="Q137" s="474"/>
      <c r="R137" s="474"/>
    </row>
    <row r="138" spans="2:34" ht="24.75" customHeight="1">
      <c r="B138" s="995" t="s">
        <v>359</v>
      </c>
      <c r="C138" s="995"/>
      <c r="D138" s="995"/>
      <c r="E138" s="995"/>
      <c r="F138" s="995"/>
      <c r="G138" s="995"/>
      <c r="H138" s="995"/>
      <c r="I138" s="995"/>
      <c r="J138" s="598"/>
      <c r="K138" s="598"/>
      <c r="L138" s="638"/>
      <c r="M138" s="601"/>
      <c r="N138" s="486"/>
      <c r="O138" s="502"/>
      <c r="P138" s="474"/>
      <c r="Q138" s="474"/>
    </row>
    <row r="139" spans="2:34" ht="24.75" customHeight="1">
      <c r="B139" s="249"/>
      <c r="C139" s="228"/>
      <c r="D139" s="228"/>
      <c r="E139" s="228"/>
      <c r="F139" s="636"/>
      <c r="G139" s="637"/>
      <c r="H139" s="598"/>
      <c r="I139" s="598"/>
      <c r="J139" s="598"/>
      <c r="K139" s="598"/>
      <c r="L139" s="638"/>
      <c r="M139" s="601"/>
      <c r="N139" s="486"/>
      <c r="O139" s="502"/>
      <c r="P139" s="474"/>
      <c r="Q139" s="474"/>
    </row>
    <row r="140" spans="2:34" ht="24.75" customHeight="1">
      <c r="B140" s="249"/>
      <c r="C140" s="228"/>
      <c r="D140" s="228"/>
      <c r="E140" s="228"/>
      <c r="F140" s="636"/>
      <c r="G140" s="637"/>
      <c r="H140" s="598"/>
      <c r="I140" s="598"/>
      <c r="J140" s="598"/>
      <c r="K140" s="598"/>
      <c r="L140" s="638"/>
      <c r="M140" s="601"/>
      <c r="N140" s="486"/>
      <c r="O140" s="502"/>
      <c r="P140" s="474"/>
      <c r="Q140" s="474"/>
    </row>
    <row r="141" spans="2:34" ht="24.75" customHeight="1">
      <c r="B141" s="249"/>
      <c r="C141" s="228"/>
      <c r="D141" s="228"/>
      <c r="E141" s="228"/>
      <c r="F141" s="636"/>
      <c r="G141" s="637"/>
      <c r="H141" s="598"/>
      <c r="I141" s="598"/>
      <c r="J141" s="598"/>
      <c r="K141" s="598"/>
      <c r="L141" s="638"/>
      <c r="M141" s="601"/>
      <c r="N141" s="486"/>
      <c r="O141" s="502"/>
      <c r="P141" s="474"/>
      <c r="Q141" s="474"/>
    </row>
    <row r="142" spans="2:34" ht="24.75" customHeight="1">
      <c r="B142" s="249"/>
      <c r="C142" s="228"/>
      <c r="D142" s="228"/>
      <c r="E142" s="228"/>
      <c r="F142" s="636"/>
      <c r="G142" s="637"/>
      <c r="H142" s="598"/>
      <c r="I142" s="598"/>
      <c r="J142" s="598"/>
      <c r="K142" s="598"/>
      <c r="L142" s="638"/>
      <c r="M142" s="601"/>
      <c r="N142" s="486"/>
      <c r="O142" s="502"/>
      <c r="P142" s="474"/>
      <c r="Q142" s="474"/>
    </row>
    <row r="143" spans="2:34" s="462" customFormat="1" ht="24.75" customHeight="1">
      <c r="B143" s="968" t="s">
        <v>70</v>
      </c>
      <c r="C143" s="968"/>
      <c r="D143" s="968"/>
      <c r="E143" s="968"/>
      <c r="F143" s="968"/>
      <c r="G143" s="968"/>
      <c r="H143" s="470"/>
      <c r="J143" s="473"/>
      <c r="K143" s="473"/>
      <c r="M143" s="601"/>
      <c r="N143" s="486"/>
      <c r="O143" s="502"/>
    </row>
    <row r="144" spans="2:34" s="462" customFormat="1" ht="24.75" customHeight="1">
      <c r="B144" s="968"/>
      <c r="C144" s="968"/>
      <c r="D144" s="968"/>
      <c r="E144" s="968"/>
      <c r="F144" s="968"/>
      <c r="G144" s="968"/>
      <c r="H144" s="470"/>
      <c r="J144" s="473"/>
      <c r="K144" s="473"/>
      <c r="M144" s="601"/>
      <c r="N144" s="486"/>
      <c r="O144" s="502"/>
    </row>
    <row r="145" spans="2:26" s="462" customFormat="1" ht="24.75" customHeight="1">
      <c r="B145" s="968"/>
      <c r="C145" s="968"/>
      <c r="D145" s="968"/>
      <c r="E145" s="968"/>
      <c r="F145" s="968"/>
      <c r="G145" s="968"/>
      <c r="H145" s="470"/>
      <c r="J145" s="473"/>
      <c r="K145" s="473"/>
      <c r="M145" s="601"/>
      <c r="N145" s="486"/>
      <c r="O145" s="502"/>
    </row>
    <row r="146" spans="2:26" s="462" customFormat="1" ht="24.75" customHeight="1">
      <c r="B146" s="984" t="s">
        <v>6</v>
      </c>
      <c r="C146" s="984"/>
      <c r="D146" s="984"/>
      <c r="E146" s="984"/>
      <c r="F146" s="984"/>
      <c r="H146" s="470"/>
      <c r="J146" s="473"/>
      <c r="K146" s="473"/>
      <c r="M146" s="601"/>
      <c r="N146" s="486"/>
      <c r="O146" s="502"/>
    </row>
    <row r="147" spans="2:26" s="462" customFormat="1" ht="24.75" customHeight="1">
      <c r="B147" s="996"/>
      <c r="C147" s="996"/>
      <c r="D147" s="996"/>
      <c r="E147" s="996"/>
      <c r="F147" s="996"/>
      <c r="G147" s="478"/>
      <c r="H147" s="479"/>
      <c r="I147" s="478"/>
      <c r="J147" s="480"/>
      <c r="K147" s="611"/>
      <c r="L147" s="478"/>
      <c r="M147" s="601"/>
      <c r="N147" s="486"/>
      <c r="O147" s="502"/>
    </row>
    <row r="148" spans="2:26" s="462" customFormat="1" ht="24.75" customHeight="1">
      <c r="B148" s="60"/>
      <c r="C148" s="60"/>
      <c r="D148" s="60"/>
      <c r="E148" s="60"/>
      <c r="F148" s="484"/>
      <c r="G148" s="478"/>
      <c r="H148" s="478"/>
      <c r="I148" s="478"/>
      <c r="J148" s="478"/>
      <c r="K148" s="478"/>
      <c r="L148" s="478"/>
      <c r="M148" s="482"/>
      <c r="N148" s="480"/>
      <c r="O148" s="502"/>
      <c r="P148" s="478"/>
      <c r="Q148" s="481"/>
      <c r="R148" s="638"/>
      <c r="S148" s="486"/>
    </row>
    <row r="149" spans="2:26" s="486" customFormat="1" ht="24.75" customHeight="1">
      <c r="B149" s="214" t="s">
        <v>71</v>
      </c>
      <c r="C149" s="60"/>
      <c r="D149" s="60"/>
      <c r="E149" s="60"/>
      <c r="F149" s="484"/>
      <c r="G149" s="478"/>
      <c r="H149" s="478"/>
      <c r="I149" s="478"/>
      <c r="J149" s="478"/>
      <c r="K149" s="478"/>
      <c r="L149" s="478"/>
      <c r="M149" s="482"/>
      <c r="N149" s="480"/>
      <c r="O149" s="502"/>
      <c r="P149" s="478"/>
      <c r="Q149" s="481"/>
      <c r="R149" s="638"/>
      <c r="U149" s="474"/>
      <c r="V149" s="474"/>
      <c r="W149" s="474"/>
      <c r="X149" s="474"/>
      <c r="Y149" s="474"/>
      <c r="Z149" s="474"/>
    </row>
    <row r="150" spans="2:26" ht="24.75" customHeight="1">
      <c r="B150" s="252" t="s">
        <v>10</v>
      </c>
      <c r="C150" s="251" t="s">
        <v>73</v>
      </c>
      <c r="D150" s="251"/>
      <c r="E150" s="172" t="s">
        <v>36</v>
      </c>
      <c r="F150" s="580"/>
      <c r="G150" s="579"/>
      <c r="H150" s="579"/>
      <c r="I150" s="579"/>
      <c r="J150" s="579"/>
      <c r="K150" s="657" t="s">
        <v>360</v>
      </c>
      <c r="L150" s="997" t="s">
        <v>75</v>
      </c>
      <c r="M150" s="997"/>
      <c r="N150" s="496"/>
      <c r="O150" s="502"/>
      <c r="P150" s="658"/>
      <c r="Q150" s="496"/>
      <c r="R150" s="638"/>
      <c r="S150" s="486"/>
    </row>
    <row r="151" spans="2:26" ht="24.75" customHeight="1">
      <c r="B151" s="566" t="s">
        <v>361</v>
      </c>
      <c r="C151" s="184" t="s">
        <v>77</v>
      </c>
      <c r="D151" s="253"/>
      <c r="E151" s="179" t="s">
        <v>78</v>
      </c>
      <c r="F151" s="589"/>
      <c r="G151" s="659"/>
      <c r="H151" s="659"/>
      <c r="I151" s="659"/>
      <c r="J151" s="659"/>
      <c r="K151" s="660" t="s">
        <v>206</v>
      </c>
      <c r="L151" s="998">
        <f>NET_publicv4_EUR</f>
        <v>2.35</v>
      </c>
      <c r="M151" s="998"/>
      <c r="O151" s="502"/>
      <c r="P151" s="447"/>
      <c r="R151" s="638"/>
      <c r="S151" s="486"/>
    </row>
    <row r="152" spans="2:26" ht="24.75" customHeight="1">
      <c r="B152" s="568" t="s">
        <v>362</v>
      </c>
      <c r="C152" s="190" t="s">
        <v>81</v>
      </c>
      <c r="D152" s="256"/>
      <c r="E152" s="50" t="s">
        <v>78</v>
      </c>
      <c r="F152" s="661"/>
      <c r="G152" s="662"/>
      <c r="H152" s="662"/>
      <c r="I152" s="662"/>
      <c r="J152" s="662"/>
      <c r="K152" s="663" t="s">
        <v>19</v>
      </c>
      <c r="L152" s="999">
        <f>NET_publicv6_EUR</f>
        <v>0</v>
      </c>
      <c r="M152" s="999"/>
      <c r="O152" s="502"/>
      <c r="P152" s="447"/>
      <c r="R152" s="638"/>
      <c r="S152" s="486"/>
    </row>
    <row r="153" spans="2:26" ht="24.75" customHeight="1">
      <c r="B153" s="566" t="s">
        <v>363</v>
      </c>
      <c r="C153" s="184" t="s">
        <v>83</v>
      </c>
      <c r="D153" s="253"/>
      <c r="E153" s="260"/>
      <c r="F153" s="664"/>
      <c r="G153" s="659"/>
      <c r="H153" s="659"/>
      <c r="I153" s="659"/>
      <c r="J153" s="659"/>
      <c r="K153" s="660" t="s">
        <v>84</v>
      </c>
      <c r="L153" s="1000">
        <f>NET_ingress_EUR</f>
        <v>0</v>
      </c>
      <c r="M153" s="1000"/>
      <c r="O153" s="502"/>
      <c r="P153" s="447"/>
      <c r="R153" s="638"/>
      <c r="S153" s="486"/>
    </row>
    <row r="154" spans="2:26" ht="24.75" customHeight="1">
      <c r="B154" s="568" t="s">
        <v>364</v>
      </c>
      <c r="C154" s="190" t="s">
        <v>83</v>
      </c>
      <c r="D154" s="256"/>
      <c r="E154" s="50" t="s">
        <v>365</v>
      </c>
      <c r="F154" s="661"/>
      <c r="G154" s="665"/>
      <c r="H154" s="665"/>
      <c r="I154" s="665"/>
      <c r="J154" s="665"/>
      <c r="K154" s="666" t="s">
        <v>84</v>
      </c>
      <c r="L154" s="999">
        <f>NET_egress_EUR</f>
        <v>0</v>
      </c>
      <c r="M154" s="999"/>
      <c r="O154" s="502"/>
      <c r="P154" s="447"/>
      <c r="R154" s="638"/>
      <c r="S154" s="486"/>
    </row>
    <row r="155" spans="2:26" ht="24.75" customHeight="1">
      <c r="B155" s="566" t="s">
        <v>366</v>
      </c>
      <c r="C155" s="184" t="s">
        <v>367</v>
      </c>
      <c r="D155" s="253"/>
      <c r="E155" s="184"/>
      <c r="F155" s="664"/>
      <c r="G155" s="659"/>
      <c r="H155" s="659"/>
      <c r="I155" s="659"/>
      <c r="J155" s="659"/>
      <c r="K155" s="660" t="s">
        <v>89</v>
      </c>
      <c r="L155" s="1001">
        <f>NET_mgn.slb_EUR</f>
        <v>25.85</v>
      </c>
      <c r="M155" s="1001"/>
      <c r="O155" s="502"/>
      <c r="Q155" s="489"/>
    </row>
    <row r="156" spans="2:26" ht="24.75" customHeight="1">
      <c r="B156" s="568" t="s">
        <v>368</v>
      </c>
      <c r="C156" s="190" t="s">
        <v>91</v>
      </c>
      <c r="D156" s="256"/>
      <c r="E156" s="50"/>
      <c r="F156" s="661"/>
      <c r="G156" s="665"/>
      <c r="H156" s="665"/>
      <c r="I156" s="665"/>
      <c r="J156" s="665"/>
      <c r="K156" s="663" t="s">
        <v>19</v>
      </c>
      <c r="L156" s="999">
        <f>NET_rdns_EUR</f>
        <v>0</v>
      </c>
      <c r="M156" s="999"/>
      <c r="O156" s="502"/>
      <c r="P156" s="447"/>
      <c r="R156" s="638"/>
      <c r="S156" s="486"/>
    </row>
    <row r="157" spans="2:26" ht="24.75" customHeight="1">
      <c r="B157" s="566" t="s">
        <v>369</v>
      </c>
      <c r="C157" s="184" t="s">
        <v>93</v>
      </c>
      <c r="D157" s="253"/>
      <c r="E157" s="184"/>
      <c r="F157" s="664"/>
      <c r="G157" s="659"/>
      <c r="H157" s="659"/>
      <c r="I157" s="659"/>
      <c r="J157" s="659"/>
      <c r="K157" s="660" t="s">
        <v>19</v>
      </c>
      <c r="L157" s="1001">
        <f>NET_byoip_EUR</f>
        <v>0</v>
      </c>
      <c r="M157" s="1001"/>
      <c r="O157" s="502"/>
      <c r="P157" s="447"/>
      <c r="R157" s="638"/>
      <c r="S157" s="486"/>
    </row>
    <row r="158" spans="2:26" ht="24.75" customHeight="1">
      <c r="B158" s="265"/>
      <c r="C158" s="265"/>
      <c r="D158" s="266"/>
      <c r="E158" s="266"/>
      <c r="F158" s="667"/>
      <c r="G158" s="667"/>
      <c r="H158" s="667"/>
      <c r="I158" s="667"/>
      <c r="J158" s="667"/>
      <c r="K158" s="668"/>
      <c r="L158" s="1002"/>
      <c r="M158" s="1002"/>
      <c r="O158" s="502"/>
      <c r="P158" s="447"/>
      <c r="R158" s="638"/>
      <c r="S158" s="486"/>
    </row>
    <row r="159" spans="2:26" ht="24.75" customHeight="1">
      <c r="B159" s="446"/>
      <c r="C159" s="446"/>
      <c r="D159" s="131"/>
      <c r="E159" s="131"/>
      <c r="F159" s="496"/>
      <c r="G159" s="496"/>
      <c r="H159" s="496"/>
      <c r="I159" s="496"/>
      <c r="J159" s="496"/>
      <c r="K159" s="669"/>
      <c r="L159" s="1003"/>
      <c r="M159" s="1003"/>
      <c r="O159" s="502"/>
      <c r="Q159" s="489"/>
      <c r="R159" s="638"/>
      <c r="S159" s="486"/>
    </row>
    <row r="160" spans="2:26" ht="24.75" customHeight="1">
      <c r="B160" s="252" t="s">
        <v>10</v>
      </c>
      <c r="C160" s="251"/>
      <c r="D160" s="172"/>
      <c r="E160" s="172" t="s">
        <v>36</v>
      </c>
      <c r="F160" s="580"/>
      <c r="G160" s="579"/>
      <c r="H160" s="579"/>
      <c r="I160" s="579"/>
      <c r="J160" s="579"/>
      <c r="K160" s="657" t="s">
        <v>360</v>
      </c>
      <c r="L160" s="997" t="s">
        <v>75</v>
      </c>
      <c r="M160" s="997"/>
      <c r="O160" s="502"/>
      <c r="R160" s="638"/>
      <c r="S160" s="486"/>
    </row>
    <row r="161" spans="2:22" ht="24.75" customHeight="1">
      <c r="B161" s="566" t="s">
        <v>370</v>
      </c>
      <c r="C161" s="253"/>
      <c r="D161" s="184"/>
      <c r="E161" s="184" t="s">
        <v>371</v>
      </c>
      <c r="F161" s="589"/>
      <c r="G161" s="659"/>
      <c r="H161" s="659"/>
      <c r="I161" s="659"/>
      <c r="J161" s="659"/>
      <c r="K161" s="660" t="s">
        <v>11</v>
      </c>
      <c r="L161" s="998">
        <f>SW_win.ser.201X_EUR</f>
        <v>16.45</v>
      </c>
      <c r="M161" s="998"/>
      <c r="N161" s="598"/>
      <c r="O161" s="502"/>
      <c r="Q161" s="638"/>
      <c r="R161" s="638"/>
      <c r="S161" s="486"/>
      <c r="U161" s="474"/>
      <c r="V161" s="474"/>
    </row>
    <row r="162" spans="2:22" ht="24.75" customHeight="1">
      <c r="B162" s="568" t="s">
        <v>372</v>
      </c>
      <c r="C162" s="256"/>
      <c r="D162" s="190"/>
      <c r="E162" s="190" t="s">
        <v>373</v>
      </c>
      <c r="F162" s="661"/>
      <c r="G162" s="662"/>
      <c r="H162" s="662"/>
      <c r="I162" s="662"/>
      <c r="J162" s="662"/>
      <c r="K162" s="666" t="s">
        <v>11</v>
      </c>
      <c r="L162" s="1004">
        <f>SW_win.ser.201X_EUR</f>
        <v>16.45</v>
      </c>
      <c r="M162" s="1004"/>
      <c r="N162" s="598"/>
      <c r="O162" s="502"/>
      <c r="Q162" s="638"/>
      <c r="R162" s="638"/>
      <c r="S162" s="486"/>
      <c r="U162" s="474"/>
      <c r="V162" s="474"/>
    </row>
    <row r="163" spans="2:22" s="462" customFormat="1" ht="24.75" customHeight="1">
      <c r="B163" s="566" t="s">
        <v>374</v>
      </c>
      <c r="C163" s="253"/>
      <c r="D163" s="184"/>
      <c r="E163" s="184" t="s">
        <v>375</v>
      </c>
      <c r="F163" s="589"/>
      <c r="G163" s="659"/>
      <c r="H163" s="659"/>
      <c r="I163" s="659"/>
      <c r="J163" s="659"/>
      <c r="K163" s="660" t="s">
        <v>11</v>
      </c>
      <c r="L163" s="1001">
        <f>SW_ms.sql.ser_EUR</f>
        <v>115.526</v>
      </c>
      <c r="M163" s="1001"/>
      <c r="O163" s="502"/>
      <c r="P163" s="446"/>
      <c r="R163" s="638"/>
      <c r="S163" s="486"/>
    </row>
    <row r="164" spans="2:22" ht="24.75" customHeight="1">
      <c r="B164" s="568" t="s">
        <v>376</v>
      </c>
      <c r="C164" s="256"/>
      <c r="D164" s="190"/>
      <c r="E164" s="190" t="s">
        <v>377</v>
      </c>
      <c r="F164" s="661"/>
      <c r="G164" s="662"/>
      <c r="H164" s="662"/>
      <c r="I164" s="662"/>
      <c r="J164" s="662"/>
      <c r="K164" s="666" t="s">
        <v>89</v>
      </c>
      <c r="L164" s="1005" t="str">
        <f>SW_stackn_EUR</f>
        <v>Request a quote</v>
      </c>
      <c r="M164" s="1005"/>
      <c r="O164" s="502"/>
      <c r="R164" s="638"/>
      <c r="S164" s="486"/>
    </row>
    <row r="165" spans="2:22" ht="24.75" customHeight="1">
      <c r="B165" s="566" t="s">
        <v>378</v>
      </c>
      <c r="C165" s="253"/>
      <c r="D165" s="184"/>
      <c r="E165" s="184" t="s">
        <v>379</v>
      </c>
      <c r="F165" s="589"/>
      <c r="G165" s="659"/>
      <c r="H165" s="659"/>
      <c r="I165" s="659"/>
      <c r="J165" s="659"/>
      <c r="K165" s="670" t="s">
        <v>19</v>
      </c>
      <c r="L165" s="1006" t="str">
        <f>SW_nextcloud_EUR</f>
        <v>Request a quote</v>
      </c>
      <c r="M165" s="1006"/>
      <c r="N165" s="598"/>
      <c r="O165" s="502"/>
      <c r="Q165" s="638"/>
      <c r="R165" s="638"/>
      <c r="S165" s="486"/>
      <c r="U165" s="474"/>
      <c r="V165" s="474"/>
    </row>
    <row r="166" spans="2:22" s="462" customFormat="1" ht="24.75" customHeight="1">
      <c r="B166" s="568" t="s">
        <v>380</v>
      </c>
      <c r="C166" s="256"/>
      <c r="D166" s="190"/>
      <c r="E166" s="190" t="s">
        <v>381</v>
      </c>
      <c r="F166" s="661"/>
      <c r="G166" s="662"/>
      <c r="H166" s="662"/>
      <c r="I166" s="662"/>
      <c r="J166" s="662"/>
      <c r="K166" s="663" t="s">
        <v>19</v>
      </c>
      <c r="L166" s="1005" t="str">
        <f>SW_suse_EUR</f>
        <v>Request a quote</v>
      </c>
      <c r="M166" s="1005"/>
      <c r="O166" s="502"/>
      <c r="P166" s="446"/>
      <c r="R166" s="638"/>
      <c r="S166" s="486"/>
    </row>
    <row r="167" spans="2:22" ht="24.75" customHeight="1">
      <c r="B167" s="566" t="s">
        <v>382</v>
      </c>
      <c r="C167" s="253"/>
      <c r="D167" s="184"/>
      <c r="E167" s="184" t="s">
        <v>383</v>
      </c>
      <c r="F167" s="589"/>
      <c r="G167" s="659"/>
      <c r="H167" s="659"/>
      <c r="I167" s="659"/>
      <c r="J167" s="659"/>
      <c r="K167" s="670" t="s">
        <v>89</v>
      </c>
      <c r="L167" s="1006" t="str">
        <f>SW_cluster.control_EUR</f>
        <v>3x instance price</v>
      </c>
      <c r="M167" s="1006"/>
      <c r="O167" s="502"/>
      <c r="R167" s="638"/>
      <c r="S167" s="486"/>
    </row>
    <row r="168" spans="2:22" ht="24.75" customHeight="1">
      <c r="B168" s="568" t="s">
        <v>384</v>
      </c>
      <c r="C168" s="256"/>
      <c r="D168" s="190"/>
      <c r="E168" s="190" t="s">
        <v>385</v>
      </c>
      <c r="F168" s="661"/>
      <c r="G168" s="662"/>
      <c r="H168" s="662"/>
      <c r="I168" s="662"/>
      <c r="J168" s="662"/>
      <c r="K168" s="666" t="s">
        <v>386</v>
      </c>
      <c r="L168" s="1007">
        <f>SW_backup.ninja_EUR</f>
        <v>37.6</v>
      </c>
      <c r="M168" s="1007"/>
      <c r="O168" s="502"/>
      <c r="R168" s="638"/>
      <c r="S168" s="486"/>
    </row>
    <row r="169" spans="2:22" ht="24.75" customHeight="1">
      <c r="B169" s="270"/>
      <c r="C169" s="271"/>
      <c r="D169" s="272"/>
      <c r="E169" s="272"/>
      <c r="F169" s="671"/>
      <c r="G169" s="672"/>
      <c r="H169" s="672"/>
      <c r="I169" s="672"/>
      <c r="J169" s="672"/>
      <c r="K169" s="673"/>
      <c r="L169" s="1008"/>
      <c r="M169" s="1008"/>
      <c r="O169" s="502"/>
      <c r="P169" s="447"/>
      <c r="R169" s="638"/>
      <c r="S169" s="486"/>
    </row>
    <row r="170" spans="2:22" ht="24.75" customHeight="1">
      <c r="B170" s="7"/>
      <c r="K170" s="674"/>
      <c r="L170" s="1009"/>
      <c r="M170" s="1009"/>
      <c r="O170" s="502"/>
      <c r="Q170" s="489"/>
      <c r="R170" s="638"/>
      <c r="S170" s="486"/>
    </row>
    <row r="171" spans="2:22" ht="24.75" customHeight="1">
      <c r="B171" s="214" t="s">
        <v>102</v>
      </c>
      <c r="C171" s="131"/>
      <c r="D171" s="131"/>
      <c r="E171" s="131"/>
      <c r="F171" s="496"/>
      <c r="G171" s="496"/>
      <c r="H171" s="496"/>
      <c r="I171" s="496"/>
      <c r="J171" s="496"/>
      <c r="K171" s="669"/>
      <c r="L171" s="1003"/>
      <c r="M171" s="1003"/>
      <c r="O171" s="502"/>
      <c r="Q171" s="489"/>
      <c r="R171" s="638"/>
      <c r="S171" s="486"/>
    </row>
    <row r="172" spans="2:22" ht="24.75" customHeight="1">
      <c r="B172" s="252" t="s">
        <v>10</v>
      </c>
      <c r="C172" s="251"/>
      <c r="D172" s="172"/>
      <c r="E172" s="172" t="s">
        <v>36</v>
      </c>
      <c r="F172" s="580"/>
      <c r="G172" s="579"/>
      <c r="H172" s="579"/>
      <c r="I172" s="579"/>
      <c r="J172" s="579"/>
      <c r="K172" s="657" t="s">
        <v>360</v>
      </c>
      <c r="L172" s="997" t="s">
        <v>75</v>
      </c>
      <c r="M172" s="997"/>
      <c r="O172" s="502"/>
      <c r="Q172" s="489"/>
      <c r="R172" s="638"/>
      <c r="S172" s="486"/>
    </row>
    <row r="173" spans="2:22" ht="24.75" customHeight="1">
      <c r="B173" s="566" t="s">
        <v>387</v>
      </c>
      <c r="C173" s="253"/>
      <c r="D173" s="184"/>
      <c r="E173" s="184" t="s">
        <v>388</v>
      </c>
      <c r="F173" s="589"/>
      <c r="G173" s="659"/>
      <c r="H173" s="659"/>
      <c r="I173" s="659"/>
      <c r="J173" s="659"/>
      <c r="K173" s="660"/>
      <c r="L173" s="1010" t="str">
        <f>PAAS_man.kubernetes24_EUR</f>
        <v>Request a quote</v>
      </c>
      <c r="M173" s="1010"/>
      <c r="O173" s="502"/>
      <c r="Q173" s="489"/>
      <c r="R173" s="638"/>
      <c r="S173" s="486"/>
    </row>
    <row r="174" spans="2:22" ht="24.75" customHeight="1">
      <c r="B174" s="568" t="s">
        <v>389</v>
      </c>
      <c r="C174" s="256"/>
      <c r="D174" s="190"/>
      <c r="E174" s="190" t="s">
        <v>390</v>
      </c>
      <c r="F174" s="661"/>
      <c r="G174" s="662"/>
      <c r="H174" s="662"/>
      <c r="I174" s="662"/>
      <c r="J174" s="662"/>
      <c r="K174" s="666"/>
      <c r="L174" s="1011" t="str">
        <f>PAAS_man.kubernetes8_EUR</f>
        <v>Request a quote</v>
      </c>
      <c r="M174" s="1011"/>
      <c r="O174" s="502"/>
      <c r="Q174" s="489"/>
      <c r="R174" s="638"/>
      <c r="S174" s="486"/>
    </row>
    <row r="175" spans="2:22" ht="24.75" customHeight="1">
      <c r="B175" s="566" t="s">
        <v>391</v>
      </c>
      <c r="C175" s="253"/>
      <c r="D175" s="184"/>
      <c r="E175" s="184" t="s">
        <v>392</v>
      </c>
      <c r="F175" s="589"/>
      <c r="G175" s="659"/>
      <c r="H175" s="659"/>
      <c r="I175" s="659"/>
      <c r="J175" s="659"/>
      <c r="K175" s="660" t="s">
        <v>89</v>
      </c>
      <c r="L175" s="1012">
        <f>PAAS_man.elasticsearch_EUR</f>
        <v>0.188</v>
      </c>
      <c r="M175" s="1012"/>
      <c r="O175" s="502"/>
      <c r="Q175" s="489"/>
      <c r="R175" s="638"/>
      <c r="S175" s="486"/>
    </row>
    <row r="176" spans="2:22" ht="24.75" customHeight="1">
      <c r="B176" s="568" t="s">
        <v>393</v>
      </c>
      <c r="C176" s="256"/>
      <c r="D176" s="190"/>
      <c r="E176" s="190" t="s">
        <v>105</v>
      </c>
      <c r="F176" s="661"/>
      <c r="G176" s="662"/>
      <c r="H176" s="662"/>
      <c r="I176" s="662"/>
      <c r="J176" s="662"/>
      <c r="K176" s="666" t="s">
        <v>394</v>
      </c>
      <c r="L176" s="1011">
        <f>PAAS_man.redis_EUR</f>
        <v>0.188</v>
      </c>
      <c r="M176" s="1011"/>
      <c r="O176" s="502"/>
      <c r="Q176" s="489"/>
      <c r="R176" s="638"/>
      <c r="S176" s="486"/>
    </row>
    <row r="177" spans="2:19" ht="24.75" customHeight="1">
      <c r="B177" s="566" t="s">
        <v>395</v>
      </c>
      <c r="C177" s="253"/>
      <c r="D177" s="184"/>
      <c r="E177" s="184" t="s">
        <v>396</v>
      </c>
      <c r="F177" s="589"/>
      <c r="G177" s="659"/>
      <c r="H177" s="659"/>
      <c r="I177" s="659"/>
      <c r="J177" s="659"/>
      <c r="K177" s="660" t="s">
        <v>397</v>
      </c>
      <c r="L177" s="1012">
        <f>PAAS_man.nats_EUR</f>
        <v>0.188</v>
      </c>
      <c r="M177" s="1012"/>
      <c r="O177" s="502"/>
      <c r="Q177" s="489"/>
      <c r="R177" s="638"/>
      <c r="S177" s="486"/>
    </row>
    <row r="178" spans="2:19" ht="24.75" customHeight="1">
      <c r="B178" s="568" t="s">
        <v>398</v>
      </c>
      <c r="C178" s="256"/>
      <c r="D178" s="190"/>
      <c r="E178" s="190" t="s">
        <v>104</v>
      </c>
      <c r="F178" s="661"/>
      <c r="G178" s="662"/>
      <c r="H178" s="662"/>
      <c r="I178" s="662"/>
      <c r="J178" s="662"/>
      <c r="K178" s="666" t="s">
        <v>399</v>
      </c>
      <c r="L178" s="1013">
        <f>PAAS_man.mariadb_EUR</f>
        <v>0.188</v>
      </c>
      <c r="M178" s="1013"/>
      <c r="O178" s="502"/>
      <c r="Q178" s="489"/>
      <c r="R178" s="638"/>
      <c r="S178" s="486"/>
    </row>
    <row r="179" spans="2:19" ht="24.75" customHeight="1">
      <c r="B179" s="270"/>
      <c r="C179" s="271"/>
      <c r="D179" s="281"/>
      <c r="E179" s="273"/>
      <c r="F179" s="671"/>
      <c r="G179" s="672"/>
      <c r="H179" s="672"/>
      <c r="I179" s="672"/>
      <c r="J179" s="672"/>
      <c r="K179" s="673"/>
      <c r="L179" s="1008"/>
      <c r="M179" s="1008"/>
      <c r="O179" s="502"/>
      <c r="Q179" s="489"/>
      <c r="R179" s="638"/>
      <c r="S179" s="486"/>
    </row>
    <row r="180" spans="2:19" ht="24.75" customHeight="1">
      <c r="B180" s="256"/>
      <c r="C180" s="256"/>
      <c r="D180" s="190"/>
      <c r="E180" s="277"/>
      <c r="F180" s="661"/>
      <c r="G180" s="662"/>
      <c r="H180" s="666"/>
      <c r="I180" s="675"/>
      <c r="K180" s="446"/>
      <c r="L180" s="1014"/>
      <c r="M180" s="1014"/>
      <c r="N180" s="486"/>
      <c r="O180" s="502"/>
    </row>
    <row r="181" spans="2:19" ht="24.75" customHeight="1">
      <c r="B181" s="249"/>
      <c r="C181" s="228"/>
      <c r="D181" s="228"/>
      <c r="E181" s="228"/>
      <c r="F181" s="636"/>
      <c r="G181" s="637"/>
      <c r="H181" s="676"/>
      <c r="I181" s="598"/>
      <c r="J181" s="598"/>
      <c r="K181" s="638"/>
      <c r="L181" s="1015"/>
      <c r="M181" s="1015"/>
      <c r="N181" s="486"/>
      <c r="O181" s="502"/>
      <c r="P181" s="474"/>
      <c r="Q181" s="474"/>
    </row>
    <row r="182" spans="2:19" s="462" customFormat="1" ht="24.75" customHeight="1">
      <c r="B182" s="968" t="s">
        <v>400</v>
      </c>
      <c r="C182" s="968"/>
      <c r="D182" s="968"/>
      <c r="E182" s="968"/>
      <c r="F182" s="968"/>
      <c r="G182" s="968"/>
      <c r="H182" s="677"/>
      <c r="J182" s="473"/>
      <c r="L182" s="1016"/>
      <c r="M182" s="1016"/>
      <c r="N182" s="486"/>
      <c r="O182" s="502"/>
    </row>
    <row r="183" spans="2:19" s="462" customFormat="1" ht="24.75" customHeight="1">
      <c r="B183" s="968"/>
      <c r="C183" s="968"/>
      <c r="D183" s="968"/>
      <c r="E183" s="968"/>
      <c r="F183" s="968"/>
      <c r="G183" s="968"/>
      <c r="H183" s="677"/>
      <c r="J183" s="473"/>
      <c r="L183" s="1016"/>
      <c r="M183" s="1016"/>
      <c r="N183" s="486"/>
      <c r="O183" s="502"/>
    </row>
    <row r="184" spans="2:19" s="462" customFormat="1" ht="24.75" customHeight="1">
      <c r="B184" s="968"/>
      <c r="C184" s="968"/>
      <c r="D184" s="968"/>
      <c r="E184" s="968"/>
      <c r="F184" s="968"/>
      <c r="G184" s="968"/>
      <c r="H184" s="677"/>
      <c r="J184" s="473"/>
      <c r="L184" s="1016"/>
      <c r="M184" s="1016"/>
      <c r="N184" s="486"/>
      <c r="O184" s="502"/>
    </row>
    <row r="185" spans="2:19" s="462" customFormat="1" ht="24.75" customHeight="1">
      <c r="B185" s="984" t="s">
        <v>6</v>
      </c>
      <c r="C185" s="984"/>
      <c r="D185" s="984"/>
      <c r="E185" s="984"/>
      <c r="F185" s="984"/>
      <c r="H185" s="677"/>
      <c r="J185" s="473"/>
      <c r="L185" s="1016"/>
      <c r="M185" s="1016"/>
      <c r="N185" s="486"/>
      <c r="O185" s="502"/>
    </row>
    <row r="186" spans="2:19" s="462" customFormat="1" ht="24.75" customHeight="1">
      <c r="B186" s="996"/>
      <c r="C186" s="996"/>
      <c r="D186" s="996"/>
      <c r="E186" s="996"/>
      <c r="F186" s="996"/>
      <c r="G186" s="478"/>
      <c r="H186" s="479"/>
      <c r="I186" s="478"/>
      <c r="J186" s="480"/>
      <c r="K186" s="478"/>
      <c r="L186" s="1017"/>
      <c r="M186" s="1017"/>
      <c r="N186" s="486"/>
      <c r="O186" s="502"/>
    </row>
    <row r="187" spans="2:19" s="462" customFormat="1" ht="24.75" customHeight="1">
      <c r="B187" s="60"/>
      <c r="C187" s="60"/>
      <c r="D187" s="60"/>
      <c r="E187" s="60"/>
      <c r="F187" s="484"/>
      <c r="G187" s="478"/>
      <c r="H187" s="479"/>
      <c r="I187" s="478"/>
      <c r="J187" s="480"/>
      <c r="K187" s="478"/>
      <c r="L187" s="1017"/>
      <c r="M187" s="1017"/>
      <c r="N187" s="486"/>
      <c r="O187" s="502"/>
    </row>
    <row r="188" spans="2:19" ht="24.75" customHeight="1">
      <c r="B188" s="214" t="s">
        <v>108</v>
      </c>
      <c r="C188" s="131"/>
      <c r="D188" s="131"/>
      <c r="F188" s="496"/>
      <c r="G188" s="496"/>
      <c r="H188" s="496"/>
      <c r="I188" s="496"/>
      <c r="J188" s="496"/>
      <c r="K188" s="496"/>
      <c r="L188" s="1018"/>
      <c r="M188" s="1018"/>
      <c r="N188" s="486"/>
      <c r="O188" s="502"/>
      <c r="P188" s="474"/>
      <c r="Q188" s="474"/>
    </row>
    <row r="189" spans="2:19" ht="24.75" customHeight="1">
      <c r="B189" s="251" t="s">
        <v>10</v>
      </c>
      <c r="C189" s="251"/>
      <c r="D189" s="251"/>
      <c r="E189" s="172" t="s">
        <v>36</v>
      </c>
      <c r="F189" s="580"/>
      <c r="G189" s="579"/>
      <c r="H189" s="579"/>
      <c r="I189" s="579"/>
      <c r="J189" s="579"/>
      <c r="K189" s="657" t="s">
        <v>360</v>
      </c>
      <c r="L189" s="997" t="s">
        <v>75</v>
      </c>
      <c r="M189" s="997"/>
      <c r="N189" s="486"/>
      <c r="O189" s="502"/>
      <c r="P189" s="474"/>
      <c r="Q189" s="474"/>
    </row>
    <row r="190" spans="2:19" ht="24.75" customHeight="1">
      <c r="B190" s="566" t="s">
        <v>401</v>
      </c>
      <c r="C190" s="253"/>
      <c r="D190" s="253"/>
      <c r="E190" s="184" t="s">
        <v>402</v>
      </c>
      <c r="F190" s="589"/>
      <c r="G190" s="659"/>
      <c r="H190" s="659"/>
      <c r="I190" s="659"/>
      <c r="J190" s="659"/>
      <c r="K190" s="670" t="s">
        <v>19</v>
      </c>
      <c r="L190" s="1019">
        <v>0</v>
      </c>
      <c r="M190" s="1019"/>
      <c r="N190" s="486"/>
      <c r="O190" s="502"/>
      <c r="P190" s="474"/>
      <c r="Q190" s="474"/>
    </row>
    <row r="191" spans="2:19" ht="24.75" customHeight="1">
      <c r="B191" s="568" t="s">
        <v>403</v>
      </c>
      <c r="C191" s="256"/>
      <c r="D191" s="256"/>
      <c r="E191" s="190" t="s">
        <v>404</v>
      </c>
      <c r="F191" s="661"/>
      <c r="G191" s="662"/>
      <c r="H191" s="662"/>
      <c r="I191" s="662"/>
      <c r="J191" s="662"/>
      <c r="K191" s="666" t="s">
        <v>405</v>
      </c>
      <c r="L191" s="1020" t="s">
        <v>406</v>
      </c>
      <c r="M191" s="1020"/>
      <c r="N191" s="486"/>
      <c r="O191" s="502"/>
      <c r="P191" s="474"/>
      <c r="Q191" s="474"/>
    </row>
    <row r="192" spans="2:19" ht="24.75" customHeight="1">
      <c r="B192" s="566" t="s">
        <v>407</v>
      </c>
      <c r="C192" s="253"/>
      <c r="D192" s="253"/>
      <c r="E192" s="184" t="s">
        <v>113</v>
      </c>
      <c r="F192" s="589"/>
      <c r="G192" s="659"/>
      <c r="H192" s="659"/>
      <c r="I192" s="659"/>
      <c r="J192" s="659"/>
      <c r="K192" s="660" t="s">
        <v>114</v>
      </c>
      <c r="L192" s="1021" t="s">
        <v>408</v>
      </c>
      <c r="M192" s="1021"/>
      <c r="N192" s="486"/>
      <c r="O192" s="502"/>
      <c r="P192" s="474"/>
      <c r="Q192" s="474"/>
    </row>
    <row r="193" spans="2:17" ht="24.75" customHeight="1">
      <c r="B193" s="270"/>
      <c r="C193" s="271"/>
      <c r="D193" s="271"/>
      <c r="E193" s="281" t="s">
        <v>409</v>
      </c>
      <c r="F193" s="671"/>
      <c r="G193" s="672"/>
      <c r="H193" s="672"/>
      <c r="I193" s="672"/>
      <c r="J193" s="672"/>
      <c r="K193" s="673"/>
      <c r="L193" s="1008"/>
      <c r="M193" s="1008"/>
      <c r="N193" s="486"/>
      <c r="O193" s="502"/>
      <c r="P193" s="474"/>
      <c r="Q193" s="474"/>
    </row>
    <row r="194" spans="2:17" ht="24.75" customHeight="1">
      <c r="B194" s="568"/>
      <c r="C194" s="256"/>
      <c r="D194" s="256"/>
      <c r="E194" s="190"/>
      <c r="F194" s="661"/>
      <c r="G194" s="662"/>
      <c r="H194" s="662"/>
      <c r="I194" s="662"/>
      <c r="J194" s="662"/>
      <c r="K194" s="666"/>
      <c r="L194" s="1022"/>
      <c r="M194" s="1022"/>
      <c r="N194" s="486"/>
      <c r="O194" s="502"/>
      <c r="P194" s="474"/>
      <c r="Q194" s="474"/>
    </row>
    <row r="195" spans="2:17" ht="24.75" customHeight="1">
      <c r="B195" s="214" t="s">
        <v>410</v>
      </c>
      <c r="C195" s="131"/>
      <c r="D195" s="131"/>
      <c r="E195" s="131"/>
      <c r="F195" s="496"/>
      <c r="G195" s="496"/>
      <c r="H195" s="496"/>
      <c r="I195" s="496"/>
      <c r="J195" s="496"/>
      <c r="K195" s="669"/>
      <c r="L195" s="1003"/>
      <c r="M195" s="1003"/>
      <c r="N195" s="486"/>
      <c r="O195" s="502"/>
      <c r="P195" s="474"/>
      <c r="Q195" s="474"/>
    </row>
    <row r="196" spans="2:17" ht="24.75" customHeight="1">
      <c r="B196" s="252" t="s">
        <v>10</v>
      </c>
      <c r="C196" s="251"/>
      <c r="D196" s="251"/>
      <c r="E196" s="172" t="s">
        <v>36</v>
      </c>
      <c r="F196" s="580"/>
      <c r="G196" s="579"/>
      <c r="H196" s="579"/>
      <c r="I196" s="579"/>
      <c r="J196" s="579"/>
      <c r="K196" s="657" t="s">
        <v>360</v>
      </c>
      <c r="L196" s="997" t="s">
        <v>75</v>
      </c>
      <c r="M196" s="997"/>
      <c r="N196" s="486"/>
      <c r="O196" s="502"/>
      <c r="P196" s="474"/>
      <c r="Q196" s="474"/>
    </row>
    <row r="197" spans="2:17" ht="24.75" customHeight="1">
      <c r="B197" s="566" t="s">
        <v>411</v>
      </c>
      <c r="C197" s="253"/>
      <c r="D197" s="253"/>
      <c r="E197" s="184" t="s">
        <v>119</v>
      </c>
      <c r="F197" s="589"/>
      <c r="G197" s="659"/>
      <c r="H197" s="659"/>
      <c r="I197" s="659"/>
      <c r="J197" s="659"/>
      <c r="K197" s="660" t="s">
        <v>114</v>
      </c>
      <c r="L197" s="998">
        <f>PS_consult.jun_EUR</f>
        <v>105.938</v>
      </c>
      <c r="M197" s="998"/>
      <c r="N197" s="486"/>
      <c r="O197" s="502"/>
      <c r="P197" s="474"/>
      <c r="Q197" s="474"/>
    </row>
    <row r="198" spans="2:17" ht="24.75" customHeight="1">
      <c r="B198" s="568" t="s">
        <v>412</v>
      </c>
      <c r="C198" s="256"/>
      <c r="D198" s="256"/>
      <c r="E198" s="190" t="s">
        <v>121</v>
      </c>
      <c r="F198" s="661"/>
      <c r="G198" s="662"/>
      <c r="H198" s="662"/>
      <c r="I198" s="662"/>
      <c r="J198" s="662"/>
      <c r="K198" s="666" t="s">
        <v>114</v>
      </c>
      <c r="L198" s="1004">
        <f>PS_consult.sen_EUR</f>
        <v>129.15600000000001</v>
      </c>
      <c r="M198" s="1004"/>
      <c r="N198" s="486"/>
      <c r="O198" s="502"/>
      <c r="P198" s="474"/>
      <c r="Q198" s="474"/>
    </row>
    <row r="199" spans="2:17" ht="24.75" customHeight="1">
      <c r="B199" s="566" t="s">
        <v>413</v>
      </c>
      <c r="C199" s="253"/>
      <c r="D199" s="253"/>
      <c r="E199" s="184" t="s">
        <v>123</v>
      </c>
      <c r="F199" s="589"/>
      <c r="G199" s="659"/>
      <c r="H199" s="659"/>
      <c r="I199" s="659"/>
      <c r="J199" s="659"/>
      <c r="K199" s="660" t="s">
        <v>114</v>
      </c>
      <c r="L199" s="1001">
        <f>PS_cloudarch.jun_EUR</f>
        <v>120.038</v>
      </c>
      <c r="M199" s="1001"/>
      <c r="N199" s="486"/>
      <c r="O199" s="502"/>
      <c r="P199" s="474"/>
      <c r="Q199" s="474"/>
    </row>
    <row r="200" spans="2:17" ht="24.75" customHeight="1">
      <c r="B200" s="568" t="s">
        <v>414</v>
      </c>
      <c r="C200" s="256"/>
      <c r="D200" s="256"/>
      <c r="E200" s="190" t="s">
        <v>125</v>
      </c>
      <c r="F200" s="594"/>
      <c r="G200" s="662"/>
      <c r="H200" s="662"/>
      <c r="I200" s="662"/>
      <c r="J200" s="662"/>
      <c r="K200" s="666" t="s">
        <v>114</v>
      </c>
      <c r="L200" s="1004">
        <f>PS_cloudarch.sen_EUR</f>
        <v>129.15600000000001</v>
      </c>
      <c r="M200" s="1004"/>
      <c r="N200" s="486"/>
      <c r="O200" s="502"/>
      <c r="P200" s="474"/>
      <c r="Q200" s="474"/>
    </row>
    <row r="201" spans="2:17" ht="24.75" customHeight="1">
      <c r="B201" s="566" t="s">
        <v>415</v>
      </c>
      <c r="C201" s="253"/>
      <c r="D201" s="253"/>
      <c r="E201" s="184" t="s">
        <v>127</v>
      </c>
      <c r="F201" s="589"/>
      <c r="G201" s="659"/>
      <c r="H201" s="659"/>
      <c r="I201" s="659"/>
      <c r="J201" s="659"/>
      <c r="K201" s="660" t="s">
        <v>114</v>
      </c>
      <c r="L201" s="1001">
        <f>PS_pm.jun_EUR</f>
        <v>107.066</v>
      </c>
      <c r="M201" s="1001"/>
      <c r="N201" s="486"/>
      <c r="O201" s="502"/>
      <c r="P201" s="474"/>
      <c r="Q201" s="474"/>
    </row>
    <row r="202" spans="2:17" ht="24.75" customHeight="1">
      <c r="B202" s="568" t="s">
        <v>416</v>
      </c>
      <c r="C202" s="256"/>
      <c r="D202" s="256"/>
      <c r="E202" s="190" t="s">
        <v>129</v>
      </c>
      <c r="F202" s="661"/>
      <c r="G202" s="662"/>
      <c r="H202" s="662"/>
      <c r="I202" s="662"/>
      <c r="J202" s="662"/>
      <c r="K202" s="666" t="s">
        <v>114</v>
      </c>
      <c r="L202" s="1007">
        <f>PS_pm.sen_EUR</f>
        <v>129.15600000000001</v>
      </c>
      <c r="M202" s="1007"/>
      <c r="N202" s="486"/>
      <c r="O202" s="502"/>
      <c r="P202" s="474"/>
      <c r="Q202" s="474"/>
    </row>
    <row r="203" spans="2:17" ht="24.75" customHeight="1">
      <c r="B203" s="270"/>
      <c r="C203" s="271"/>
      <c r="D203" s="271"/>
      <c r="E203" s="281"/>
      <c r="F203" s="671"/>
      <c r="G203" s="672"/>
      <c r="H203" s="672"/>
      <c r="I203" s="672"/>
      <c r="J203" s="672"/>
      <c r="K203" s="673"/>
      <c r="L203" s="1008"/>
      <c r="M203" s="1008"/>
      <c r="N203" s="486"/>
      <c r="O203" s="502"/>
      <c r="P203" s="474"/>
      <c r="Q203" s="474"/>
    </row>
    <row r="204" spans="2:17" ht="24.75" customHeight="1">
      <c r="B204" s="568"/>
      <c r="C204" s="256"/>
      <c r="D204" s="256"/>
      <c r="E204" s="190"/>
      <c r="F204" s="661"/>
      <c r="G204" s="662"/>
      <c r="H204" s="662"/>
      <c r="I204" s="662"/>
      <c r="J204" s="662"/>
      <c r="K204" s="666"/>
      <c r="L204" s="1022"/>
      <c r="M204" s="1022"/>
      <c r="N204" s="486"/>
      <c r="O204" s="502"/>
    </row>
    <row r="205" spans="2:17" ht="24.75" customHeight="1">
      <c r="B205" s="214" t="s">
        <v>417</v>
      </c>
      <c r="C205" s="131"/>
      <c r="D205" s="131"/>
      <c r="E205" s="131"/>
      <c r="F205" s="496"/>
      <c r="G205" s="496"/>
      <c r="H205" s="496"/>
      <c r="I205" s="496"/>
      <c r="J205" s="496"/>
      <c r="K205" s="669"/>
      <c r="L205" s="1003"/>
      <c r="M205" s="1003"/>
      <c r="N205" s="486"/>
      <c r="O205" s="502"/>
      <c r="P205" s="474"/>
      <c r="Q205" s="474"/>
    </row>
    <row r="206" spans="2:17" ht="24.75" customHeight="1">
      <c r="B206" s="252" t="s">
        <v>10</v>
      </c>
      <c r="C206" s="657" t="s">
        <v>130</v>
      </c>
      <c r="D206" s="657"/>
      <c r="E206" s="172" t="s">
        <v>36</v>
      </c>
      <c r="F206" s="580"/>
      <c r="G206" s="657"/>
      <c r="H206" s="657"/>
      <c r="I206" s="657"/>
      <c r="J206" s="657"/>
      <c r="K206" s="657" t="s">
        <v>360</v>
      </c>
      <c r="L206" s="997" t="s">
        <v>131</v>
      </c>
      <c r="M206" s="997"/>
      <c r="N206" s="486"/>
      <c r="O206" s="502"/>
      <c r="P206" s="474"/>
      <c r="Q206" s="474"/>
    </row>
    <row r="207" spans="2:17" ht="24.75" customHeight="1">
      <c r="B207" s="566" t="s">
        <v>418</v>
      </c>
      <c r="C207" s="660" t="s">
        <v>133</v>
      </c>
      <c r="D207" s="660"/>
      <c r="E207" s="184" t="s">
        <v>132</v>
      </c>
      <c r="F207" s="589"/>
      <c r="G207" s="660"/>
      <c r="H207" s="660"/>
      <c r="I207" s="660"/>
      <c r="J207" s="660"/>
      <c r="K207" s="660" t="s">
        <v>134</v>
      </c>
      <c r="L207" s="1019" t="s">
        <v>408</v>
      </c>
      <c r="M207" s="1019"/>
      <c r="N207" s="486"/>
      <c r="O207" s="502"/>
      <c r="P207" s="474"/>
      <c r="Q207" s="474"/>
    </row>
    <row r="208" spans="2:17" ht="24.75" customHeight="1">
      <c r="B208" s="568" t="s">
        <v>419</v>
      </c>
      <c r="C208" s="666" t="s">
        <v>133</v>
      </c>
      <c r="D208" s="666"/>
      <c r="E208" s="190" t="s">
        <v>420</v>
      </c>
      <c r="F208" s="661"/>
      <c r="G208" s="666"/>
      <c r="H208" s="666"/>
      <c r="I208" s="666"/>
      <c r="J208" s="666"/>
      <c r="K208" s="666" t="s">
        <v>134</v>
      </c>
      <c r="L208" s="1027" t="s">
        <v>408</v>
      </c>
      <c r="M208" s="1027"/>
      <c r="N208" s="486"/>
      <c r="O208" s="502"/>
      <c r="P208" s="474"/>
      <c r="Q208" s="474"/>
    </row>
    <row r="209" spans="1:17" ht="24.75" customHeight="1">
      <c r="B209" s="566" t="s">
        <v>421</v>
      </c>
      <c r="C209" s="660" t="s">
        <v>135</v>
      </c>
      <c r="D209" s="660"/>
      <c r="E209" s="184" t="s">
        <v>422</v>
      </c>
      <c r="F209" s="589"/>
      <c r="G209" s="660"/>
      <c r="H209" s="660"/>
      <c r="I209" s="660"/>
      <c r="J209" s="660"/>
      <c r="K209" s="660" t="s">
        <v>134</v>
      </c>
      <c r="L209" s="1028" t="s">
        <v>408</v>
      </c>
      <c r="M209" s="1028"/>
      <c r="N209" s="486"/>
      <c r="O209" s="502"/>
      <c r="P209" s="474"/>
      <c r="Q209" s="474"/>
    </row>
    <row r="210" spans="1:17" ht="24.75" customHeight="1">
      <c r="B210" s="568" t="s">
        <v>423</v>
      </c>
      <c r="C210" s="666" t="s">
        <v>135</v>
      </c>
      <c r="D210" s="666"/>
      <c r="E210" s="190" t="s">
        <v>424</v>
      </c>
      <c r="F210" s="661"/>
      <c r="G210" s="666"/>
      <c r="H210" s="666"/>
      <c r="I210" s="666"/>
      <c r="J210" s="666"/>
      <c r="K210" s="666" t="s">
        <v>134</v>
      </c>
      <c r="L210" s="1023" t="s">
        <v>408</v>
      </c>
      <c r="M210" s="1023"/>
      <c r="N210" s="486"/>
      <c r="O210" s="502"/>
      <c r="P210" s="474"/>
      <c r="Q210" s="474"/>
    </row>
    <row r="211" spans="1:17" ht="24.75" customHeight="1">
      <c r="B211" s="270"/>
      <c r="C211" s="271"/>
      <c r="D211" s="271"/>
      <c r="E211" s="273"/>
      <c r="F211" s="671"/>
      <c r="G211" s="672"/>
      <c r="H211" s="672"/>
      <c r="I211" s="678"/>
      <c r="J211" s="678"/>
      <c r="K211" s="678"/>
      <c r="L211" s="678"/>
      <c r="M211" s="679"/>
      <c r="N211" s="486"/>
      <c r="O211" s="502"/>
      <c r="P211" s="474"/>
      <c r="Q211" s="474"/>
    </row>
    <row r="212" spans="1:17" ht="24.75" customHeight="1">
      <c r="B212" s="283"/>
      <c r="C212" s="228"/>
      <c r="D212" s="228"/>
      <c r="E212" s="228"/>
      <c r="F212" s="636"/>
      <c r="G212" s="637"/>
      <c r="H212" s="598"/>
      <c r="I212" s="598"/>
      <c r="J212" s="598"/>
      <c r="K212" s="598"/>
      <c r="L212" s="638"/>
      <c r="M212" s="601"/>
      <c r="N212" s="486"/>
      <c r="O212" s="502"/>
      <c r="P212" s="474"/>
      <c r="Q212" s="474"/>
    </row>
    <row r="213" spans="1:17" ht="24.75" customHeight="1">
      <c r="A213" s="680"/>
      <c r="B213" s="681"/>
      <c r="C213" s="297"/>
      <c r="D213" s="297"/>
      <c r="E213" s="297"/>
      <c r="F213" s="682"/>
      <c r="G213" s="683"/>
      <c r="H213" s="684"/>
      <c r="I213" s="684"/>
      <c r="J213" s="684"/>
      <c r="K213" s="684"/>
      <c r="L213" s="685"/>
      <c r="M213" s="686"/>
      <c r="N213" s="687"/>
      <c r="O213" s="502"/>
      <c r="P213" s="474"/>
      <c r="Q213" s="474"/>
    </row>
    <row r="214" spans="1:17" s="462" customFormat="1" ht="24.75" customHeight="1">
      <c r="A214" s="456"/>
      <c r="B214" s="305"/>
      <c r="C214" s="305"/>
      <c r="D214" s="305"/>
      <c r="E214" s="305"/>
      <c r="F214" s="688"/>
      <c r="G214" s="689"/>
      <c r="H214" s="690"/>
      <c r="I214" s="690"/>
      <c r="J214" s="690"/>
      <c r="K214" s="691"/>
      <c r="L214" s="691"/>
      <c r="M214" s="692"/>
      <c r="N214" s="456"/>
      <c r="O214" s="461"/>
    </row>
    <row r="215" spans="1:17" s="462" customFormat="1" ht="24.75" customHeight="1">
      <c r="A215" s="456"/>
      <c r="B215" s="305"/>
      <c r="C215" s="305"/>
      <c r="D215" s="305"/>
      <c r="E215" s="305"/>
      <c r="F215" s="688"/>
      <c r="G215" s="689"/>
      <c r="H215" s="690"/>
      <c r="I215" s="690"/>
      <c r="J215" s="690"/>
      <c r="K215" s="691"/>
      <c r="L215" s="691"/>
      <c r="M215" s="692"/>
      <c r="N215" s="456"/>
      <c r="O215" s="461"/>
    </row>
    <row r="216" spans="1:17" s="462" customFormat="1" ht="24.75" customHeight="1">
      <c r="A216" s="456"/>
      <c r="B216" s="305"/>
      <c r="C216" s="305"/>
      <c r="D216" s="305"/>
      <c r="E216" s="305"/>
      <c r="F216" s="688"/>
      <c r="G216" s="689"/>
      <c r="H216" s="690"/>
      <c r="I216" s="690"/>
      <c r="J216" s="690"/>
      <c r="K216" s="691"/>
      <c r="L216" s="691"/>
      <c r="M216" s="692"/>
      <c r="N216" s="456"/>
      <c r="O216" s="461"/>
    </row>
    <row r="217" spans="1:17" s="462" customFormat="1" ht="24.75" customHeight="1">
      <c r="A217" s="456"/>
      <c r="B217" s="1024" t="s">
        <v>425</v>
      </c>
      <c r="C217" s="1024"/>
      <c r="D217" s="1024"/>
      <c r="E217" s="1024"/>
      <c r="F217" s="1024"/>
      <c r="G217" s="1024"/>
      <c r="H217" s="458"/>
      <c r="I217" s="456"/>
      <c r="J217" s="498"/>
      <c r="K217" s="456"/>
      <c r="L217" s="459"/>
      <c r="M217" s="460"/>
      <c r="N217" s="456"/>
      <c r="O217" s="461"/>
    </row>
    <row r="218" spans="1:17" s="462" customFormat="1" ht="24.75" customHeight="1">
      <c r="A218" s="456"/>
      <c r="B218" s="1024"/>
      <c r="C218" s="1024"/>
      <c r="D218" s="1024"/>
      <c r="E218" s="1024"/>
      <c r="F218" s="1024"/>
      <c r="G218" s="1024"/>
      <c r="H218" s="458"/>
      <c r="I218" s="456"/>
      <c r="J218" s="498"/>
      <c r="K218" s="456"/>
      <c r="L218" s="459"/>
      <c r="M218" s="460"/>
      <c r="N218" s="456"/>
      <c r="O218" s="461"/>
    </row>
    <row r="219" spans="1:17" s="462" customFormat="1" ht="24.75" customHeight="1">
      <c r="A219" s="456"/>
      <c r="B219" s="1024"/>
      <c r="C219" s="1024"/>
      <c r="D219" s="1024"/>
      <c r="E219" s="1024"/>
      <c r="F219" s="1024"/>
      <c r="G219" s="1024"/>
      <c r="H219" s="458"/>
      <c r="I219" s="456"/>
      <c r="J219" s="498"/>
      <c r="K219" s="456"/>
      <c r="L219" s="459"/>
      <c r="M219" s="460"/>
      <c r="N219" s="456"/>
      <c r="O219" s="461"/>
    </row>
    <row r="220" spans="1:17" s="462" customFormat="1" ht="24.75" customHeight="1">
      <c r="A220" s="456"/>
      <c r="B220" s="1025" t="s">
        <v>6</v>
      </c>
      <c r="C220" s="1025"/>
      <c r="D220" s="1025"/>
      <c r="E220" s="1025"/>
      <c r="F220" s="1025"/>
      <c r="G220" s="456"/>
      <c r="H220" s="458"/>
      <c r="I220" s="456"/>
      <c r="J220" s="498"/>
      <c r="K220" s="456"/>
      <c r="L220" s="459"/>
      <c r="M220" s="460"/>
      <c r="N220" s="693"/>
      <c r="O220" s="483"/>
    </row>
    <row r="221" spans="1:17" s="462" customFormat="1" ht="24.75" customHeight="1">
      <c r="A221" s="456"/>
      <c r="B221" s="28"/>
      <c r="C221" s="28"/>
      <c r="D221" s="28"/>
      <c r="E221" s="28"/>
      <c r="F221" s="694"/>
      <c r="G221" s="456"/>
      <c r="H221" s="458"/>
      <c r="I221" s="456"/>
      <c r="J221" s="498"/>
      <c r="K221" s="456"/>
      <c r="L221" s="459"/>
      <c r="M221" s="460"/>
      <c r="N221" s="693"/>
      <c r="O221" s="483"/>
    </row>
    <row r="222" spans="1:17" s="462" customFormat="1" ht="24.75" customHeight="1">
      <c r="A222" s="456"/>
      <c r="B222" s="21" t="s">
        <v>426</v>
      </c>
      <c r="C222" s="28"/>
      <c r="D222" s="28"/>
      <c r="E222" s="28"/>
      <c r="F222" s="694"/>
      <c r="G222" s="456"/>
      <c r="H222" s="458"/>
      <c r="I222" s="456"/>
      <c r="J222" s="498"/>
      <c r="K222" s="456"/>
      <c r="L222" s="459"/>
      <c r="M222" s="460"/>
      <c r="N222" s="693"/>
      <c r="O222" s="483"/>
    </row>
    <row r="223" spans="1:17" s="462" customFormat="1" ht="24.75" customHeight="1">
      <c r="A223" s="456"/>
      <c r="B223" s="23" t="s">
        <v>280</v>
      </c>
      <c r="C223" s="28"/>
      <c r="D223" s="28"/>
      <c r="E223" s="28"/>
      <c r="F223" s="694"/>
      <c r="G223" s="456"/>
      <c r="H223" s="458"/>
      <c r="I223" s="456"/>
      <c r="J223" s="498"/>
      <c r="K223" s="456"/>
      <c r="L223" s="459"/>
      <c r="M223" s="460"/>
      <c r="N223" s="693"/>
      <c r="O223" s="483"/>
    </row>
    <row r="224" spans="1:17" s="462" customFormat="1" ht="24.75" customHeight="1">
      <c r="A224" s="456"/>
      <c r="B224" s="695" t="s">
        <v>427</v>
      </c>
      <c r="C224" s="313"/>
      <c r="D224" s="313"/>
      <c r="E224" s="313"/>
      <c r="F224" s="696"/>
      <c r="G224" s="693"/>
      <c r="H224" s="697"/>
      <c r="I224" s="693"/>
      <c r="J224" s="698"/>
      <c r="K224" s="693"/>
      <c r="L224" s="699"/>
      <c r="M224" s="700"/>
      <c r="N224" s="693"/>
      <c r="O224" s="483"/>
    </row>
    <row r="225" spans="1:22" s="543" customFormat="1" ht="24.75" customHeight="1">
      <c r="A225" s="701"/>
      <c r="B225" s="318"/>
      <c r="C225" s="318"/>
      <c r="D225" s="318"/>
      <c r="E225" s="318"/>
      <c r="F225" s="702"/>
      <c r="G225" s="693"/>
      <c r="H225" s="697"/>
      <c r="I225" s="693"/>
      <c r="J225" s="698"/>
      <c r="K225" s="693"/>
      <c r="L225" s="699"/>
      <c r="M225" s="700"/>
      <c r="N225" s="701"/>
      <c r="O225" s="635"/>
      <c r="P225" s="703"/>
      <c r="Q225" s="578"/>
      <c r="R225" s="578"/>
      <c r="S225" s="578"/>
      <c r="T225" s="578"/>
      <c r="U225" s="578"/>
      <c r="V225" s="578"/>
    </row>
    <row r="226" spans="1:22" ht="24.75" customHeight="1">
      <c r="A226" s="449"/>
      <c r="B226" s="704" t="s">
        <v>428</v>
      </c>
      <c r="C226" s="322"/>
      <c r="D226" s="323"/>
      <c r="E226" s="322"/>
      <c r="F226" s="705"/>
      <c r="G226" s="705"/>
      <c r="H226" s="705"/>
      <c r="I226" s="705"/>
      <c r="J226" s="706"/>
      <c r="K226" s="706"/>
      <c r="L226" s="705" t="s">
        <v>429</v>
      </c>
      <c r="M226" s="707"/>
      <c r="N226" s="708"/>
      <c r="O226" s="452"/>
      <c r="P226" s="655"/>
    </row>
    <row r="227" spans="1:22" ht="24.75" customHeight="1">
      <c r="A227" s="449"/>
      <c r="B227" s="709" t="s">
        <v>430</v>
      </c>
      <c r="C227" s="710" t="str">
        <f>SUM(C38+C67)&amp;" vCPU"</f>
        <v>0 vCPU</v>
      </c>
      <c r="D227" s="710" t="str">
        <f>SUM(D38+D67)&amp;" GB RAM"</f>
        <v>0 GB RAM</v>
      </c>
      <c r="E227" s="710" t="str">
        <f>SUM(E38)&amp;" GB  Disk"</f>
        <v>0 GB  Disk</v>
      </c>
      <c r="F227" s="1026" t="str">
        <f>SUM(E67)&amp;" GB NVME-Disk"</f>
        <v>0 GB NVME-Disk</v>
      </c>
      <c r="G227" s="1026"/>
      <c r="H227" s="711"/>
      <c r="I227" s="711"/>
      <c r="J227" s="712"/>
      <c r="K227" s="712"/>
      <c r="L227" s="713">
        <f>L76+L84+K67+K38+K91</f>
        <v>0</v>
      </c>
      <c r="M227" s="714"/>
      <c r="N227" s="449"/>
      <c r="O227" s="452"/>
      <c r="P227" s="655"/>
    </row>
    <row r="228" spans="1:22" ht="24.75" customHeight="1">
      <c r="A228" s="449"/>
      <c r="B228" s="715" t="s">
        <v>431</v>
      </c>
      <c r="C228" s="342"/>
      <c r="D228" s="341"/>
      <c r="E228" s="342"/>
      <c r="F228" s="716"/>
      <c r="G228" s="717"/>
      <c r="H228" s="717"/>
      <c r="I228" s="717"/>
      <c r="J228" s="718"/>
      <c r="K228" s="718"/>
      <c r="L228" s="719" t="e">
        <f>#REF!</f>
        <v>#REF!</v>
      </c>
      <c r="M228" s="714"/>
      <c r="N228" s="449"/>
      <c r="O228" s="452"/>
      <c r="P228" s="655"/>
    </row>
    <row r="229" spans="1:22" ht="24.75" customHeight="1">
      <c r="A229" s="449"/>
      <c r="B229" s="340" t="s">
        <v>432</v>
      </c>
      <c r="C229" s="340"/>
      <c r="D229" s="341"/>
      <c r="E229" s="342"/>
      <c r="F229" s="716"/>
      <c r="G229" s="717"/>
      <c r="H229" s="717"/>
      <c r="I229" s="717"/>
      <c r="J229" s="718"/>
      <c r="K229" s="718"/>
      <c r="L229" s="719">
        <f>M133</f>
        <v>0</v>
      </c>
      <c r="M229" s="714"/>
      <c r="N229" s="449"/>
      <c r="O229" s="452"/>
      <c r="P229" s="655"/>
    </row>
    <row r="230" spans="1:22" s="726" customFormat="1" ht="24.75" customHeight="1">
      <c r="A230" s="720"/>
      <c r="B230" s="721" t="s">
        <v>433</v>
      </c>
      <c r="C230" s="721"/>
      <c r="D230" s="362"/>
      <c r="E230" s="363"/>
      <c r="F230" s="722"/>
      <c r="G230" s="723"/>
      <c r="H230" s="723"/>
      <c r="I230" s="723"/>
      <c r="J230" s="652"/>
      <c r="K230" s="652"/>
      <c r="L230" s="724" t="e">
        <f>M76+M84+#REF!+#REF!</f>
        <v>#REF!</v>
      </c>
      <c r="M230" s="714"/>
      <c r="N230" s="720"/>
      <c r="O230" s="725"/>
    </row>
    <row r="231" spans="1:22" ht="24.75" customHeight="1">
      <c r="A231" s="449"/>
      <c r="B231" s="350" t="s">
        <v>17</v>
      </c>
      <c r="C231" s="351"/>
      <c r="D231" s="351"/>
      <c r="E231" s="351"/>
      <c r="F231" s="727"/>
      <c r="G231" s="728"/>
      <c r="H231" s="728"/>
      <c r="I231" s="728"/>
      <c r="J231" s="729"/>
      <c r="K231" s="729"/>
      <c r="L231" s="729" t="e">
        <f>SUM(L227:L230)</f>
        <v>#REF!</v>
      </c>
      <c r="M231" s="730"/>
      <c r="N231" s="449"/>
      <c r="O231" s="452"/>
    </row>
    <row r="232" spans="1:22" ht="24.75" customHeight="1">
      <c r="A232" s="449"/>
      <c r="B232" s="731"/>
      <c r="C232" s="351"/>
      <c r="D232" s="351"/>
      <c r="E232" s="351"/>
      <c r="F232" s="727"/>
      <c r="G232" s="728"/>
      <c r="H232" s="728"/>
      <c r="I232" s="728"/>
      <c r="J232" s="732"/>
      <c r="K232" s="732"/>
      <c r="L232" s="732"/>
      <c r="M232" s="730"/>
      <c r="N232" s="449"/>
      <c r="O232" s="452"/>
    </row>
    <row r="233" spans="1:22" ht="24.75" customHeight="1">
      <c r="A233" s="449"/>
      <c r="B233" s="184"/>
      <c r="C233" s="184"/>
      <c r="D233" s="356"/>
      <c r="E233" s="261"/>
      <c r="F233" s="659"/>
      <c r="G233" s="733"/>
      <c r="H233" s="589"/>
      <c r="I233" s="589"/>
      <c r="J233" s="589"/>
      <c r="K233" s="734"/>
      <c r="L233" s="735"/>
      <c r="M233" s="714"/>
      <c r="N233" s="449"/>
      <c r="O233" s="452"/>
    </row>
    <row r="234" spans="1:22" ht="24.75" customHeight="1">
      <c r="A234" s="736"/>
      <c r="B234" s="219"/>
      <c r="C234" s="219"/>
      <c r="D234" s="362"/>
      <c r="E234" s="363"/>
      <c r="F234" s="737"/>
      <c r="G234" s="723"/>
      <c r="H234" s="652"/>
      <c r="I234" s="652"/>
      <c r="J234" s="652"/>
      <c r="K234" s="738"/>
      <c r="L234" s="739"/>
      <c r="M234" s="740"/>
      <c r="N234" s="741"/>
      <c r="O234" s="452"/>
    </row>
    <row r="235" spans="1:22" s="742" customFormat="1" ht="24.75" customHeight="1">
      <c r="B235" s="371"/>
      <c r="C235" s="371"/>
      <c r="D235" s="372"/>
      <c r="E235" s="373"/>
      <c r="F235" s="743"/>
      <c r="G235" s="744"/>
      <c r="H235" s="745"/>
      <c r="I235" s="745"/>
      <c r="J235" s="745"/>
      <c r="K235" s="746"/>
      <c r="L235" s="747"/>
      <c r="M235" s="748"/>
    </row>
    <row r="236" spans="1:22" s="742" customFormat="1" ht="24.75" customHeight="1">
      <c r="B236" s="371"/>
      <c r="C236" s="371"/>
      <c r="D236" s="371"/>
      <c r="E236" s="371"/>
      <c r="F236" s="749"/>
      <c r="G236" s="750"/>
      <c r="H236" s="751"/>
      <c r="I236" s="751"/>
      <c r="J236" s="751"/>
      <c r="K236" s="751"/>
      <c r="L236" s="747"/>
      <c r="M236" s="748"/>
      <c r="N236" s="747"/>
    </row>
    <row r="237" spans="1:22" s="742" customFormat="1" ht="24.75" customHeight="1">
      <c r="B237" s="371"/>
      <c r="C237" s="371"/>
      <c r="D237" s="371"/>
      <c r="E237" s="371"/>
      <c r="F237" s="749"/>
      <c r="G237" s="750"/>
      <c r="H237" s="751"/>
      <c r="I237" s="751"/>
      <c r="J237" s="751"/>
      <c r="K237" s="751"/>
      <c r="L237" s="747"/>
      <c r="M237" s="748"/>
      <c r="N237" s="747"/>
    </row>
    <row r="238" spans="1:22" s="742" customFormat="1" ht="24.75" customHeight="1">
      <c r="B238" s="371"/>
      <c r="C238" s="371"/>
      <c r="D238" s="371"/>
      <c r="E238" s="371"/>
      <c r="F238" s="749"/>
      <c r="G238" s="750"/>
      <c r="H238" s="751"/>
      <c r="I238" s="751"/>
      <c r="J238" s="751"/>
      <c r="K238" s="751"/>
      <c r="L238" s="747"/>
      <c r="M238" s="748"/>
      <c r="N238" s="747"/>
    </row>
    <row r="239" spans="1:22" s="742" customFormat="1" ht="24.75" customHeight="1">
      <c r="B239" s="371"/>
      <c r="C239" s="371"/>
      <c r="D239" s="371"/>
      <c r="E239" s="371"/>
      <c r="F239" s="749"/>
      <c r="G239" s="750"/>
      <c r="H239" s="751"/>
      <c r="I239" s="751"/>
      <c r="J239" s="751"/>
      <c r="K239" s="751"/>
      <c r="L239" s="747"/>
      <c r="M239" s="748"/>
      <c r="N239" s="747"/>
    </row>
    <row r="240" spans="1:22" s="742" customFormat="1" ht="24.75" customHeight="1">
      <c r="B240" s="371"/>
      <c r="C240" s="371"/>
      <c r="D240" s="371"/>
      <c r="E240" s="371"/>
      <c r="F240" s="749"/>
      <c r="G240" s="750"/>
      <c r="H240" s="751"/>
      <c r="I240" s="751"/>
      <c r="J240" s="751"/>
      <c r="K240" s="751"/>
      <c r="L240" s="747"/>
      <c r="M240" s="748"/>
      <c r="N240" s="747"/>
    </row>
    <row r="241" spans="1:23" s="742" customFormat="1" ht="24.75" customHeight="1">
      <c r="B241" s="371"/>
      <c r="C241" s="371"/>
      <c r="D241" s="371"/>
      <c r="E241" s="371"/>
      <c r="F241" s="749"/>
      <c r="G241" s="750"/>
      <c r="H241" s="751"/>
      <c r="I241" s="751"/>
      <c r="J241" s="751"/>
      <c r="K241" s="751"/>
      <c r="L241" s="747"/>
      <c r="M241" s="748"/>
      <c r="N241" s="747"/>
    </row>
    <row r="242" spans="1:23" s="742" customFormat="1" ht="24.75" customHeight="1">
      <c r="B242" s="371"/>
      <c r="C242" s="371"/>
      <c r="D242" s="371"/>
      <c r="E242" s="371"/>
      <c r="F242" s="749"/>
      <c r="G242" s="750"/>
      <c r="H242" s="751"/>
      <c r="I242" s="751"/>
      <c r="J242" s="751"/>
      <c r="K242" s="751"/>
      <c r="L242" s="747"/>
      <c r="M242" s="748"/>
      <c r="N242" s="747"/>
    </row>
    <row r="243" spans="1:23" s="742" customFormat="1" ht="24.75" customHeight="1">
      <c r="B243" s="371"/>
      <c r="C243" s="371"/>
      <c r="D243" s="371"/>
      <c r="E243" s="371"/>
      <c r="F243" s="749"/>
      <c r="G243" s="750"/>
      <c r="H243" s="751"/>
      <c r="I243" s="751"/>
      <c r="J243" s="751"/>
      <c r="K243" s="751"/>
      <c r="L243" s="747"/>
      <c r="M243" s="748"/>
      <c r="N243" s="747"/>
    </row>
    <row r="244" spans="1:23" s="742" customFormat="1" ht="24.75" customHeight="1">
      <c r="B244" s="371"/>
      <c r="C244" s="371"/>
      <c r="D244" s="371"/>
      <c r="E244" s="371"/>
      <c r="F244" s="749"/>
      <c r="G244" s="750"/>
      <c r="H244" s="751"/>
      <c r="I244" s="751"/>
      <c r="J244" s="751"/>
      <c r="K244" s="751"/>
      <c r="L244" s="747"/>
      <c r="M244" s="748"/>
      <c r="N244" s="747"/>
    </row>
    <row r="245" spans="1:23" s="752" customFormat="1" ht="24.75" customHeight="1">
      <c r="A245" s="742"/>
      <c r="B245" s="371"/>
      <c r="C245" s="371"/>
      <c r="D245" s="371"/>
      <c r="E245" s="371"/>
      <c r="F245" s="749"/>
      <c r="G245" s="750"/>
      <c r="H245" s="751"/>
      <c r="I245" s="751"/>
      <c r="J245" s="751"/>
      <c r="K245" s="751"/>
      <c r="L245" s="747"/>
      <c r="M245" s="748"/>
      <c r="N245" s="747"/>
      <c r="O245" s="742"/>
      <c r="P245" s="742"/>
      <c r="Q245" s="742"/>
      <c r="R245" s="742"/>
      <c r="S245" s="742"/>
      <c r="T245" s="742"/>
      <c r="U245" s="742"/>
      <c r="V245" s="742"/>
      <c r="W245" s="742"/>
    </row>
    <row r="246" spans="1:23" s="742" customFormat="1" ht="24.75" customHeight="1">
      <c r="B246" s="371"/>
      <c r="C246" s="371"/>
      <c r="D246" s="371"/>
      <c r="E246" s="371"/>
      <c r="F246" s="749"/>
      <c r="G246" s="750"/>
      <c r="H246" s="751"/>
      <c r="I246" s="751"/>
      <c r="J246" s="751"/>
      <c r="K246" s="751"/>
      <c r="L246" s="747"/>
      <c r="M246" s="748"/>
      <c r="N246" s="747"/>
    </row>
    <row r="247" spans="1:23" s="742" customFormat="1" ht="24.75" customHeight="1">
      <c r="B247" s="371"/>
      <c r="C247" s="371"/>
      <c r="D247" s="371"/>
      <c r="E247" s="371"/>
      <c r="F247" s="749"/>
      <c r="G247" s="750"/>
      <c r="H247" s="751"/>
      <c r="I247" s="751"/>
      <c r="J247" s="751"/>
      <c r="K247" s="751"/>
      <c r="L247" s="747"/>
      <c r="M247" s="748"/>
      <c r="N247" s="747"/>
    </row>
    <row r="248" spans="1:23" s="742" customFormat="1" ht="24.75" customHeight="1">
      <c r="B248" s="371"/>
      <c r="C248" s="371"/>
      <c r="D248" s="371"/>
      <c r="E248" s="371"/>
      <c r="F248" s="749"/>
      <c r="G248" s="750"/>
      <c r="H248" s="751"/>
      <c r="I248" s="751"/>
      <c r="J248" s="751"/>
      <c r="K248" s="751"/>
      <c r="L248" s="747"/>
      <c r="M248" s="748"/>
      <c r="N248" s="747"/>
    </row>
    <row r="249" spans="1:23" s="742" customFormat="1" ht="24.75" customHeight="1">
      <c r="B249" s="371"/>
      <c r="C249" s="371"/>
      <c r="D249" s="371"/>
      <c r="E249" s="371"/>
      <c r="F249" s="749"/>
      <c r="G249" s="750"/>
      <c r="H249" s="751"/>
      <c r="I249" s="751"/>
      <c r="J249" s="751"/>
      <c r="K249" s="751"/>
      <c r="L249" s="747"/>
      <c r="M249" s="748"/>
      <c r="N249" s="747"/>
    </row>
    <row r="250" spans="1:23" s="742" customFormat="1" ht="24.75" customHeight="1">
      <c r="B250" s="371"/>
      <c r="C250" s="371"/>
      <c r="D250" s="371"/>
      <c r="E250" s="371"/>
      <c r="F250" s="749"/>
      <c r="G250" s="750"/>
      <c r="H250" s="751"/>
      <c r="I250" s="751"/>
      <c r="J250" s="751"/>
      <c r="K250" s="751"/>
      <c r="L250" s="747"/>
      <c r="M250" s="748"/>
      <c r="N250" s="747"/>
    </row>
    <row r="251" spans="1:23" s="742" customFormat="1" ht="24.75" customHeight="1">
      <c r="B251" s="371"/>
      <c r="C251" s="371"/>
      <c r="D251" s="371"/>
      <c r="E251" s="371"/>
      <c r="F251" s="749"/>
      <c r="G251" s="750"/>
      <c r="H251" s="751"/>
      <c r="I251" s="751"/>
      <c r="J251" s="751"/>
      <c r="K251" s="751"/>
      <c r="L251" s="747"/>
      <c r="M251" s="748"/>
      <c r="N251" s="747"/>
    </row>
    <row r="252" spans="1:23" s="742" customFormat="1" ht="24.75" customHeight="1">
      <c r="B252" s="371"/>
      <c r="C252" s="371"/>
      <c r="D252" s="371"/>
      <c r="E252" s="371"/>
      <c r="F252" s="749"/>
      <c r="G252" s="750"/>
      <c r="H252" s="751"/>
      <c r="I252" s="751"/>
      <c r="J252" s="751"/>
      <c r="K252" s="751"/>
      <c r="L252" s="747"/>
      <c r="M252" s="748"/>
      <c r="N252" s="747"/>
    </row>
    <row r="253" spans="1:23" s="742" customFormat="1" ht="24.75" customHeight="1">
      <c r="B253" s="371"/>
      <c r="C253" s="371"/>
      <c r="D253" s="371"/>
      <c r="E253" s="371"/>
      <c r="F253" s="749"/>
      <c r="G253" s="750"/>
      <c r="H253" s="751"/>
      <c r="I253" s="751"/>
      <c r="J253" s="751"/>
      <c r="K253" s="751"/>
      <c r="L253" s="747"/>
      <c r="M253" s="748"/>
      <c r="N253" s="747"/>
    </row>
    <row r="254" spans="1:23" s="742" customFormat="1" ht="24.75" customHeight="1">
      <c r="B254" s="371"/>
      <c r="C254" s="371"/>
      <c r="D254" s="371"/>
      <c r="E254" s="371"/>
      <c r="F254" s="749"/>
      <c r="G254" s="750"/>
      <c r="H254" s="751"/>
      <c r="I254" s="751"/>
      <c r="J254" s="751"/>
      <c r="K254" s="751"/>
      <c r="L254" s="747"/>
      <c r="M254" s="748"/>
      <c r="N254" s="747"/>
    </row>
    <row r="255" spans="1:23" s="742" customFormat="1" ht="24.75" customHeight="1">
      <c r="B255" s="371"/>
      <c r="C255" s="371"/>
      <c r="D255" s="371"/>
      <c r="E255" s="371"/>
      <c r="F255" s="749"/>
      <c r="G255" s="750"/>
      <c r="H255" s="751"/>
      <c r="I255" s="751"/>
      <c r="J255" s="751"/>
      <c r="K255" s="751"/>
      <c r="L255" s="747"/>
      <c r="M255" s="748"/>
      <c r="N255" s="747"/>
    </row>
    <row r="256" spans="1:23" s="742" customFormat="1" ht="24.75" customHeight="1">
      <c r="B256" s="371"/>
      <c r="C256" s="371"/>
      <c r="D256" s="371"/>
      <c r="E256" s="371"/>
      <c r="F256" s="749"/>
      <c r="G256" s="750"/>
      <c r="H256" s="751"/>
      <c r="I256" s="751"/>
      <c r="J256" s="751"/>
      <c r="K256" s="751"/>
      <c r="L256" s="747"/>
      <c r="M256" s="748"/>
      <c r="N256" s="747"/>
    </row>
    <row r="257" spans="2:14" s="742" customFormat="1" ht="24.75" customHeight="1">
      <c r="B257" s="371"/>
      <c r="C257" s="371"/>
      <c r="D257" s="371"/>
      <c r="E257" s="371"/>
      <c r="F257" s="749"/>
      <c r="G257" s="750"/>
      <c r="H257" s="751"/>
      <c r="I257" s="751"/>
      <c r="J257" s="751"/>
      <c r="K257" s="751"/>
      <c r="L257" s="747"/>
      <c r="M257" s="748"/>
      <c r="N257" s="747"/>
    </row>
    <row r="258" spans="2:14" s="742" customFormat="1" ht="24.75" customHeight="1">
      <c r="B258" s="371"/>
      <c r="C258" s="371"/>
      <c r="D258" s="371"/>
      <c r="E258" s="371"/>
      <c r="F258" s="749"/>
      <c r="G258" s="750"/>
      <c r="H258" s="751"/>
      <c r="I258" s="751"/>
      <c r="J258" s="751"/>
      <c r="K258" s="751"/>
      <c r="L258" s="747"/>
      <c r="M258" s="748"/>
      <c r="N258" s="747"/>
    </row>
    <row r="259" spans="2:14" s="742" customFormat="1" ht="24.75" customHeight="1">
      <c r="B259" s="371"/>
      <c r="C259" s="371"/>
      <c r="D259" s="371"/>
      <c r="E259" s="371"/>
      <c r="F259" s="749"/>
      <c r="G259" s="750"/>
      <c r="H259" s="751"/>
      <c r="I259" s="751"/>
      <c r="J259" s="751"/>
      <c r="K259" s="751"/>
      <c r="L259" s="747"/>
      <c r="M259" s="748"/>
      <c r="N259" s="747"/>
    </row>
    <row r="260" spans="2:14" s="742" customFormat="1" ht="24.75" customHeight="1">
      <c r="B260" s="371"/>
      <c r="C260" s="371"/>
      <c r="D260" s="371"/>
      <c r="E260" s="371"/>
      <c r="F260" s="749"/>
      <c r="G260" s="750"/>
      <c r="H260" s="751"/>
      <c r="I260" s="751"/>
      <c r="J260" s="751"/>
      <c r="K260" s="751"/>
      <c r="L260" s="747"/>
      <c r="M260" s="748"/>
      <c r="N260" s="747"/>
    </row>
    <row r="261" spans="2:14" s="742" customFormat="1" ht="24.75" customHeight="1">
      <c r="B261" s="371"/>
      <c r="C261" s="371"/>
      <c r="D261" s="371"/>
      <c r="E261" s="371"/>
      <c r="F261" s="749"/>
      <c r="G261" s="750"/>
      <c r="H261" s="751"/>
      <c r="I261" s="751"/>
      <c r="J261" s="751"/>
      <c r="K261" s="751"/>
      <c r="L261" s="747"/>
      <c r="M261" s="748"/>
      <c r="N261" s="747"/>
    </row>
    <row r="262" spans="2:14" s="742" customFormat="1" ht="24.75" customHeight="1">
      <c r="B262" s="371"/>
      <c r="C262" s="371"/>
      <c r="D262" s="371"/>
      <c r="E262" s="371"/>
      <c r="F262" s="749"/>
      <c r="G262" s="750"/>
      <c r="H262" s="751"/>
      <c r="I262" s="751"/>
      <c r="J262" s="751"/>
      <c r="K262" s="751"/>
      <c r="L262" s="747"/>
      <c r="M262" s="748"/>
      <c r="N262" s="747"/>
    </row>
    <row r="263" spans="2:14" s="742" customFormat="1" ht="24.75" customHeight="1">
      <c r="B263" s="371"/>
      <c r="C263" s="371"/>
      <c r="D263" s="371"/>
      <c r="E263" s="371"/>
      <c r="F263" s="749"/>
      <c r="G263" s="750"/>
      <c r="H263" s="751"/>
      <c r="I263" s="751"/>
      <c r="J263" s="751"/>
      <c r="K263" s="751"/>
      <c r="L263" s="747"/>
      <c r="M263" s="748"/>
      <c r="N263" s="747"/>
    </row>
    <row r="264" spans="2:14" s="742" customFormat="1" ht="24.75" customHeight="1">
      <c r="B264" s="371"/>
      <c r="C264" s="371"/>
      <c r="D264" s="371"/>
      <c r="E264" s="371"/>
      <c r="F264" s="749"/>
      <c r="G264" s="750"/>
      <c r="H264" s="751"/>
      <c r="I264" s="751"/>
      <c r="J264" s="751"/>
      <c r="K264" s="751"/>
      <c r="L264" s="747"/>
      <c r="M264" s="748"/>
      <c r="N264" s="747"/>
    </row>
    <row r="265" spans="2:14" s="742" customFormat="1" ht="24.75" customHeight="1">
      <c r="B265" s="371"/>
      <c r="C265" s="379"/>
      <c r="D265" s="379"/>
      <c r="E265" s="379"/>
      <c r="K265" s="751"/>
      <c r="M265" s="753"/>
    </row>
    <row r="266" spans="2:14" s="742" customFormat="1" ht="24.75" customHeight="1">
      <c r="B266" s="371"/>
      <c r="C266" s="379"/>
      <c r="D266" s="379"/>
      <c r="E266" s="379"/>
      <c r="K266" s="751"/>
      <c r="M266" s="753"/>
    </row>
    <row r="267" spans="2:14" s="742" customFormat="1" ht="24.75" customHeight="1">
      <c r="B267" s="371"/>
      <c r="C267" s="379"/>
      <c r="D267" s="379"/>
      <c r="E267" s="379"/>
      <c r="K267" s="751"/>
      <c r="M267" s="753"/>
    </row>
    <row r="268" spans="2:14" s="742" customFormat="1" ht="24.75" customHeight="1">
      <c r="B268" s="371"/>
      <c r="C268" s="379"/>
      <c r="D268" s="379"/>
      <c r="E268" s="379"/>
      <c r="K268" s="751"/>
      <c r="M268" s="753"/>
    </row>
    <row r="269" spans="2:14" s="742" customFormat="1" ht="24.75" customHeight="1">
      <c r="B269" s="371"/>
      <c r="C269" s="379"/>
      <c r="D269" s="379"/>
      <c r="E269" s="379"/>
      <c r="K269" s="751"/>
      <c r="M269" s="753"/>
    </row>
    <row r="270" spans="2:14" s="742" customFormat="1" ht="24.75" customHeight="1">
      <c r="B270" s="371"/>
      <c r="C270" s="379"/>
      <c r="D270" s="379"/>
      <c r="E270" s="379"/>
      <c r="K270" s="751"/>
      <c r="M270" s="753"/>
    </row>
    <row r="271" spans="2:14" s="742" customFormat="1" ht="24.75" customHeight="1">
      <c r="B271" s="371"/>
      <c r="C271" s="379"/>
      <c r="D271" s="379"/>
      <c r="E271" s="379"/>
      <c r="K271" s="751"/>
      <c r="M271" s="753"/>
    </row>
    <row r="272" spans="2:14" s="742" customFormat="1" ht="24.75" customHeight="1">
      <c r="B272" s="371"/>
      <c r="C272" s="379"/>
      <c r="D272" s="379"/>
      <c r="E272" s="379"/>
      <c r="K272" s="751"/>
      <c r="M272" s="753"/>
    </row>
    <row r="273" spans="2:13" s="742" customFormat="1" ht="24.75" customHeight="1">
      <c r="B273" s="371"/>
      <c r="C273" s="379"/>
      <c r="D273" s="379"/>
      <c r="E273" s="379"/>
      <c r="K273" s="751"/>
      <c r="M273" s="753"/>
    </row>
    <row r="274" spans="2:13" s="742" customFormat="1" ht="24.75" customHeight="1">
      <c r="B274" s="371"/>
      <c r="C274" s="379"/>
      <c r="D274" s="379"/>
      <c r="E274" s="379"/>
      <c r="K274" s="751"/>
      <c r="M274" s="753"/>
    </row>
    <row r="275" spans="2:13" s="742" customFormat="1" ht="24.75" customHeight="1">
      <c r="B275" s="371"/>
      <c r="C275" s="379"/>
      <c r="D275" s="379"/>
      <c r="E275" s="379"/>
      <c r="K275" s="751"/>
      <c r="M275" s="753"/>
    </row>
    <row r="276" spans="2:13" s="742" customFormat="1" ht="24.75" customHeight="1">
      <c r="B276" s="371"/>
      <c r="C276" s="379"/>
      <c r="D276" s="379"/>
      <c r="E276" s="379"/>
      <c r="K276" s="751"/>
      <c r="M276" s="753"/>
    </row>
    <row r="277" spans="2:13" s="742" customFormat="1" ht="24.75" customHeight="1">
      <c r="B277" s="371"/>
      <c r="C277" s="379"/>
      <c r="D277" s="379"/>
      <c r="E277" s="379"/>
      <c r="K277" s="751"/>
      <c r="M277" s="753"/>
    </row>
    <row r="278" spans="2:13" s="742" customFormat="1" ht="24.75" customHeight="1">
      <c r="B278" s="371"/>
      <c r="C278" s="379"/>
      <c r="D278" s="379"/>
      <c r="E278" s="379"/>
      <c r="K278" s="751"/>
      <c r="M278" s="753"/>
    </row>
    <row r="279" spans="2:13" s="742" customFormat="1" ht="24.75" customHeight="1">
      <c r="B279" s="371"/>
      <c r="C279" s="379"/>
      <c r="D279" s="379"/>
      <c r="E279" s="379"/>
      <c r="K279" s="751"/>
      <c r="M279" s="753"/>
    </row>
    <row r="280" spans="2:13" s="742" customFormat="1" ht="24.75" customHeight="1">
      <c r="B280" s="371"/>
      <c r="C280" s="379"/>
      <c r="D280" s="379"/>
      <c r="E280" s="379"/>
      <c r="K280" s="751"/>
      <c r="M280" s="753"/>
    </row>
    <row r="281" spans="2:13" s="742" customFormat="1" ht="24.75" customHeight="1">
      <c r="B281" s="371"/>
      <c r="C281" s="379"/>
      <c r="D281" s="379"/>
      <c r="E281" s="379"/>
      <c r="K281" s="751"/>
      <c r="M281" s="753"/>
    </row>
    <row r="282" spans="2:13" s="742" customFormat="1" ht="24.75" customHeight="1">
      <c r="B282" s="371"/>
      <c r="C282" s="379"/>
      <c r="D282" s="379"/>
      <c r="E282" s="379"/>
      <c r="K282" s="751"/>
      <c r="M282" s="753"/>
    </row>
    <row r="283" spans="2:13" s="742" customFormat="1" ht="24.75" customHeight="1">
      <c r="B283" s="371"/>
      <c r="C283" s="379"/>
      <c r="D283" s="379"/>
      <c r="E283" s="379"/>
      <c r="K283" s="751"/>
      <c r="M283" s="753"/>
    </row>
    <row r="284" spans="2:13" s="742" customFormat="1" ht="24.75" customHeight="1">
      <c r="B284" s="371"/>
      <c r="C284" s="379"/>
      <c r="D284" s="379"/>
      <c r="E284" s="379"/>
      <c r="K284" s="751"/>
      <c r="M284" s="753"/>
    </row>
    <row r="285" spans="2:13" s="742" customFormat="1" ht="24.75" customHeight="1">
      <c r="B285" s="371"/>
      <c r="C285" s="379"/>
      <c r="D285" s="379"/>
      <c r="E285" s="379"/>
      <c r="K285" s="751"/>
      <c r="M285" s="753"/>
    </row>
    <row r="286" spans="2:13" s="742" customFormat="1" ht="24.75" customHeight="1">
      <c r="B286" s="371"/>
      <c r="C286" s="379"/>
      <c r="D286" s="379"/>
      <c r="E286" s="379"/>
      <c r="K286" s="751"/>
      <c r="M286" s="753"/>
    </row>
    <row r="287" spans="2:13" s="742" customFormat="1" ht="24.75" customHeight="1">
      <c r="B287" s="371"/>
      <c r="C287" s="379"/>
      <c r="D287" s="379"/>
      <c r="E287" s="379"/>
      <c r="K287" s="751"/>
      <c r="M287" s="753"/>
    </row>
    <row r="288" spans="2:13" s="742" customFormat="1" ht="24.75" customHeight="1">
      <c r="B288" s="371"/>
      <c r="C288" s="379"/>
      <c r="D288" s="379"/>
      <c r="E288" s="379"/>
      <c r="K288" s="751"/>
      <c r="M288" s="753"/>
    </row>
    <row r="289" spans="2:13" s="742" customFormat="1" ht="24.75" customHeight="1">
      <c r="B289" s="371"/>
      <c r="C289" s="379"/>
      <c r="D289" s="379"/>
      <c r="E289" s="379"/>
      <c r="K289" s="751"/>
      <c r="M289" s="753"/>
    </row>
    <row r="290" spans="2:13" s="742" customFormat="1" ht="24.75" customHeight="1">
      <c r="B290" s="371"/>
      <c r="C290" s="379"/>
      <c r="D290" s="379"/>
      <c r="E290" s="379"/>
      <c r="K290" s="751"/>
      <c r="M290" s="753"/>
    </row>
    <row r="291" spans="2:13" s="742" customFormat="1" ht="24.75" customHeight="1">
      <c r="B291" s="371"/>
      <c r="C291" s="379"/>
      <c r="D291" s="379"/>
      <c r="E291" s="379"/>
      <c r="K291" s="751"/>
      <c r="M291" s="753"/>
    </row>
    <row r="292" spans="2:13" s="742" customFormat="1" ht="24.75" customHeight="1">
      <c r="B292" s="371"/>
      <c r="C292" s="379"/>
      <c r="D292" s="379"/>
      <c r="E292" s="379"/>
      <c r="K292" s="751"/>
      <c r="M292" s="753"/>
    </row>
    <row r="293" spans="2:13" s="742" customFormat="1" ht="24.75" customHeight="1">
      <c r="B293" s="371"/>
      <c r="C293" s="379"/>
      <c r="D293" s="379"/>
      <c r="E293" s="379"/>
      <c r="K293" s="751"/>
      <c r="M293" s="753"/>
    </row>
    <row r="294" spans="2:13" s="742" customFormat="1" ht="24.75" customHeight="1">
      <c r="B294" s="371"/>
      <c r="C294" s="379"/>
      <c r="D294" s="379"/>
      <c r="E294" s="379"/>
      <c r="K294" s="751"/>
      <c r="M294" s="753"/>
    </row>
    <row r="295" spans="2:13" s="742" customFormat="1" ht="24.75" customHeight="1">
      <c r="B295" s="371"/>
      <c r="C295" s="379"/>
      <c r="D295" s="379"/>
      <c r="E295" s="379"/>
      <c r="K295" s="751"/>
      <c r="M295" s="753"/>
    </row>
    <row r="296" spans="2:13" s="742" customFormat="1" ht="24.75" customHeight="1">
      <c r="B296" s="371"/>
      <c r="C296" s="379"/>
      <c r="D296" s="379"/>
      <c r="E296" s="379"/>
      <c r="K296" s="751"/>
      <c r="M296" s="753"/>
    </row>
    <row r="297" spans="2:13" s="742" customFormat="1" ht="24.75" customHeight="1">
      <c r="B297" s="371"/>
      <c r="C297" s="379"/>
      <c r="D297" s="379"/>
      <c r="E297" s="379"/>
      <c r="K297" s="751"/>
      <c r="M297" s="753"/>
    </row>
    <row r="298" spans="2:13" s="742" customFormat="1" ht="24.75" customHeight="1">
      <c r="B298" s="371"/>
      <c r="C298" s="379"/>
      <c r="D298" s="379"/>
      <c r="E298" s="379"/>
      <c r="K298" s="751"/>
      <c r="M298" s="753"/>
    </row>
    <row r="299" spans="2:13" s="742" customFormat="1" ht="24.75" customHeight="1">
      <c r="B299" s="371"/>
      <c r="C299" s="379"/>
      <c r="D299" s="379"/>
      <c r="E299" s="379"/>
      <c r="K299" s="751"/>
      <c r="M299" s="753"/>
    </row>
    <row r="300" spans="2:13" s="742" customFormat="1" ht="24.75" customHeight="1">
      <c r="B300" s="371"/>
      <c r="C300" s="379"/>
      <c r="D300" s="379"/>
      <c r="E300" s="379"/>
      <c r="K300" s="751"/>
      <c r="M300" s="753"/>
    </row>
    <row r="301" spans="2:13" s="742" customFormat="1" ht="24.75" customHeight="1">
      <c r="B301" s="371"/>
      <c r="C301" s="379"/>
      <c r="D301" s="379"/>
      <c r="E301" s="379"/>
      <c r="K301" s="751"/>
      <c r="M301" s="753"/>
    </row>
    <row r="302" spans="2:13" s="742" customFormat="1" ht="24.75" customHeight="1">
      <c r="B302" s="371"/>
      <c r="C302" s="379"/>
      <c r="D302" s="379"/>
      <c r="E302" s="379"/>
      <c r="K302" s="751"/>
      <c r="M302" s="753"/>
    </row>
    <row r="303" spans="2:13" s="742" customFormat="1" ht="24.75" customHeight="1">
      <c r="B303" s="371"/>
      <c r="C303" s="379"/>
      <c r="D303" s="379"/>
      <c r="E303" s="379"/>
      <c r="K303" s="751"/>
      <c r="M303" s="753"/>
    </row>
    <row r="304" spans="2:13" s="742" customFormat="1" ht="24.75" customHeight="1">
      <c r="B304" s="371"/>
      <c r="C304" s="379"/>
      <c r="D304" s="379"/>
      <c r="E304" s="379"/>
      <c r="K304" s="751"/>
      <c r="M304" s="753"/>
    </row>
    <row r="305" spans="2:13" s="742" customFormat="1" ht="24.75" customHeight="1">
      <c r="B305" s="371"/>
      <c r="C305" s="379"/>
      <c r="D305" s="379"/>
      <c r="E305" s="379"/>
      <c r="K305" s="751"/>
      <c r="M305" s="753"/>
    </row>
    <row r="306" spans="2:13" s="742" customFormat="1" ht="24.75" customHeight="1">
      <c r="B306" s="371"/>
      <c r="C306" s="379"/>
      <c r="D306" s="379"/>
      <c r="E306" s="379"/>
      <c r="K306" s="751"/>
      <c r="M306" s="753"/>
    </row>
    <row r="307" spans="2:13" s="742" customFormat="1" ht="24.75" customHeight="1">
      <c r="B307" s="371"/>
      <c r="C307" s="379"/>
      <c r="D307" s="379"/>
      <c r="E307" s="379"/>
      <c r="K307" s="751"/>
      <c r="M307" s="753"/>
    </row>
    <row r="308" spans="2:13" s="742" customFormat="1" ht="24.75" customHeight="1">
      <c r="B308" s="371"/>
      <c r="C308" s="379"/>
      <c r="D308" s="379"/>
      <c r="E308" s="379"/>
      <c r="K308" s="751"/>
      <c r="M308" s="753"/>
    </row>
    <row r="309" spans="2:13" s="742" customFormat="1" ht="24.75" customHeight="1">
      <c r="B309" s="371"/>
      <c r="C309" s="379"/>
      <c r="D309" s="379"/>
      <c r="E309" s="379"/>
      <c r="K309" s="751"/>
      <c r="M309" s="753"/>
    </row>
    <row r="310" spans="2:13" s="742" customFormat="1" ht="24.75" customHeight="1">
      <c r="B310" s="371"/>
      <c r="C310" s="379"/>
      <c r="D310" s="379"/>
      <c r="E310" s="379"/>
      <c r="K310" s="751"/>
      <c r="M310" s="753"/>
    </row>
    <row r="311" spans="2:13" s="742" customFormat="1" ht="24.75" customHeight="1">
      <c r="B311" s="371"/>
      <c r="C311" s="379"/>
      <c r="D311" s="379"/>
      <c r="E311" s="379"/>
      <c r="K311" s="751"/>
      <c r="M311" s="753"/>
    </row>
    <row r="312" spans="2:13" s="742" customFormat="1" ht="24.75" customHeight="1">
      <c r="B312" s="371"/>
      <c r="C312" s="379"/>
      <c r="D312" s="379"/>
      <c r="E312" s="379"/>
      <c r="K312" s="751"/>
      <c r="M312" s="753"/>
    </row>
    <row r="313" spans="2:13" s="742" customFormat="1" ht="24.75" customHeight="1">
      <c r="B313" s="371"/>
      <c r="C313" s="379"/>
      <c r="D313" s="379"/>
      <c r="E313" s="379"/>
      <c r="K313" s="751"/>
      <c r="M313" s="753"/>
    </row>
    <row r="314" spans="2:13" s="742" customFormat="1" ht="24.75" customHeight="1">
      <c r="B314" s="371"/>
      <c r="C314" s="379"/>
      <c r="D314" s="379"/>
      <c r="E314" s="379"/>
      <c r="K314" s="751"/>
      <c r="M314" s="753"/>
    </row>
    <row r="315" spans="2:13" s="742" customFormat="1" ht="24.75" customHeight="1">
      <c r="B315" s="371"/>
      <c r="C315" s="379"/>
      <c r="D315" s="379"/>
      <c r="E315" s="379"/>
      <c r="K315" s="751"/>
      <c r="M315" s="753"/>
    </row>
    <row r="327" spans="2:4" ht="24.75" customHeight="1">
      <c r="B327" s="190"/>
      <c r="C327" s="190"/>
      <c r="D327" s="163"/>
    </row>
  </sheetData>
  <mergeCells count="144">
    <mergeCell ref="L210:M210"/>
    <mergeCell ref="B217:G219"/>
    <mergeCell ref="B220:F220"/>
    <mergeCell ref="F227:G227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B185:F185"/>
    <mergeCell ref="L185:M185"/>
    <mergeCell ref="B186:F186"/>
    <mergeCell ref="L186:M186"/>
    <mergeCell ref="L187:M187"/>
    <mergeCell ref="L188:M188"/>
    <mergeCell ref="L189:M189"/>
    <mergeCell ref="L190:M190"/>
    <mergeCell ref="L191:M191"/>
    <mergeCell ref="L176:M176"/>
    <mergeCell ref="L177:M177"/>
    <mergeCell ref="L178:M178"/>
    <mergeCell ref="L179:M179"/>
    <mergeCell ref="L180:M180"/>
    <mergeCell ref="L181:M181"/>
    <mergeCell ref="B182:G184"/>
    <mergeCell ref="L182:M182"/>
    <mergeCell ref="L183:M183"/>
    <mergeCell ref="L184:M184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B147:F147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B132:C132"/>
    <mergeCell ref="F132:G132"/>
    <mergeCell ref="J132:K132"/>
    <mergeCell ref="B135:I135"/>
    <mergeCell ref="B136:I136"/>
    <mergeCell ref="B137:I137"/>
    <mergeCell ref="B138:I138"/>
    <mergeCell ref="B143:G145"/>
    <mergeCell ref="B146:F146"/>
    <mergeCell ref="B122:G124"/>
    <mergeCell ref="B125:F125"/>
    <mergeCell ref="B126:F126"/>
    <mergeCell ref="F129:G129"/>
    <mergeCell ref="J129:K129"/>
    <mergeCell ref="B130:C130"/>
    <mergeCell ref="F130:G130"/>
    <mergeCell ref="J130:K130"/>
    <mergeCell ref="B131:C131"/>
    <mergeCell ref="F131:G131"/>
    <mergeCell ref="J131:K131"/>
    <mergeCell ref="D115:E115"/>
    <mergeCell ref="F115:G115"/>
    <mergeCell ref="H115:I115"/>
    <mergeCell ref="J115:K115"/>
    <mergeCell ref="D116:E116"/>
    <mergeCell ref="F116:G116"/>
    <mergeCell ref="H116:I116"/>
    <mergeCell ref="J116:K116"/>
    <mergeCell ref="D117:E117"/>
    <mergeCell ref="F117:G117"/>
    <mergeCell ref="H117:I117"/>
    <mergeCell ref="J117:K117"/>
    <mergeCell ref="D111:E111"/>
    <mergeCell ref="F111:G111"/>
    <mergeCell ref="J111:K111"/>
    <mergeCell ref="D113:E113"/>
    <mergeCell ref="F113:G113"/>
    <mergeCell ref="H113:I113"/>
    <mergeCell ref="J113:K113"/>
    <mergeCell ref="D114:E114"/>
    <mergeCell ref="F114:G114"/>
    <mergeCell ref="H114:I114"/>
    <mergeCell ref="J114:K114"/>
    <mergeCell ref="D106:E106"/>
    <mergeCell ref="F106:G106"/>
    <mergeCell ref="H106:I106"/>
    <mergeCell ref="J106:K106"/>
    <mergeCell ref="D107:E107"/>
    <mergeCell ref="F107:G107"/>
    <mergeCell ref="H107:I107"/>
    <mergeCell ref="J107:K107"/>
    <mergeCell ref="D108:E108"/>
    <mergeCell ref="F108:G108"/>
    <mergeCell ref="H108:I108"/>
    <mergeCell ref="J108:K108"/>
    <mergeCell ref="B99:F99"/>
    <mergeCell ref="D102:E102"/>
    <mergeCell ref="F102:G102"/>
    <mergeCell ref="J102:K102"/>
    <mergeCell ref="D104:E104"/>
    <mergeCell ref="F104:G104"/>
    <mergeCell ref="H104:I104"/>
    <mergeCell ref="J104:K104"/>
    <mergeCell ref="D105:E105"/>
    <mergeCell ref="F105:G105"/>
    <mergeCell ref="H105:I105"/>
    <mergeCell ref="J105:K105"/>
    <mergeCell ref="B4:C4"/>
    <mergeCell ref="D11:F11"/>
    <mergeCell ref="B15:G17"/>
    <mergeCell ref="B19:F19"/>
    <mergeCell ref="F88:G88"/>
    <mergeCell ref="F89:G89"/>
    <mergeCell ref="F90:G90"/>
    <mergeCell ref="B95:G97"/>
    <mergeCell ref="B98:F98"/>
  </mergeCells>
  <conditionalFormatting sqref="H103">
    <cfRule type="cellIs" dxfId="58" priority="3" operator="greaterThan">
      <formula>0</formula>
    </cfRule>
  </conditionalFormatting>
  <conditionalFormatting sqref="H112">
    <cfRule type="cellIs" dxfId="57" priority="2" operator="greaterThan">
      <formula>0</formula>
    </cfRule>
  </conditionalFormatting>
  <conditionalFormatting sqref="H130:H132">
    <cfRule type="cellIs" dxfId="56" priority="14" operator="greaterThan">
      <formula>0</formula>
    </cfRule>
  </conditionalFormatting>
  <conditionalFormatting sqref="I25:I37 I43:I66">
    <cfRule type="cellIs" dxfId="55" priority="18" operator="lessThan">
      <formula>#REF!</formula>
    </cfRule>
  </conditionalFormatting>
  <conditionalFormatting sqref="I25:I37">
    <cfRule type="cellIs" dxfId="54" priority="7" operator="greaterThan">
      <formula>0</formula>
    </cfRule>
  </conditionalFormatting>
  <conditionalFormatting sqref="I43:I66">
    <cfRule type="cellIs" dxfId="53" priority="6" operator="greaterThan">
      <formula>0</formula>
    </cfRule>
  </conditionalFormatting>
  <conditionalFormatting sqref="I72:I75">
    <cfRule type="cellIs" dxfId="52" priority="9" operator="lessThan">
      <formula>$J72</formula>
    </cfRule>
  </conditionalFormatting>
  <conditionalFormatting sqref="I89:I90">
    <cfRule type="cellIs" dxfId="51" priority="15" operator="greaterThan">
      <formula>0</formula>
    </cfRule>
  </conditionalFormatting>
  <conditionalFormatting sqref="I72:J75">
    <cfRule type="cellIs" dxfId="50" priority="16" operator="greaterThan">
      <formula>0</formula>
    </cfRule>
  </conditionalFormatting>
  <conditionalFormatting sqref="I81:J83">
    <cfRule type="cellIs" dxfId="49" priority="10" operator="greaterThan">
      <formula>0</formula>
    </cfRule>
    <cfRule type="cellIs" dxfId="48" priority="11" operator="lessThan">
      <formula>$J81</formula>
    </cfRule>
  </conditionalFormatting>
  <conditionalFormatting sqref="J131:J132">
    <cfRule type="cellIs" dxfId="47" priority="13" operator="greaterThan">
      <formula>0</formula>
    </cfRule>
  </conditionalFormatting>
  <conditionalFormatting sqref="K25:K110">
    <cfRule type="cellIs" dxfId="46" priority="4" operator="greaterThan">
      <formula>0</formula>
    </cfRule>
  </conditionalFormatting>
  <conditionalFormatting sqref="L69 L70:M70">
    <cfRule type="cellIs" dxfId="45" priority="17" operator="greaterThan">
      <formula>0</formula>
    </cfRule>
  </conditionalFormatting>
  <conditionalFormatting sqref="L72:M72 L74:M74">
    <cfRule type="cellIs" dxfId="44" priority="12" operator="greaterThan">
      <formula>0</formula>
    </cfRule>
  </conditionalFormatting>
  <conditionalFormatting sqref="L72:M75">
    <cfRule type="cellIs" dxfId="43" priority="8" operator="greaterThan">
      <formula>0</formula>
    </cfRule>
  </conditionalFormatting>
  <conditionalFormatting sqref="L81:M83">
    <cfRule type="cellIs" dxfId="42" priority="5" operator="greaterThan">
      <formula>0</formula>
    </cfRule>
  </conditionalFormatting>
  <hyperlinks>
    <hyperlink ref="B10" r:id="rId1" xr:uid="{00000000-0004-0000-0300-000000000000}"/>
    <hyperlink ref="B224" r:id="rId2" xr:uid="{00000000-0004-0000-0300-000001000000}"/>
  </hyperlinks>
  <pageMargins left="0" right="0" top="0" bottom="0" header="0.511811023622047" footer="0"/>
  <pageSetup paperSize="9" orientation="portrait" horizontalDpi="300" verticalDpi="300"/>
  <headerFooter>
    <oddFooter>&amp;C&amp;P av &amp;N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321"/>
  <sheetViews>
    <sheetView showGridLines="0" zoomScaleNormal="100" workbookViewId="0">
      <selection activeCell="B217" sqref="B217"/>
    </sheetView>
  </sheetViews>
  <sheetFormatPr baseColWidth="10" defaultColWidth="15" defaultRowHeight="25.5" customHeight="1"/>
  <cols>
    <col min="1" max="1" width="11.83203125" style="446" customWidth="1"/>
    <col min="2" max="2" width="30.83203125" style="268" customWidth="1"/>
    <col min="3" max="5" width="14.83203125" style="8" customWidth="1"/>
    <col min="6" max="10" width="14.83203125" style="446" customWidth="1"/>
    <col min="11" max="11" width="14.83203125" style="447" customWidth="1"/>
    <col min="12" max="12" width="14.83203125" style="446" customWidth="1"/>
    <col min="13" max="13" width="14.83203125" style="489" customWidth="1"/>
    <col min="14" max="14" width="14.83203125" style="446" customWidth="1"/>
    <col min="15" max="16384" width="15" style="446"/>
  </cols>
  <sheetData>
    <row r="1" spans="1:28" ht="25.5" customHeight="1">
      <c r="A1" s="449"/>
      <c r="B1" s="5"/>
      <c r="C1" s="5"/>
      <c r="D1" s="13"/>
      <c r="E1" s="13"/>
      <c r="F1" s="449"/>
      <c r="G1" s="449"/>
      <c r="H1" s="449"/>
      <c r="I1" s="449"/>
      <c r="J1" s="449"/>
      <c r="K1" s="754"/>
      <c r="L1" s="449"/>
      <c r="M1" s="450"/>
      <c r="N1" s="449"/>
      <c r="O1" s="452"/>
    </row>
    <row r="2" spans="1:28" ht="25.5" customHeight="1">
      <c r="A2" s="449"/>
      <c r="B2" s="5"/>
      <c r="C2" s="5"/>
      <c r="D2" s="13"/>
      <c r="E2" s="13"/>
      <c r="F2" s="449"/>
      <c r="G2" s="449"/>
      <c r="H2" s="449"/>
      <c r="I2" s="449"/>
      <c r="J2" s="449"/>
      <c r="K2" s="754"/>
      <c r="L2" s="449"/>
      <c r="M2" s="450"/>
      <c r="N2" s="449"/>
      <c r="O2" s="452"/>
    </row>
    <row r="3" spans="1:28" ht="25.5" customHeight="1">
      <c r="A3" s="449"/>
      <c r="B3" s="5"/>
      <c r="C3" s="5"/>
      <c r="D3" s="13"/>
      <c r="E3" s="13"/>
      <c r="F3" s="449"/>
      <c r="G3" s="449"/>
      <c r="H3" s="449"/>
      <c r="I3" s="449"/>
      <c r="J3" s="449"/>
      <c r="K3" s="754"/>
      <c r="L3" s="449"/>
      <c r="M3" s="450"/>
      <c r="N3" s="449"/>
      <c r="O3" s="452"/>
    </row>
    <row r="4" spans="1:28" ht="25.5" customHeight="1">
      <c r="A4" s="449"/>
      <c r="B4" s="966"/>
      <c r="C4" s="966"/>
      <c r="D4" s="13"/>
      <c r="E4" s="13"/>
      <c r="F4" s="449"/>
      <c r="G4" s="449"/>
      <c r="H4" s="449"/>
      <c r="I4" s="449"/>
      <c r="J4" s="449"/>
      <c r="K4" s="754"/>
      <c r="L4" s="449"/>
      <c r="M4" s="450"/>
      <c r="N4" s="449"/>
      <c r="O4" s="452"/>
    </row>
    <row r="5" spans="1:28" ht="25.5" customHeight="1">
      <c r="A5" s="449"/>
      <c r="B5" s="18" t="s">
        <v>434</v>
      </c>
      <c r="C5" s="18"/>
      <c r="D5" s="13"/>
      <c r="E5" s="13"/>
      <c r="F5" s="449"/>
      <c r="G5" s="449"/>
      <c r="H5" s="449"/>
      <c r="I5" s="449"/>
      <c r="J5" s="449"/>
      <c r="K5" s="754"/>
      <c r="L5" s="449"/>
      <c r="M5" s="450"/>
      <c r="N5" s="449"/>
      <c r="O5" s="452"/>
    </row>
    <row r="6" spans="1:28" ht="25.5" customHeight="1">
      <c r="A6" s="449"/>
      <c r="B6" s="453"/>
      <c r="C6" s="5"/>
      <c r="D6" s="13"/>
      <c r="E6" s="13"/>
      <c r="F6" s="449"/>
      <c r="G6" s="449"/>
      <c r="H6" s="449"/>
      <c r="I6" s="449"/>
      <c r="J6" s="449"/>
      <c r="K6" s="754"/>
      <c r="L6" s="449"/>
      <c r="M6" s="450"/>
      <c r="N6" s="449"/>
      <c r="O6" s="452"/>
    </row>
    <row r="7" spans="1:28" ht="25.5" customHeight="1">
      <c r="A7" s="449"/>
      <c r="B7" s="184"/>
      <c r="C7" s="5"/>
      <c r="D7" s="13"/>
      <c r="E7" s="13"/>
      <c r="F7" s="449"/>
      <c r="G7" s="449"/>
      <c r="H7" s="449"/>
      <c r="I7" s="449"/>
      <c r="J7" s="449"/>
      <c r="K7" s="754"/>
      <c r="L7" s="449"/>
      <c r="M7" s="450"/>
      <c r="N7" s="449"/>
      <c r="O7" s="452"/>
    </row>
    <row r="8" spans="1:28" ht="25.5" customHeight="1">
      <c r="A8" s="449"/>
      <c r="B8" s="22" t="s">
        <v>232</v>
      </c>
      <c r="C8" s="5"/>
      <c r="D8" s="22" t="s">
        <v>146</v>
      </c>
      <c r="E8" s="13"/>
      <c r="F8" s="449"/>
      <c r="G8" s="449"/>
      <c r="H8" s="449"/>
      <c r="I8" s="449"/>
      <c r="J8" s="449"/>
      <c r="K8" s="754"/>
      <c r="L8" s="449"/>
      <c r="M8" s="450"/>
      <c r="N8" s="449"/>
      <c r="O8" s="452"/>
    </row>
    <row r="9" spans="1:28" ht="25.5" customHeight="1">
      <c r="A9" s="449"/>
      <c r="B9" s="454" t="s">
        <v>233</v>
      </c>
      <c r="C9" s="5"/>
      <c r="D9" s="755"/>
      <c r="E9" s="449"/>
      <c r="F9" s="449"/>
      <c r="G9" s="449"/>
      <c r="H9" s="449"/>
      <c r="I9" s="449"/>
      <c r="J9" s="449"/>
      <c r="K9" s="754"/>
      <c r="L9" s="449"/>
      <c r="M9" s="450"/>
      <c r="N9" s="449"/>
      <c r="O9" s="452"/>
    </row>
    <row r="10" spans="1:28" ht="25.5" customHeight="1">
      <c r="A10" s="449"/>
      <c r="B10" s="756" t="s">
        <v>427</v>
      </c>
      <c r="C10" s="25"/>
      <c r="D10" s="449"/>
      <c r="E10" s="449"/>
      <c r="F10" s="449"/>
      <c r="G10" s="449"/>
      <c r="H10" s="449"/>
      <c r="I10" s="449"/>
      <c r="J10" s="449"/>
      <c r="K10" s="754"/>
      <c r="L10" s="449"/>
      <c r="M10" s="450"/>
      <c r="N10" s="449"/>
      <c r="O10" s="452"/>
    </row>
    <row r="11" spans="1:28" s="462" customFormat="1" ht="25.5" customHeight="1">
      <c r="A11" s="456"/>
      <c r="B11" s="28"/>
      <c r="C11" s="28"/>
      <c r="D11" s="967" t="str">
        <f>"1 SEK = "&amp;NOK&amp;" NOK"</f>
        <v>1 SEK = 1 NOK</v>
      </c>
      <c r="E11" s="967"/>
      <c r="F11" s="967"/>
      <c r="G11" s="457"/>
      <c r="H11" s="457"/>
      <c r="I11" s="458"/>
      <c r="J11" s="456"/>
      <c r="K11" s="498"/>
      <c r="L11" s="456"/>
      <c r="M11" s="459"/>
      <c r="N11" s="456"/>
      <c r="O11" s="461"/>
    </row>
    <row r="12" spans="1:28" s="462" customFormat="1" ht="25.5" customHeight="1">
      <c r="A12" s="463"/>
      <c r="B12" s="37"/>
      <c r="C12" s="37"/>
      <c r="D12" s="38"/>
      <c r="E12" s="38"/>
      <c r="F12" s="464"/>
      <c r="G12" s="464"/>
      <c r="H12" s="464"/>
      <c r="I12" s="465"/>
      <c r="J12" s="463"/>
      <c r="K12" s="757"/>
      <c r="L12" s="463"/>
      <c r="M12" s="466"/>
      <c r="N12" s="468"/>
      <c r="O12" s="461"/>
    </row>
    <row r="13" spans="1:28" s="462" customFormat="1" ht="25.5" customHeight="1">
      <c r="B13" s="90"/>
      <c r="C13" s="34"/>
      <c r="D13" s="34"/>
      <c r="E13" s="34"/>
      <c r="G13" s="469"/>
      <c r="H13" s="469"/>
      <c r="I13" s="470"/>
      <c r="K13" s="473"/>
      <c r="M13" s="471"/>
      <c r="O13" s="461"/>
    </row>
    <row r="14" spans="1:28" s="462" customFormat="1" ht="25.5" customHeight="1">
      <c r="B14" s="90"/>
      <c r="C14" s="34"/>
      <c r="D14" s="34"/>
      <c r="E14" s="34"/>
      <c r="G14" s="469"/>
      <c r="H14" s="469"/>
      <c r="I14" s="470"/>
      <c r="K14" s="473"/>
      <c r="M14" s="471"/>
      <c r="O14" s="461"/>
    </row>
    <row r="15" spans="1:28" s="462" customFormat="1" ht="25.5" customHeight="1">
      <c r="B15" s="968" t="s">
        <v>140</v>
      </c>
      <c r="C15" s="968"/>
      <c r="D15" s="968"/>
      <c r="E15" s="968"/>
      <c r="F15" s="968"/>
      <c r="G15" s="968"/>
      <c r="H15" s="470"/>
      <c r="J15" s="473"/>
      <c r="K15" s="473"/>
      <c r="M15" s="471"/>
      <c r="O15" s="461"/>
      <c r="U15" s="474"/>
      <c r="Z15" s="474"/>
      <c r="AA15" s="474"/>
      <c r="AB15" s="474"/>
    </row>
    <row r="16" spans="1:28" s="462" customFormat="1" ht="25.5" customHeight="1">
      <c r="B16" s="968"/>
      <c r="C16" s="968"/>
      <c r="D16" s="968"/>
      <c r="E16" s="968"/>
      <c r="F16" s="968"/>
      <c r="G16" s="968"/>
      <c r="H16" s="470"/>
      <c r="J16" s="473"/>
      <c r="K16" s="473"/>
      <c r="M16" s="471"/>
      <c r="O16" s="461"/>
      <c r="U16" s="474"/>
      <c r="Z16" s="474"/>
      <c r="AA16" s="474"/>
      <c r="AB16" s="474"/>
    </row>
    <row r="17" spans="2:28" s="462" customFormat="1" ht="25.5" customHeight="1">
      <c r="B17" s="968"/>
      <c r="C17" s="968"/>
      <c r="D17" s="968"/>
      <c r="E17" s="968"/>
      <c r="F17" s="968"/>
      <c r="G17" s="968"/>
      <c r="H17" s="470"/>
      <c r="J17" s="473"/>
      <c r="K17" s="473"/>
      <c r="M17" s="471"/>
      <c r="O17" s="461"/>
      <c r="U17" s="474"/>
      <c r="Z17" s="474"/>
      <c r="AA17" s="474"/>
      <c r="AB17" s="474"/>
    </row>
    <row r="18" spans="2:28" s="462" customFormat="1" ht="25.5" customHeight="1">
      <c r="B18" s="51" t="s">
        <v>435</v>
      </c>
      <c r="C18" s="51"/>
      <c r="D18" s="51"/>
      <c r="E18" s="51"/>
      <c r="F18" s="758"/>
      <c r="H18" s="470"/>
      <c r="J18" s="473"/>
      <c r="K18" s="473"/>
      <c r="M18" s="471"/>
      <c r="O18" s="461"/>
      <c r="U18" s="474"/>
      <c r="V18" s="474"/>
      <c r="W18" s="474"/>
      <c r="X18" s="474"/>
      <c r="Y18" s="474"/>
      <c r="Z18" s="474"/>
      <c r="AA18" s="474"/>
      <c r="AB18" s="474"/>
    </row>
    <row r="19" spans="2:28" s="462" customFormat="1" ht="25.5" customHeight="1">
      <c r="B19" s="969" t="s">
        <v>436</v>
      </c>
      <c r="C19" s="969"/>
      <c r="D19" s="969"/>
      <c r="E19" s="969"/>
      <c r="F19" s="969"/>
      <c r="G19" s="478"/>
      <c r="H19" s="479"/>
      <c r="I19" s="478"/>
      <c r="J19" s="480"/>
      <c r="K19" s="611"/>
      <c r="L19" s="478"/>
      <c r="M19" s="481"/>
      <c r="N19" s="478"/>
      <c r="O19" s="483"/>
      <c r="U19" s="474"/>
      <c r="V19" s="474"/>
      <c r="W19" s="474"/>
      <c r="X19" s="474"/>
      <c r="Y19" s="474"/>
      <c r="Z19" s="474"/>
      <c r="AA19" s="474"/>
      <c r="AB19" s="474"/>
    </row>
    <row r="20" spans="2:28" s="462" customFormat="1" ht="25.5" customHeight="1">
      <c r="B20" s="58" t="s">
        <v>236</v>
      </c>
      <c r="C20" s="436"/>
      <c r="D20" s="436"/>
      <c r="E20" s="436"/>
      <c r="F20" s="477"/>
      <c r="G20" s="478"/>
      <c r="H20" s="479"/>
      <c r="I20" s="478"/>
      <c r="J20" s="480"/>
      <c r="K20" s="611"/>
      <c r="L20" s="478"/>
      <c r="M20" s="481"/>
      <c r="N20" s="478"/>
      <c r="O20" s="483"/>
      <c r="U20" s="474"/>
      <c r="V20" s="474"/>
      <c r="W20" s="474"/>
      <c r="X20" s="474"/>
      <c r="Y20" s="485"/>
      <c r="Z20" s="486"/>
      <c r="AA20" s="474"/>
      <c r="AB20" s="474"/>
    </row>
    <row r="21" spans="2:28" s="462" customFormat="1" ht="25.5" customHeight="1">
      <c r="B21" s="60"/>
      <c r="C21" s="60"/>
      <c r="D21" s="60"/>
      <c r="E21" s="60"/>
      <c r="F21" s="484"/>
      <c r="G21" s="478"/>
      <c r="H21" s="479"/>
      <c r="I21" s="478"/>
      <c r="J21" s="480"/>
      <c r="K21" s="611"/>
      <c r="L21" s="478"/>
      <c r="M21" s="481"/>
      <c r="N21" s="478"/>
      <c r="O21" s="483"/>
      <c r="R21" s="446"/>
      <c r="S21" s="446"/>
      <c r="T21" s="446"/>
      <c r="U21" s="474"/>
      <c r="V21" s="474"/>
      <c r="W21" s="474"/>
      <c r="X21" s="474"/>
      <c r="Y21" s="474"/>
      <c r="Z21" s="474"/>
      <c r="AA21" s="485"/>
      <c r="AB21" s="474"/>
    </row>
    <row r="22" spans="2:28" s="462" customFormat="1" ht="25.5" customHeight="1">
      <c r="B22" s="60"/>
      <c r="C22" s="60"/>
      <c r="D22" s="60"/>
      <c r="E22" s="60"/>
      <c r="F22" s="484"/>
      <c r="G22" s="478"/>
      <c r="H22" s="479"/>
      <c r="I22" s="478"/>
      <c r="J22" s="480"/>
      <c r="K22" s="478"/>
      <c r="L22" s="481"/>
      <c r="M22" s="481"/>
      <c r="N22" s="478"/>
      <c r="O22" s="483"/>
      <c r="R22" s="446"/>
      <c r="S22" s="446"/>
      <c r="T22" s="446"/>
      <c r="U22" s="474"/>
      <c r="V22" s="474"/>
      <c r="W22" s="474"/>
      <c r="X22" s="474"/>
      <c r="Y22" s="474"/>
      <c r="Z22" s="474"/>
      <c r="AA22" s="485"/>
      <c r="AB22" s="474"/>
    </row>
    <row r="23" spans="2:28" ht="31">
      <c r="B23" s="487" t="s">
        <v>437</v>
      </c>
      <c r="C23" s="488"/>
      <c r="D23" s="488"/>
      <c r="K23" s="489"/>
      <c r="N23" s="759"/>
      <c r="O23" s="452"/>
    </row>
    <row r="24" spans="2:28" s="490" customFormat="1" ht="52">
      <c r="B24" s="74" t="s">
        <v>22</v>
      </c>
      <c r="C24" s="75" t="s">
        <v>11</v>
      </c>
      <c r="D24" s="75" t="s">
        <v>12</v>
      </c>
      <c r="E24" s="142" t="s">
        <v>438</v>
      </c>
      <c r="F24" s="491"/>
      <c r="G24" s="492" t="s">
        <v>237</v>
      </c>
      <c r="H24" s="492" t="s">
        <v>257</v>
      </c>
      <c r="I24" s="494" t="s">
        <v>439</v>
      </c>
      <c r="J24" s="491"/>
      <c r="K24" s="492" t="s">
        <v>33</v>
      </c>
      <c r="O24" s="495"/>
      <c r="Q24" s="496"/>
      <c r="R24" s="497"/>
      <c r="S24" s="497"/>
      <c r="T24" s="497"/>
      <c r="U24" s="496"/>
    </row>
    <row r="25" spans="2:28" s="474" customFormat="1" ht="25.5" customHeight="1">
      <c r="B25" s="80" t="s">
        <v>288</v>
      </c>
      <c r="C25" s="148">
        <v>1</v>
      </c>
      <c r="D25" s="148">
        <v>1</v>
      </c>
      <c r="E25" s="33">
        <v>40</v>
      </c>
      <c r="F25" s="498"/>
      <c r="G25" s="760">
        <f t="shared" ref="G25:G37" si="0">H25/720</f>
        <v>0.38750000000000001</v>
      </c>
      <c r="H25" s="761">
        <f t="shared" ref="H25:H37" si="1">C25*IAAS_vcpu_SEK+D25*IAAS_ram_SEK+E25*IAAS_ssd_SEK</f>
        <v>279</v>
      </c>
      <c r="I25" s="500"/>
      <c r="J25" s="498" t="s">
        <v>335</v>
      </c>
      <c r="K25" s="762">
        <f t="shared" ref="K25:K37" si="2">ROUNDUP(I25*H25,2)</f>
        <v>0</v>
      </c>
      <c r="N25" s="763"/>
      <c r="O25" s="502"/>
      <c r="P25" s="764"/>
      <c r="R25" s="765"/>
    </row>
    <row r="26" spans="2:28" s="474" customFormat="1" ht="25.5" customHeight="1">
      <c r="B26" s="86" t="s">
        <v>289</v>
      </c>
      <c r="C26" s="49">
        <v>1</v>
      </c>
      <c r="D26" s="49">
        <v>2</v>
      </c>
      <c r="E26" s="48">
        <v>40</v>
      </c>
      <c r="F26" s="473"/>
      <c r="G26" s="766">
        <f t="shared" si="0"/>
        <v>0.46388888888888891</v>
      </c>
      <c r="H26" s="767">
        <f t="shared" si="1"/>
        <v>334</v>
      </c>
      <c r="I26" s="500"/>
      <c r="J26" s="473" t="s">
        <v>335</v>
      </c>
      <c r="K26" s="768">
        <f t="shared" si="2"/>
        <v>0</v>
      </c>
      <c r="N26" s="763"/>
      <c r="O26" s="502"/>
      <c r="P26" s="764"/>
      <c r="Q26" s="765"/>
    </row>
    <row r="27" spans="2:28" s="474" customFormat="1" ht="25.5" customHeight="1">
      <c r="B27" s="80" t="s">
        <v>290</v>
      </c>
      <c r="C27" s="148">
        <v>2</v>
      </c>
      <c r="D27" s="148">
        <v>4</v>
      </c>
      <c r="E27" s="33">
        <v>40</v>
      </c>
      <c r="F27" s="498"/>
      <c r="G27" s="760">
        <f t="shared" si="0"/>
        <v>0.72777777777777775</v>
      </c>
      <c r="H27" s="761">
        <f t="shared" si="1"/>
        <v>524</v>
      </c>
      <c r="I27" s="500"/>
      <c r="J27" s="498" t="s">
        <v>335</v>
      </c>
      <c r="K27" s="762">
        <f t="shared" si="2"/>
        <v>0</v>
      </c>
      <c r="L27" s="505"/>
      <c r="N27" s="763"/>
      <c r="O27" s="502"/>
      <c r="P27" s="764"/>
      <c r="Q27" s="765"/>
    </row>
    <row r="28" spans="2:28" s="474" customFormat="1" ht="25.5" customHeight="1">
      <c r="B28" s="86" t="s">
        <v>291</v>
      </c>
      <c r="C28" s="49">
        <v>4</v>
      </c>
      <c r="D28" s="49">
        <v>8</v>
      </c>
      <c r="E28" s="48">
        <v>40</v>
      </c>
      <c r="F28" s="473"/>
      <c r="G28" s="766">
        <f t="shared" si="0"/>
        <v>1.2555555555555555</v>
      </c>
      <c r="H28" s="767">
        <f t="shared" si="1"/>
        <v>904</v>
      </c>
      <c r="I28" s="500"/>
      <c r="J28" s="473" t="s">
        <v>335</v>
      </c>
      <c r="K28" s="768">
        <f t="shared" si="2"/>
        <v>0</v>
      </c>
      <c r="N28" s="763"/>
      <c r="O28" s="502"/>
      <c r="P28" s="764"/>
      <c r="Q28" s="765"/>
    </row>
    <row r="29" spans="2:28" s="474" customFormat="1" ht="25.5" customHeight="1">
      <c r="B29" s="80" t="s">
        <v>292</v>
      </c>
      <c r="C29" s="148">
        <v>8</v>
      </c>
      <c r="D29" s="148">
        <v>16</v>
      </c>
      <c r="E29" s="33">
        <v>40</v>
      </c>
      <c r="F29" s="498"/>
      <c r="G29" s="760">
        <f t="shared" si="0"/>
        <v>2.3111111111111109</v>
      </c>
      <c r="H29" s="761">
        <f t="shared" si="1"/>
        <v>1664</v>
      </c>
      <c r="I29" s="500"/>
      <c r="J29" s="498" t="s">
        <v>335</v>
      </c>
      <c r="K29" s="762">
        <f t="shared" si="2"/>
        <v>0</v>
      </c>
      <c r="N29" s="763"/>
      <c r="O29" s="502"/>
      <c r="P29" s="764"/>
    </row>
    <row r="30" spans="2:28" s="474" customFormat="1" ht="25.5" customHeight="1">
      <c r="B30" s="86" t="s">
        <v>293</v>
      </c>
      <c r="C30" s="49">
        <v>16</v>
      </c>
      <c r="D30" s="49">
        <v>32</v>
      </c>
      <c r="E30" s="48">
        <v>40</v>
      </c>
      <c r="F30" s="473"/>
      <c r="G30" s="766">
        <f t="shared" si="0"/>
        <v>4.4222222222222225</v>
      </c>
      <c r="H30" s="767">
        <f t="shared" si="1"/>
        <v>3184</v>
      </c>
      <c r="I30" s="500"/>
      <c r="J30" s="473" t="s">
        <v>335</v>
      </c>
      <c r="K30" s="768">
        <f t="shared" si="2"/>
        <v>0</v>
      </c>
      <c r="N30" s="763"/>
      <c r="O30" s="502"/>
      <c r="P30" s="764"/>
    </row>
    <row r="31" spans="2:28" s="474" customFormat="1" ht="25.5" customHeight="1">
      <c r="B31" s="80" t="s">
        <v>294</v>
      </c>
      <c r="C31" s="148">
        <v>1</v>
      </c>
      <c r="D31" s="148">
        <v>4</v>
      </c>
      <c r="E31" s="33">
        <v>40</v>
      </c>
      <c r="F31" s="498"/>
      <c r="G31" s="760">
        <f t="shared" si="0"/>
        <v>0.6166666666666667</v>
      </c>
      <c r="H31" s="761">
        <f t="shared" si="1"/>
        <v>444</v>
      </c>
      <c r="I31" s="500"/>
      <c r="J31" s="498" t="s">
        <v>335</v>
      </c>
      <c r="K31" s="762">
        <f t="shared" si="2"/>
        <v>0</v>
      </c>
      <c r="N31" s="763"/>
      <c r="O31" s="502"/>
    </row>
    <row r="32" spans="2:28" s="474" customFormat="1" ht="25.5" customHeight="1">
      <c r="B32" s="86" t="s">
        <v>295</v>
      </c>
      <c r="C32" s="49">
        <v>2</v>
      </c>
      <c r="D32" s="49">
        <v>8</v>
      </c>
      <c r="E32" s="48">
        <v>40</v>
      </c>
      <c r="F32" s="473"/>
      <c r="G32" s="766">
        <f t="shared" si="0"/>
        <v>1.0333333333333334</v>
      </c>
      <c r="H32" s="767">
        <f t="shared" si="1"/>
        <v>744</v>
      </c>
      <c r="I32" s="500"/>
      <c r="J32" s="473" t="s">
        <v>335</v>
      </c>
      <c r="K32" s="768">
        <f t="shared" si="2"/>
        <v>0</v>
      </c>
      <c r="N32" s="763"/>
      <c r="O32" s="502"/>
    </row>
    <row r="33" spans="2:20" s="474" customFormat="1" ht="25.5" customHeight="1">
      <c r="B33" s="80" t="s">
        <v>296</v>
      </c>
      <c r="C33" s="148">
        <v>4</v>
      </c>
      <c r="D33" s="148">
        <v>16</v>
      </c>
      <c r="E33" s="33">
        <v>40</v>
      </c>
      <c r="F33" s="498"/>
      <c r="G33" s="760">
        <f t="shared" si="0"/>
        <v>1.8666666666666667</v>
      </c>
      <c r="H33" s="761">
        <f t="shared" si="1"/>
        <v>1344</v>
      </c>
      <c r="I33" s="500"/>
      <c r="J33" s="498" t="s">
        <v>335</v>
      </c>
      <c r="K33" s="762">
        <f t="shared" si="2"/>
        <v>0</v>
      </c>
      <c r="N33" s="763"/>
      <c r="O33" s="502"/>
    </row>
    <row r="34" spans="2:20" s="474" customFormat="1" ht="25.5" customHeight="1">
      <c r="B34" s="86" t="s">
        <v>297</v>
      </c>
      <c r="C34" s="49">
        <v>8</v>
      </c>
      <c r="D34" s="49">
        <v>32</v>
      </c>
      <c r="E34" s="48">
        <v>40</v>
      </c>
      <c r="F34" s="473"/>
      <c r="G34" s="766">
        <f t="shared" si="0"/>
        <v>3.5333333333333332</v>
      </c>
      <c r="H34" s="767">
        <f t="shared" si="1"/>
        <v>2544</v>
      </c>
      <c r="I34" s="500"/>
      <c r="J34" s="473" t="s">
        <v>335</v>
      </c>
      <c r="K34" s="768">
        <f t="shared" si="2"/>
        <v>0</v>
      </c>
      <c r="N34" s="763"/>
      <c r="O34" s="502"/>
      <c r="R34" s="485"/>
      <c r="S34" s="485"/>
      <c r="T34" s="485"/>
    </row>
    <row r="35" spans="2:20" s="474" customFormat="1" ht="25.5" customHeight="1">
      <c r="B35" s="80" t="s">
        <v>298</v>
      </c>
      <c r="C35" s="148">
        <v>16</v>
      </c>
      <c r="D35" s="148">
        <v>64</v>
      </c>
      <c r="E35" s="33">
        <v>40</v>
      </c>
      <c r="F35" s="498"/>
      <c r="G35" s="760">
        <f t="shared" si="0"/>
        <v>6.8666666666666663</v>
      </c>
      <c r="H35" s="761">
        <f t="shared" si="1"/>
        <v>4944</v>
      </c>
      <c r="I35" s="500"/>
      <c r="J35" s="498" t="s">
        <v>335</v>
      </c>
      <c r="K35" s="762">
        <f t="shared" si="2"/>
        <v>0</v>
      </c>
      <c r="O35" s="502"/>
      <c r="R35" s="485"/>
      <c r="S35" s="485"/>
      <c r="T35" s="485"/>
    </row>
    <row r="36" spans="2:20" s="474" customFormat="1" ht="25.5" customHeight="1">
      <c r="B36" s="86" t="s">
        <v>299</v>
      </c>
      <c r="C36" s="49">
        <v>32</v>
      </c>
      <c r="D36" s="49">
        <v>128</v>
      </c>
      <c r="E36" s="48">
        <v>40</v>
      </c>
      <c r="F36" s="473"/>
      <c r="G36" s="766">
        <f t="shared" si="0"/>
        <v>13.533333333333333</v>
      </c>
      <c r="H36" s="767">
        <f t="shared" si="1"/>
        <v>9744</v>
      </c>
      <c r="I36" s="500"/>
      <c r="J36" s="473" t="s">
        <v>335</v>
      </c>
      <c r="K36" s="768">
        <f t="shared" si="2"/>
        <v>0</v>
      </c>
      <c r="N36" s="763"/>
      <c r="O36" s="502"/>
      <c r="R36" s="485"/>
      <c r="S36" s="485"/>
      <c r="T36" s="485"/>
    </row>
    <row r="37" spans="2:20" s="474" customFormat="1" ht="25.5" customHeight="1">
      <c r="B37" s="80" t="s">
        <v>300</v>
      </c>
      <c r="C37" s="148">
        <v>64</v>
      </c>
      <c r="D37" s="148">
        <v>256</v>
      </c>
      <c r="E37" s="33">
        <v>40</v>
      </c>
      <c r="F37" s="498"/>
      <c r="G37" s="760">
        <f t="shared" si="0"/>
        <v>26.866666666666667</v>
      </c>
      <c r="H37" s="761">
        <f t="shared" si="1"/>
        <v>19344</v>
      </c>
      <c r="I37" s="500"/>
      <c r="J37" s="498" t="s">
        <v>335</v>
      </c>
      <c r="K37" s="762">
        <f t="shared" si="2"/>
        <v>0</v>
      </c>
      <c r="O37" s="502"/>
      <c r="R37" s="485"/>
      <c r="S37" s="485"/>
      <c r="T37" s="485"/>
    </row>
    <row r="38" spans="2:20" ht="25.5" customHeight="1">
      <c r="B38" s="506" t="s">
        <v>59</v>
      </c>
      <c r="C38" s="769">
        <f t="array" ref="C38">SUM(C25:C37*I25:I37)</f>
        <v>0</v>
      </c>
      <c r="D38" s="769">
        <f t="array" ref="D38">SUM(D25:D37*I25:I37)</f>
        <v>0</v>
      </c>
      <c r="E38" s="769">
        <f t="array" ref="E38">SUM(E25:E37*I25:I37)</f>
        <v>0</v>
      </c>
      <c r="F38" s="597"/>
      <c r="G38" s="597"/>
      <c r="H38" s="597"/>
      <c r="I38" s="597" t="str">
        <f>SUM(I25:I37)&amp;" st"</f>
        <v>0 st</v>
      </c>
      <c r="J38" s="531"/>
      <c r="K38" s="770">
        <f>SUM(K25:K35)</f>
        <v>0</v>
      </c>
      <c r="O38" s="452"/>
      <c r="R38" s="485"/>
      <c r="S38" s="485"/>
      <c r="T38" s="509"/>
    </row>
    <row r="39" spans="2:20" ht="25.5" customHeight="1">
      <c r="B39" s="99"/>
      <c r="C39" s="139"/>
      <c r="D39" s="139"/>
      <c r="E39" s="139"/>
      <c r="F39" s="510"/>
      <c r="G39" s="511"/>
      <c r="H39" s="512"/>
      <c r="I39" s="513"/>
      <c r="J39" s="514"/>
      <c r="K39" s="513"/>
      <c r="O39" s="452"/>
      <c r="R39" s="485"/>
      <c r="S39" s="485"/>
      <c r="T39" s="509"/>
    </row>
    <row r="40" spans="2:20" ht="25.5" customHeight="1">
      <c r="B40" s="99"/>
      <c r="C40" s="139"/>
      <c r="D40" s="139"/>
      <c r="E40" s="139"/>
      <c r="F40" s="510"/>
      <c r="G40" s="511"/>
      <c r="H40" s="512"/>
      <c r="I40" s="513"/>
      <c r="J40" s="514"/>
      <c r="K40" s="513"/>
      <c r="O40" s="452"/>
      <c r="R40" s="485"/>
      <c r="S40" s="485"/>
      <c r="T40" s="509"/>
    </row>
    <row r="41" spans="2:20" s="515" customFormat="1" ht="31">
      <c r="B41" s="214" t="s">
        <v>440</v>
      </c>
      <c r="C41" s="65"/>
      <c r="D41" s="65"/>
      <c r="E41" s="65"/>
      <c r="F41" s="516"/>
      <c r="G41" s="516"/>
      <c r="H41" s="517"/>
      <c r="I41" s="518"/>
      <c r="J41" s="518"/>
      <c r="K41" s="519"/>
      <c r="O41" s="520"/>
      <c r="R41" s="521"/>
      <c r="S41" s="521"/>
      <c r="T41" s="522"/>
    </row>
    <row r="42" spans="2:20" s="523" customFormat="1" ht="52">
      <c r="B42" s="74" t="s">
        <v>22</v>
      </c>
      <c r="C42" s="75" t="s">
        <v>11</v>
      </c>
      <c r="D42" s="75" t="s">
        <v>12</v>
      </c>
      <c r="E42" s="142" t="s">
        <v>438</v>
      </c>
      <c r="F42" s="491"/>
      <c r="G42" s="492" t="s">
        <v>237</v>
      </c>
      <c r="H42" s="492" t="s">
        <v>257</v>
      </c>
      <c r="I42" s="494" t="s">
        <v>439</v>
      </c>
      <c r="J42" s="491"/>
      <c r="K42" s="492" t="s">
        <v>33</v>
      </c>
      <c r="N42" s="446"/>
      <c r="O42" s="452"/>
      <c r="P42" s="446"/>
      <c r="Q42" s="446"/>
      <c r="R42" s="485"/>
      <c r="S42" s="485"/>
      <c r="T42" s="509"/>
    </row>
    <row r="43" spans="2:20" s="474" customFormat="1" ht="25.5" customHeight="1">
      <c r="B43" s="80" t="s">
        <v>302</v>
      </c>
      <c r="C43" s="81">
        <v>1</v>
      </c>
      <c r="D43" s="81">
        <v>1</v>
      </c>
      <c r="E43" s="524">
        <v>10</v>
      </c>
      <c r="F43" s="525"/>
      <c r="G43" s="771">
        <f t="shared" ref="G43:G66" si="3">H43/720</f>
        <v>0.2013888888888889</v>
      </c>
      <c r="H43" s="772">
        <f t="shared" ref="H43:H66" si="4">C43*IAAS_vcpu_SEK+D43*IAAS_ram_SEK+E43*IAAS_nvme_SEK</f>
        <v>145</v>
      </c>
      <c r="I43" s="500"/>
      <c r="J43" s="498" t="s">
        <v>335</v>
      </c>
      <c r="K43" s="762">
        <f t="shared" ref="K43:K66" si="5">ROUNDUP(I43*H43,2)</f>
        <v>0</v>
      </c>
      <c r="O43" s="502"/>
      <c r="R43" s="485"/>
      <c r="T43" s="485"/>
    </row>
    <row r="44" spans="2:20" s="474" customFormat="1" ht="25.5" customHeight="1">
      <c r="B44" s="86" t="s">
        <v>303</v>
      </c>
      <c r="C44" s="87">
        <v>1</v>
      </c>
      <c r="D44" s="87">
        <v>2</v>
      </c>
      <c r="E44" s="161">
        <v>20</v>
      </c>
      <c r="F44" s="527"/>
      <c r="G44" s="773">
        <f t="shared" si="3"/>
        <v>0.29166666666666669</v>
      </c>
      <c r="H44" s="774">
        <f t="shared" si="4"/>
        <v>210</v>
      </c>
      <c r="I44" s="500"/>
      <c r="J44" s="473" t="s">
        <v>335</v>
      </c>
      <c r="K44" s="768">
        <f t="shared" si="5"/>
        <v>0</v>
      </c>
      <c r="O44" s="502"/>
      <c r="R44" s="485"/>
      <c r="T44" s="485"/>
    </row>
    <row r="45" spans="2:20" s="474" customFormat="1" ht="25.5" customHeight="1">
      <c r="B45" s="80" t="s">
        <v>304</v>
      </c>
      <c r="C45" s="81">
        <v>2</v>
      </c>
      <c r="D45" s="81">
        <v>4</v>
      </c>
      <c r="E45" s="524">
        <v>250</v>
      </c>
      <c r="F45" s="525"/>
      <c r="G45" s="771">
        <f t="shared" si="3"/>
        <v>0.875</v>
      </c>
      <c r="H45" s="772">
        <f t="shared" si="4"/>
        <v>630</v>
      </c>
      <c r="I45" s="500"/>
      <c r="J45" s="498" t="s">
        <v>335</v>
      </c>
      <c r="K45" s="762">
        <f t="shared" si="5"/>
        <v>0</v>
      </c>
      <c r="O45" s="502"/>
      <c r="R45" s="485"/>
      <c r="T45" s="485"/>
    </row>
    <row r="46" spans="2:20" s="474" customFormat="1" ht="25.5" customHeight="1">
      <c r="B46" s="86" t="s">
        <v>305</v>
      </c>
      <c r="C46" s="87">
        <v>4</v>
      </c>
      <c r="D46" s="87">
        <v>8</v>
      </c>
      <c r="E46" s="161">
        <v>250</v>
      </c>
      <c r="F46" s="527"/>
      <c r="G46" s="773">
        <f t="shared" si="3"/>
        <v>1.4027777777777777</v>
      </c>
      <c r="H46" s="774">
        <f t="shared" si="4"/>
        <v>1010</v>
      </c>
      <c r="I46" s="500"/>
      <c r="J46" s="473" t="s">
        <v>335</v>
      </c>
      <c r="K46" s="768">
        <f t="shared" si="5"/>
        <v>0</v>
      </c>
      <c r="O46" s="502"/>
      <c r="R46" s="485"/>
      <c r="T46" s="485"/>
    </row>
    <row r="47" spans="2:20" s="474" customFormat="1" ht="25.5" customHeight="1">
      <c r="B47" s="80" t="s">
        <v>306</v>
      </c>
      <c r="C47" s="81">
        <v>8</v>
      </c>
      <c r="D47" s="81">
        <v>16</v>
      </c>
      <c r="E47" s="524">
        <v>250</v>
      </c>
      <c r="F47" s="525"/>
      <c r="G47" s="771">
        <f t="shared" si="3"/>
        <v>2.4583333333333335</v>
      </c>
      <c r="H47" s="772">
        <f t="shared" si="4"/>
        <v>1770</v>
      </c>
      <c r="I47" s="500"/>
      <c r="J47" s="498" t="s">
        <v>335</v>
      </c>
      <c r="K47" s="762">
        <f t="shared" si="5"/>
        <v>0</v>
      </c>
      <c r="O47" s="502"/>
      <c r="R47" s="485"/>
      <c r="T47" s="485"/>
    </row>
    <row r="48" spans="2:20" s="474" customFormat="1" ht="25.5" customHeight="1">
      <c r="B48" s="86" t="s">
        <v>307</v>
      </c>
      <c r="C48" s="87">
        <v>16</v>
      </c>
      <c r="D48" s="87">
        <v>32</v>
      </c>
      <c r="E48" s="161">
        <v>250</v>
      </c>
      <c r="F48" s="527"/>
      <c r="G48" s="773">
        <f t="shared" si="3"/>
        <v>4.5694444444444446</v>
      </c>
      <c r="H48" s="774">
        <f t="shared" si="4"/>
        <v>3290</v>
      </c>
      <c r="I48" s="500"/>
      <c r="J48" s="473" t="s">
        <v>335</v>
      </c>
      <c r="K48" s="768">
        <f t="shared" si="5"/>
        <v>0</v>
      </c>
      <c r="O48" s="502"/>
      <c r="R48" s="485"/>
      <c r="T48" s="485"/>
    </row>
    <row r="49" spans="2:20" s="474" customFormat="1" ht="25.5" customHeight="1">
      <c r="B49" s="80" t="s">
        <v>308</v>
      </c>
      <c r="C49" s="81">
        <v>16</v>
      </c>
      <c r="D49" s="81">
        <v>32</v>
      </c>
      <c r="E49" s="524">
        <v>500</v>
      </c>
      <c r="F49" s="525"/>
      <c r="G49" s="771">
        <f t="shared" si="3"/>
        <v>4.916666666666667</v>
      </c>
      <c r="H49" s="772">
        <f t="shared" si="4"/>
        <v>3540</v>
      </c>
      <c r="I49" s="500"/>
      <c r="J49" s="498" t="s">
        <v>335</v>
      </c>
      <c r="K49" s="762">
        <f t="shared" si="5"/>
        <v>0</v>
      </c>
      <c r="O49" s="502"/>
      <c r="R49" s="485"/>
      <c r="T49" s="485"/>
    </row>
    <row r="50" spans="2:20" s="474" customFormat="1" ht="25.5" customHeight="1">
      <c r="B50" s="86" t="s">
        <v>309</v>
      </c>
      <c r="C50" s="87">
        <v>16</v>
      </c>
      <c r="D50" s="87">
        <v>32</v>
      </c>
      <c r="E50" s="161">
        <v>1000</v>
      </c>
      <c r="F50" s="527"/>
      <c r="G50" s="773">
        <f t="shared" si="3"/>
        <v>5.6111111111111107</v>
      </c>
      <c r="H50" s="774">
        <f t="shared" si="4"/>
        <v>4040</v>
      </c>
      <c r="I50" s="500"/>
      <c r="J50" s="473" t="s">
        <v>335</v>
      </c>
      <c r="K50" s="768">
        <f t="shared" si="5"/>
        <v>0</v>
      </c>
      <c r="O50" s="502"/>
      <c r="R50" s="485"/>
      <c r="T50" s="485"/>
    </row>
    <row r="51" spans="2:20" s="474" customFormat="1" ht="25.5" customHeight="1">
      <c r="B51" s="80" t="s">
        <v>310</v>
      </c>
      <c r="C51" s="81">
        <v>32</v>
      </c>
      <c r="D51" s="81">
        <v>64</v>
      </c>
      <c r="E51" s="524">
        <v>250</v>
      </c>
      <c r="F51" s="525"/>
      <c r="G51" s="771">
        <f t="shared" si="3"/>
        <v>8.7916666666666661</v>
      </c>
      <c r="H51" s="772">
        <f t="shared" si="4"/>
        <v>6330</v>
      </c>
      <c r="I51" s="500"/>
      <c r="J51" s="498" t="s">
        <v>335</v>
      </c>
      <c r="K51" s="762">
        <f t="shared" si="5"/>
        <v>0</v>
      </c>
      <c r="O51" s="502"/>
      <c r="R51" s="485"/>
      <c r="T51" s="485"/>
    </row>
    <row r="52" spans="2:20" s="474" customFormat="1" ht="25.5" customHeight="1">
      <c r="B52" s="86" t="s">
        <v>311</v>
      </c>
      <c r="C52" s="87">
        <v>32</v>
      </c>
      <c r="D52" s="87">
        <v>64</v>
      </c>
      <c r="E52" s="161">
        <v>500</v>
      </c>
      <c r="F52" s="527"/>
      <c r="G52" s="773">
        <f t="shared" si="3"/>
        <v>9.1388888888888893</v>
      </c>
      <c r="H52" s="774">
        <f t="shared" si="4"/>
        <v>6580</v>
      </c>
      <c r="I52" s="500"/>
      <c r="J52" s="473" t="s">
        <v>335</v>
      </c>
      <c r="K52" s="768">
        <f t="shared" si="5"/>
        <v>0</v>
      </c>
      <c r="O52" s="502"/>
      <c r="R52" s="485"/>
      <c r="T52" s="485"/>
    </row>
    <row r="53" spans="2:20" s="474" customFormat="1" ht="25.5" customHeight="1">
      <c r="B53" s="80" t="s">
        <v>312</v>
      </c>
      <c r="C53" s="81">
        <v>32</v>
      </c>
      <c r="D53" s="81">
        <v>64</v>
      </c>
      <c r="E53" s="524">
        <v>1000</v>
      </c>
      <c r="F53" s="525"/>
      <c r="G53" s="771">
        <f t="shared" si="3"/>
        <v>9.8333333333333339</v>
      </c>
      <c r="H53" s="772">
        <f t="shared" si="4"/>
        <v>7080</v>
      </c>
      <c r="I53" s="500"/>
      <c r="J53" s="498" t="s">
        <v>335</v>
      </c>
      <c r="K53" s="762">
        <f t="shared" si="5"/>
        <v>0</v>
      </c>
      <c r="O53" s="502"/>
      <c r="R53" s="485"/>
      <c r="T53" s="485"/>
    </row>
    <row r="54" spans="2:20" s="474" customFormat="1" ht="25.5" customHeight="1">
      <c r="B54" s="86" t="s">
        <v>313</v>
      </c>
      <c r="C54" s="87">
        <v>1</v>
      </c>
      <c r="D54" s="87">
        <v>4</v>
      </c>
      <c r="E54" s="161">
        <v>20</v>
      </c>
      <c r="F54" s="527"/>
      <c r="G54" s="773">
        <f t="shared" si="3"/>
        <v>0.44444444444444442</v>
      </c>
      <c r="H54" s="774">
        <f t="shared" si="4"/>
        <v>320</v>
      </c>
      <c r="I54" s="500"/>
      <c r="J54" s="473" t="s">
        <v>335</v>
      </c>
      <c r="K54" s="768">
        <f t="shared" si="5"/>
        <v>0</v>
      </c>
      <c r="O54" s="502"/>
      <c r="R54" s="485"/>
      <c r="T54" s="485"/>
    </row>
    <row r="55" spans="2:20" s="474" customFormat="1" ht="25.5" customHeight="1">
      <c r="B55" s="80" t="s">
        <v>314</v>
      </c>
      <c r="C55" s="81">
        <v>2</v>
      </c>
      <c r="D55" s="81">
        <v>8</v>
      </c>
      <c r="E55" s="524">
        <v>250</v>
      </c>
      <c r="F55" s="525"/>
      <c r="G55" s="771">
        <f t="shared" si="3"/>
        <v>1.1805555555555556</v>
      </c>
      <c r="H55" s="772">
        <f t="shared" si="4"/>
        <v>850</v>
      </c>
      <c r="I55" s="500"/>
      <c r="J55" s="498" t="s">
        <v>335</v>
      </c>
      <c r="K55" s="762">
        <f t="shared" si="5"/>
        <v>0</v>
      </c>
      <c r="O55" s="502"/>
      <c r="R55" s="485"/>
      <c r="T55" s="485"/>
    </row>
    <row r="56" spans="2:20" s="474" customFormat="1" ht="25.5" customHeight="1">
      <c r="B56" s="86" t="s">
        <v>315</v>
      </c>
      <c r="C56" s="87">
        <v>4</v>
      </c>
      <c r="D56" s="87">
        <v>16</v>
      </c>
      <c r="E56" s="161">
        <v>250</v>
      </c>
      <c r="F56" s="527"/>
      <c r="G56" s="773">
        <f t="shared" si="3"/>
        <v>2.0138888888888888</v>
      </c>
      <c r="H56" s="774">
        <f t="shared" si="4"/>
        <v>1450</v>
      </c>
      <c r="I56" s="500"/>
      <c r="J56" s="473" t="s">
        <v>335</v>
      </c>
      <c r="K56" s="768">
        <f t="shared" si="5"/>
        <v>0</v>
      </c>
      <c r="O56" s="502"/>
      <c r="R56" s="485"/>
      <c r="T56" s="485"/>
    </row>
    <row r="57" spans="2:20" s="474" customFormat="1" ht="25.5" customHeight="1">
      <c r="B57" s="80" t="s">
        <v>316</v>
      </c>
      <c r="C57" s="81">
        <v>8</v>
      </c>
      <c r="D57" s="81">
        <v>32</v>
      </c>
      <c r="E57" s="524">
        <v>250</v>
      </c>
      <c r="F57" s="525"/>
      <c r="G57" s="771">
        <f t="shared" si="3"/>
        <v>3.6805555555555554</v>
      </c>
      <c r="H57" s="772">
        <f t="shared" si="4"/>
        <v>2650</v>
      </c>
      <c r="I57" s="500"/>
      <c r="J57" s="498" t="s">
        <v>335</v>
      </c>
      <c r="K57" s="762">
        <f t="shared" si="5"/>
        <v>0</v>
      </c>
      <c r="O57" s="502"/>
      <c r="R57" s="485"/>
      <c r="T57" s="485"/>
    </row>
    <row r="58" spans="2:20" s="474" customFormat="1" ht="25.5" customHeight="1">
      <c r="B58" s="86" t="s">
        <v>317</v>
      </c>
      <c r="C58" s="87">
        <v>8</v>
      </c>
      <c r="D58" s="87">
        <v>32</v>
      </c>
      <c r="E58" s="161">
        <v>500</v>
      </c>
      <c r="F58" s="527"/>
      <c r="G58" s="773">
        <f t="shared" si="3"/>
        <v>4.0277777777777777</v>
      </c>
      <c r="H58" s="774">
        <f t="shared" si="4"/>
        <v>2900</v>
      </c>
      <c r="I58" s="500"/>
      <c r="J58" s="473" t="s">
        <v>335</v>
      </c>
      <c r="K58" s="768">
        <f t="shared" si="5"/>
        <v>0</v>
      </c>
      <c r="O58" s="502"/>
      <c r="R58" s="485"/>
      <c r="T58" s="485"/>
    </row>
    <row r="59" spans="2:20" s="474" customFormat="1" ht="25.5" customHeight="1">
      <c r="B59" s="80" t="s">
        <v>318</v>
      </c>
      <c r="C59" s="81">
        <v>8</v>
      </c>
      <c r="D59" s="81">
        <v>32</v>
      </c>
      <c r="E59" s="524">
        <v>1000</v>
      </c>
      <c r="F59" s="525"/>
      <c r="G59" s="771">
        <f t="shared" si="3"/>
        <v>4.7222222222222223</v>
      </c>
      <c r="H59" s="772">
        <f t="shared" si="4"/>
        <v>3400</v>
      </c>
      <c r="I59" s="500"/>
      <c r="J59" s="498" t="s">
        <v>335</v>
      </c>
      <c r="K59" s="762">
        <f t="shared" si="5"/>
        <v>0</v>
      </c>
      <c r="O59" s="502"/>
      <c r="R59" s="485"/>
      <c r="T59" s="485"/>
    </row>
    <row r="60" spans="2:20" s="474" customFormat="1" ht="25.5" customHeight="1">
      <c r="B60" s="86" t="s">
        <v>319</v>
      </c>
      <c r="C60" s="87">
        <v>16</v>
      </c>
      <c r="D60" s="87">
        <v>64</v>
      </c>
      <c r="E60" s="161">
        <v>250</v>
      </c>
      <c r="F60" s="527"/>
      <c r="G60" s="773">
        <f t="shared" si="3"/>
        <v>7.0138888888888893</v>
      </c>
      <c r="H60" s="774">
        <f t="shared" si="4"/>
        <v>5050</v>
      </c>
      <c r="I60" s="500"/>
      <c r="J60" s="473" t="s">
        <v>335</v>
      </c>
      <c r="K60" s="768">
        <f t="shared" si="5"/>
        <v>0</v>
      </c>
      <c r="O60" s="502"/>
      <c r="R60" s="485"/>
      <c r="T60" s="485"/>
    </row>
    <row r="61" spans="2:20" s="474" customFormat="1" ht="25.5" customHeight="1">
      <c r="B61" s="80" t="s">
        <v>320</v>
      </c>
      <c r="C61" s="81">
        <v>16</v>
      </c>
      <c r="D61" s="81">
        <v>64</v>
      </c>
      <c r="E61" s="524">
        <v>500</v>
      </c>
      <c r="F61" s="525"/>
      <c r="G61" s="771">
        <f t="shared" si="3"/>
        <v>7.3611111111111107</v>
      </c>
      <c r="H61" s="772">
        <f t="shared" si="4"/>
        <v>5300</v>
      </c>
      <c r="I61" s="500"/>
      <c r="J61" s="498" t="s">
        <v>335</v>
      </c>
      <c r="K61" s="762">
        <f t="shared" si="5"/>
        <v>0</v>
      </c>
      <c r="O61" s="502"/>
      <c r="R61" s="485"/>
      <c r="T61" s="485"/>
    </row>
    <row r="62" spans="2:20" s="474" customFormat="1" ht="25.5" customHeight="1">
      <c r="B62" s="86" t="s">
        <v>321</v>
      </c>
      <c r="C62" s="87">
        <v>16</v>
      </c>
      <c r="D62" s="87">
        <v>64</v>
      </c>
      <c r="E62" s="161">
        <v>1000</v>
      </c>
      <c r="F62" s="527"/>
      <c r="G62" s="773">
        <f t="shared" si="3"/>
        <v>8.0555555555555554</v>
      </c>
      <c r="H62" s="774">
        <f t="shared" si="4"/>
        <v>5800</v>
      </c>
      <c r="I62" s="500"/>
      <c r="J62" s="473" t="s">
        <v>335</v>
      </c>
      <c r="K62" s="768">
        <f t="shared" si="5"/>
        <v>0</v>
      </c>
      <c r="O62" s="502"/>
      <c r="R62" s="485"/>
      <c r="T62" s="485"/>
    </row>
    <row r="63" spans="2:20" s="474" customFormat="1" ht="25.5" customHeight="1">
      <c r="B63" s="80" t="s">
        <v>322</v>
      </c>
      <c r="C63" s="81">
        <v>32</v>
      </c>
      <c r="D63" s="81">
        <v>128</v>
      </c>
      <c r="E63" s="524">
        <v>250</v>
      </c>
      <c r="F63" s="525"/>
      <c r="G63" s="771">
        <f t="shared" si="3"/>
        <v>13.680555555555555</v>
      </c>
      <c r="H63" s="772">
        <f t="shared" si="4"/>
        <v>9850</v>
      </c>
      <c r="I63" s="500"/>
      <c r="J63" s="498" t="s">
        <v>335</v>
      </c>
      <c r="K63" s="762">
        <f t="shared" si="5"/>
        <v>0</v>
      </c>
      <c r="O63" s="502"/>
      <c r="R63" s="485"/>
      <c r="T63" s="485"/>
    </row>
    <row r="64" spans="2:20" s="474" customFormat="1" ht="25.5" customHeight="1">
      <c r="B64" s="86" t="s">
        <v>323</v>
      </c>
      <c r="C64" s="87">
        <v>32</v>
      </c>
      <c r="D64" s="87">
        <v>128</v>
      </c>
      <c r="E64" s="161">
        <v>500</v>
      </c>
      <c r="F64" s="527"/>
      <c r="G64" s="773">
        <f t="shared" si="3"/>
        <v>14.027777777777779</v>
      </c>
      <c r="H64" s="774">
        <f t="shared" si="4"/>
        <v>10100</v>
      </c>
      <c r="I64" s="500"/>
      <c r="J64" s="473" t="s">
        <v>335</v>
      </c>
      <c r="K64" s="768">
        <f t="shared" si="5"/>
        <v>0</v>
      </c>
      <c r="O64" s="502"/>
      <c r="R64" s="485"/>
      <c r="T64" s="485"/>
    </row>
    <row r="65" spans="2:23" s="474" customFormat="1" ht="25.5" customHeight="1">
      <c r="B65" s="80" t="s">
        <v>324</v>
      </c>
      <c r="C65" s="81">
        <v>32</v>
      </c>
      <c r="D65" s="81">
        <v>128</v>
      </c>
      <c r="E65" s="524">
        <v>1000</v>
      </c>
      <c r="F65" s="525"/>
      <c r="G65" s="771">
        <f t="shared" si="3"/>
        <v>14.722222222222221</v>
      </c>
      <c r="H65" s="772">
        <f t="shared" si="4"/>
        <v>10600</v>
      </c>
      <c r="I65" s="500"/>
      <c r="J65" s="498" t="s">
        <v>335</v>
      </c>
      <c r="K65" s="762">
        <f t="shared" si="5"/>
        <v>0</v>
      </c>
      <c r="O65" s="502"/>
      <c r="R65" s="485"/>
      <c r="T65" s="485"/>
    </row>
    <row r="66" spans="2:23" s="474" customFormat="1" ht="25.5" customHeight="1">
      <c r="B66" s="86" t="s">
        <v>325</v>
      </c>
      <c r="C66" s="87">
        <v>64</v>
      </c>
      <c r="D66" s="87">
        <v>256</v>
      </c>
      <c r="E66" s="161">
        <v>1000</v>
      </c>
      <c r="F66" s="527"/>
      <c r="G66" s="773">
        <f t="shared" si="3"/>
        <v>28.055555555555557</v>
      </c>
      <c r="H66" s="774">
        <f t="shared" si="4"/>
        <v>20200</v>
      </c>
      <c r="I66" s="500"/>
      <c r="J66" s="473" t="s">
        <v>335</v>
      </c>
      <c r="K66" s="768">
        <f t="shared" si="5"/>
        <v>0</v>
      </c>
      <c r="O66" s="502"/>
      <c r="R66" s="485"/>
      <c r="T66" s="485"/>
    </row>
    <row r="67" spans="2:23" s="474" customFormat="1" ht="24.75" customHeight="1">
      <c r="B67" s="506" t="s">
        <v>59</v>
      </c>
      <c r="C67" s="529">
        <f t="array" ref="C67">SUM(C43:C66*I43:I66)</f>
        <v>0</v>
      </c>
      <c r="D67" s="529">
        <f t="array" ref="D67">SUM(D43:D66*I43:I66)</f>
        <v>0</v>
      </c>
      <c r="E67" s="530">
        <f t="array" ref="E67">SUM(E43:E66*I43:I66)</f>
        <v>0</v>
      </c>
      <c r="F67" s="529"/>
      <c r="G67" s="529"/>
      <c r="H67" s="529"/>
      <c r="I67" s="529" t="str">
        <f>SUM(I43:I66)&amp;" st"</f>
        <v>0 st</v>
      </c>
      <c r="J67" s="531"/>
      <c r="K67" s="770">
        <f>SUM(K43:K65)</f>
        <v>0</v>
      </c>
      <c r="O67" s="502"/>
      <c r="R67" s="485"/>
      <c r="T67" s="485"/>
    </row>
    <row r="68" spans="2:23" ht="25.5" customHeight="1">
      <c r="B68" s="108"/>
      <c r="C68" s="109"/>
      <c r="D68" s="109"/>
      <c r="E68" s="109"/>
      <c r="F68" s="533"/>
      <c r="G68" s="534"/>
      <c r="H68" s="535"/>
      <c r="I68" s="535"/>
      <c r="J68" s="533"/>
      <c r="K68" s="536"/>
      <c r="N68" s="474"/>
      <c r="O68" s="452"/>
      <c r="R68" s="485"/>
      <c r="S68" s="485"/>
      <c r="T68" s="509"/>
    </row>
    <row r="69" spans="2:23" ht="25.5" customHeight="1">
      <c r="B69" s="108"/>
      <c r="C69" s="109"/>
      <c r="D69" s="109"/>
      <c r="E69" s="109"/>
      <c r="F69" s="533"/>
      <c r="G69" s="534"/>
      <c r="H69" s="535"/>
      <c r="I69" s="535"/>
      <c r="J69" s="535"/>
      <c r="K69" s="533"/>
      <c r="L69" s="536"/>
      <c r="M69" s="536"/>
      <c r="O69" s="452"/>
      <c r="P69" s="474"/>
      <c r="T69" s="485"/>
      <c r="U69" s="485"/>
      <c r="V69" s="509"/>
    </row>
    <row r="70" spans="2:23" ht="25.5" hidden="1" customHeight="1">
      <c r="B70" s="538" t="s">
        <v>441</v>
      </c>
      <c r="C70" s="539"/>
      <c r="D70" s="539"/>
      <c r="E70" s="539"/>
      <c r="F70" s="539"/>
      <c r="G70" s="539"/>
      <c r="H70" s="540"/>
      <c r="I70" s="447"/>
      <c r="J70" s="447"/>
      <c r="L70" s="541"/>
      <c r="M70" s="541"/>
      <c r="O70" s="452"/>
      <c r="T70" s="485"/>
      <c r="U70" s="485"/>
      <c r="V70" s="509"/>
    </row>
    <row r="71" spans="2:23" s="543" customFormat="1" ht="52" hidden="1">
      <c r="B71" s="74" t="s">
        <v>22</v>
      </c>
      <c r="C71" s="75" t="s">
        <v>27</v>
      </c>
      <c r="D71" s="75" t="s">
        <v>12</v>
      </c>
      <c r="E71" s="141" t="s">
        <v>28</v>
      </c>
      <c r="F71" s="491" t="s">
        <v>29</v>
      </c>
      <c r="G71" s="492" t="s">
        <v>237</v>
      </c>
      <c r="H71" s="492" t="s">
        <v>257</v>
      </c>
      <c r="I71" s="494" t="s">
        <v>439</v>
      </c>
      <c r="J71" s="494" t="s">
        <v>442</v>
      </c>
      <c r="K71" s="491"/>
      <c r="L71" s="492" t="s">
        <v>33</v>
      </c>
      <c r="M71" s="492" t="s">
        <v>443</v>
      </c>
      <c r="N71" s="545"/>
      <c r="O71" s="546"/>
      <c r="P71" s="545"/>
      <c r="Q71" s="545"/>
      <c r="U71" s="547"/>
      <c r="V71" s="547"/>
      <c r="W71" s="548"/>
    </row>
    <row r="72" spans="2:23" s="474" customFormat="1" ht="25.5" hidden="1" customHeight="1">
      <c r="B72" s="80" t="s">
        <v>329</v>
      </c>
      <c r="C72" s="81">
        <v>4</v>
      </c>
      <c r="D72" s="81">
        <v>16</v>
      </c>
      <c r="E72" s="82">
        <v>250</v>
      </c>
      <c r="F72" s="525">
        <v>1</v>
      </c>
      <c r="G72" s="775">
        <f>H72/720</f>
        <v>9.6527777777777786</v>
      </c>
      <c r="H72" s="776">
        <f>C72*IAAS_vcpu_SEK+D72*IAAS_ram_SEK+E72*IAAS_nvme_SEK+F72*IAAS_gpu_SEK</f>
        <v>6950</v>
      </c>
      <c r="I72" s="500"/>
      <c r="J72" s="500"/>
      <c r="K72" s="498" t="str">
        <f>J63</f>
        <v>Instanser</v>
      </c>
      <c r="L72" s="762">
        <f>ROUNDUP(I72*H72,2)</f>
        <v>0</v>
      </c>
      <c r="M72" s="762">
        <f>J72*C72*SW_win.ser.201X_SEK</f>
        <v>0</v>
      </c>
      <c r="O72" s="502"/>
      <c r="T72" s="485"/>
      <c r="V72" s="485"/>
    </row>
    <row r="73" spans="2:23" s="474" customFormat="1" ht="25.5" hidden="1" customHeight="1">
      <c r="B73" s="86" t="s">
        <v>330</v>
      </c>
      <c r="C73" s="87">
        <v>8</v>
      </c>
      <c r="D73" s="87">
        <v>32</v>
      </c>
      <c r="E73" s="88">
        <v>500</v>
      </c>
      <c r="F73" s="527">
        <v>2</v>
      </c>
      <c r="G73" s="777">
        <f>H73/720</f>
        <v>19.305555555555557</v>
      </c>
      <c r="H73" s="778">
        <f>C73*IAAS_vcpu_SEK+D73*IAAS_ram_SEK+E73*IAAS_nvme_SEK+F73*IAAS_gpu_SEK</f>
        <v>13900</v>
      </c>
      <c r="I73" s="500"/>
      <c r="J73" s="500"/>
      <c r="K73" s="473" t="s">
        <v>335</v>
      </c>
      <c r="L73" s="768">
        <f>ROUNDUP(I73*H73,2)</f>
        <v>0</v>
      </c>
      <c r="M73" s="768">
        <f>J73*C73*SW_win.ser.201X_SEK</f>
        <v>0</v>
      </c>
      <c r="O73" s="502"/>
      <c r="T73" s="485"/>
      <c r="V73" s="485"/>
    </row>
    <row r="74" spans="2:23" s="474" customFormat="1" ht="25.5" hidden="1" customHeight="1">
      <c r="B74" s="80" t="s">
        <v>331</v>
      </c>
      <c r="C74" s="81">
        <v>16</v>
      </c>
      <c r="D74" s="81">
        <v>64</v>
      </c>
      <c r="E74" s="82">
        <v>1000</v>
      </c>
      <c r="F74" s="525">
        <v>4</v>
      </c>
      <c r="G74" s="775">
        <f>H74/720</f>
        <v>38.611111111111114</v>
      </c>
      <c r="H74" s="776">
        <f>C74*IAAS_vcpu_SEK+D74*IAAS_ram_SEK+E74*IAAS_nvme_SEK+F74*IAAS_gpu_SEK</f>
        <v>27800</v>
      </c>
      <c r="I74" s="500"/>
      <c r="J74" s="500"/>
      <c r="K74" s="498" t="str">
        <f>J65</f>
        <v>Instanser</v>
      </c>
      <c r="L74" s="762">
        <f>ROUNDUP(I74*H74,2)</f>
        <v>0</v>
      </c>
      <c r="M74" s="762">
        <f>J74*C74*SW_win.ser.201X_SEK</f>
        <v>0</v>
      </c>
      <c r="O74" s="502"/>
      <c r="T74" s="485"/>
      <c r="V74" s="485"/>
    </row>
    <row r="75" spans="2:23" s="474" customFormat="1" ht="25.5" hidden="1" customHeight="1">
      <c r="B75" s="86" t="s">
        <v>332</v>
      </c>
      <c r="C75" s="87">
        <v>32</v>
      </c>
      <c r="D75" s="87">
        <v>128</v>
      </c>
      <c r="E75" s="88">
        <v>1000</v>
      </c>
      <c r="F75" s="527">
        <v>6</v>
      </c>
      <c r="G75" s="777">
        <f>H75/720</f>
        <v>60.555555555555557</v>
      </c>
      <c r="H75" s="778">
        <f>C75*IAAS_vcpu_SEK+D75*IAAS_ram_SEK+E75*IAAS_nvme_SEK+F75*IAAS_gpu_SEK</f>
        <v>43600</v>
      </c>
      <c r="I75" s="500"/>
      <c r="J75" s="500"/>
      <c r="K75" s="473" t="s">
        <v>335</v>
      </c>
      <c r="L75" s="768">
        <f>ROUNDUP(I75*H75,2)</f>
        <v>0</v>
      </c>
      <c r="M75" s="768">
        <f>J75*C75*SW_win.ser.201X_SEK</f>
        <v>0</v>
      </c>
      <c r="O75" s="502"/>
      <c r="T75" s="485"/>
      <c r="V75" s="485"/>
    </row>
    <row r="76" spans="2:23" s="551" customFormat="1" ht="25.5" hidden="1" customHeight="1">
      <c r="B76" s="506" t="s">
        <v>59</v>
      </c>
      <c r="C76" s="552"/>
      <c r="D76" s="552"/>
      <c r="E76" s="552"/>
      <c r="F76" s="553"/>
      <c r="G76" s="554"/>
      <c r="H76" s="555"/>
      <c r="I76" s="529" t="str">
        <f>SUM(I72:I75)&amp;" st"</f>
        <v>0 st</v>
      </c>
      <c r="J76" s="529" t="str">
        <f>SUM(J72:J75)&amp;" st"</f>
        <v>0 st</v>
      </c>
      <c r="K76" s="531"/>
      <c r="L76" s="770">
        <f>SUM(L72:L75)</f>
        <v>0</v>
      </c>
      <c r="M76" s="779">
        <f>SUM(M72:M75)</f>
        <v>0</v>
      </c>
      <c r="N76" s="557"/>
      <c r="O76" s="558"/>
      <c r="P76" s="559"/>
      <c r="Q76" s="559"/>
      <c r="R76" s="559"/>
      <c r="S76" s="559"/>
      <c r="T76" s="560"/>
      <c r="U76" s="559"/>
      <c r="V76" s="561"/>
    </row>
    <row r="77" spans="2:23" s="474" customFormat="1" ht="25.5" hidden="1" customHeight="1">
      <c r="B77" s="99"/>
      <c r="C77" s="153"/>
      <c r="D77" s="153"/>
      <c r="E77" s="139"/>
      <c r="F77" s="562"/>
      <c r="G77" s="562"/>
      <c r="H77" s="486"/>
      <c r="I77" s="486"/>
      <c r="J77" s="486"/>
      <c r="K77" s="486"/>
      <c r="L77" s="563"/>
      <c r="M77" s="563"/>
      <c r="O77" s="502"/>
      <c r="T77" s="485"/>
      <c r="V77" s="485"/>
    </row>
    <row r="78" spans="2:23" s="474" customFormat="1" ht="25.5" hidden="1" customHeight="1">
      <c r="B78" s="99"/>
      <c r="C78" s="153"/>
      <c r="D78" s="153"/>
      <c r="E78" s="139"/>
      <c r="F78" s="562"/>
      <c r="G78" s="562"/>
      <c r="H78" s="486"/>
      <c r="I78" s="486"/>
      <c r="J78" s="486"/>
      <c r="K78" s="486"/>
      <c r="L78" s="563"/>
      <c r="M78" s="563"/>
      <c r="O78" s="502"/>
      <c r="T78" s="485"/>
      <c r="V78" s="485"/>
    </row>
    <row r="79" spans="2:23" s="515" customFormat="1" ht="31" hidden="1">
      <c r="B79" s="214" t="s">
        <v>444</v>
      </c>
      <c r="C79" s="156"/>
      <c r="D79" s="156"/>
      <c r="E79" s="156"/>
      <c r="F79" s="565"/>
      <c r="G79" s="565"/>
      <c r="H79" s="486"/>
      <c r="I79" s="486"/>
      <c r="J79" s="486"/>
      <c r="K79" s="486"/>
      <c r="L79" s="563"/>
      <c r="M79" s="563"/>
      <c r="O79" s="520"/>
      <c r="P79" s="486"/>
      <c r="Q79" s="486"/>
      <c r="R79" s="486"/>
      <c r="S79" s="486"/>
      <c r="T79" s="521"/>
      <c r="U79" s="486"/>
      <c r="V79" s="522"/>
    </row>
    <row r="80" spans="2:23" s="543" customFormat="1" ht="52" hidden="1">
      <c r="B80" s="74" t="s">
        <v>22</v>
      </c>
      <c r="C80" s="75" t="s">
        <v>27</v>
      </c>
      <c r="D80" s="75" t="s">
        <v>12</v>
      </c>
      <c r="E80" s="142" t="s">
        <v>28</v>
      </c>
      <c r="F80" s="780"/>
      <c r="G80" s="492" t="s">
        <v>237</v>
      </c>
      <c r="H80" s="492" t="s">
        <v>257</v>
      </c>
      <c r="I80" s="494" t="s">
        <v>439</v>
      </c>
      <c r="J80" s="494" t="s">
        <v>442</v>
      </c>
      <c r="K80" s="491"/>
      <c r="L80" s="492" t="s">
        <v>33</v>
      </c>
      <c r="M80" s="492" t="s">
        <v>443</v>
      </c>
      <c r="N80" s="545"/>
      <c r="O80" s="546"/>
      <c r="P80" s="545"/>
      <c r="Q80" s="545"/>
      <c r="U80" s="547"/>
      <c r="V80" s="547"/>
      <c r="W80" s="548"/>
    </row>
    <row r="81" spans="2:23" s="474" customFormat="1" ht="25.5" hidden="1" customHeight="1">
      <c r="B81" s="566" t="s">
        <v>334</v>
      </c>
      <c r="C81" s="157">
        <v>16</v>
      </c>
      <c r="D81" s="157">
        <v>128</v>
      </c>
      <c r="E81" s="158">
        <v>3800</v>
      </c>
      <c r="F81" s="567"/>
      <c r="G81" s="771">
        <f>H81/720</f>
        <v>9.5</v>
      </c>
      <c r="H81" s="772">
        <f>INSTANCE_p1.2xlarge.16d_SEK</f>
        <v>6840</v>
      </c>
      <c r="I81" s="500"/>
      <c r="J81" s="500"/>
      <c r="K81" s="498" t="s">
        <v>335</v>
      </c>
      <c r="L81" s="762">
        <f>ROUNDUP(I81*H81,2)</f>
        <v>0</v>
      </c>
      <c r="M81" s="762">
        <f>J81*C81*SW_win.ser.201X_SEK</f>
        <v>0</v>
      </c>
      <c r="N81" s="486"/>
      <c r="O81" s="502"/>
    </row>
    <row r="82" spans="2:23" s="474" customFormat="1" ht="25.5" hidden="1" customHeight="1">
      <c r="B82" s="568" t="s">
        <v>336</v>
      </c>
      <c r="C82" s="160">
        <v>32</v>
      </c>
      <c r="D82" s="160">
        <v>256</v>
      </c>
      <c r="E82" s="161">
        <v>3800</v>
      </c>
      <c r="F82" s="569"/>
      <c r="G82" s="773">
        <f>H82/720</f>
        <v>19</v>
      </c>
      <c r="H82" s="774">
        <f>INSTANCE_p1.4xlarge.16d_SEK</f>
        <v>13680</v>
      </c>
      <c r="I82" s="500"/>
      <c r="J82" s="500"/>
      <c r="K82" s="473" t="str">
        <f>K81</f>
        <v>Instanser</v>
      </c>
      <c r="L82" s="768">
        <f>ROUNDUP(I82*H82,2)</f>
        <v>0</v>
      </c>
      <c r="M82" s="768">
        <f>J82*C82*SW_win.ser.201X_SEK</f>
        <v>0</v>
      </c>
      <c r="N82" s="486"/>
      <c r="O82" s="502"/>
      <c r="W82" s="485"/>
    </row>
    <row r="83" spans="2:23" s="559" customFormat="1" ht="25.5" hidden="1" customHeight="1">
      <c r="B83" s="216" t="s">
        <v>337</v>
      </c>
      <c r="C83" s="165">
        <v>64</v>
      </c>
      <c r="D83" s="165">
        <v>512</v>
      </c>
      <c r="E83" s="166">
        <v>7600</v>
      </c>
      <c r="F83" s="570"/>
      <c r="G83" s="781">
        <f>H83/720</f>
        <v>38</v>
      </c>
      <c r="H83" s="782">
        <f>INSTANCE_p1.8xlarge.32d_SEK</f>
        <v>27360</v>
      </c>
      <c r="I83" s="500"/>
      <c r="J83" s="500"/>
      <c r="K83" s="498" t="s">
        <v>335</v>
      </c>
      <c r="L83" s="762">
        <f>ROUNDUP(I83*H83,2)</f>
        <v>0</v>
      </c>
      <c r="M83" s="762">
        <f>J83*C83*SW_win.ser.201X_SEK</f>
        <v>0</v>
      </c>
      <c r="N83" s="573"/>
      <c r="O83" s="574"/>
    </row>
    <row r="84" spans="2:23" ht="25.5" hidden="1" customHeight="1">
      <c r="B84" s="99" t="s">
        <v>59</v>
      </c>
      <c r="C84" s="139"/>
      <c r="D84" s="139"/>
      <c r="E84" s="139"/>
      <c r="F84" s="559"/>
      <c r="G84" s="559"/>
      <c r="H84" s="559"/>
      <c r="I84" s="529" t="str">
        <f>SUM(I81:I83)&amp;" st"</f>
        <v>0 st</v>
      </c>
      <c r="J84" s="529" t="str">
        <f>SUM(J81:J83)&amp;" st"</f>
        <v>0 st</v>
      </c>
      <c r="K84" s="531"/>
      <c r="L84" s="770">
        <f>SUM(L81:L83)</f>
        <v>0</v>
      </c>
      <c r="M84" s="779">
        <f>SUM(M81:M83)</f>
        <v>0</v>
      </c>
      <c r="O84" s="452"/>
    </row>
    <row r="85" spans="2:23" ht="25.5" hidden="1" customHeight="1">
      <c r="B85" s="168"/>
      <c r="C85" s="169"/>
      <c r="D85" s="169"/>
      <c r="E85" s="169"/>
      <c r="F85" s="575"/>
      <c r="G85" s="575"/>
      <c r="H85" s="559"/>
      <c r="I85" s="576"/>
      <c r="J85" s="576"/>
      <c r="K85" s="514"/>
      <c r="L85" s="513"/>
      <c r="M85" s="557"/>
      <c r="O85" s="452"/>
    </row>
    <row r="86" spans="2:23" s="474" customFormat="1" ht="25.5" hidden="1" customHeight="1">
      <c r="B86" s="170"/>
      <c r="C86" s="153"/>
      <c r="D86" s="153"/>
      <c r="E86" s="153"/>
      <c r="F86" s="562"/>
      <c r="G86" s="562"/>
      <c r="H86" s="486"/>
      <c r="I86" s="486"/>
      <c r="J86" s="486"/>
      <c r="K86" s="486"/>
      <c r="L86" s="563"/>
      <c r="M86" s="563"/>
      <c r="O86" s="502"/>
      <c r="T86" s="485"/>
      <c r="V86" s="485"/>
    </row>
    <row r="87" spans="2:23" ht="25.5" customHeight="1">
      <c r="B87" s="214" t="s">
        <v>445</v>
      </c>
      <c r="C87" s="156"/>
      <c r="D87" s="156"/>
      <c r="E87" s="156"/>
      <c r="F87" s="565"/>
      <c r="G87" s="565"/>
      <c r="H87" s="486"/>
      <c r="I87" s="486"/>
      <c r="J87" s="486"/>
      <c r="K87" s="783"/>
      <c r="L87" s="486"/>
      <c r="M87" s="563"/>
      <c r="O87" s="452"/>
      <c r="P87" s="474"/>
      <c r="Q87" s="474"/>
      <c r="R87" s="474"/>
      <c r="S87" s="474"/>
      <c r="T87" s="485"/>
      <c r="U87" s="474"/>
      <c r="V87" s="509"/>
    </row>
    <row r="88" spans="2:23" s="578" customFormat="1" ht="35.25" customHeight="1">
      <c r="B88" s="74" t="s">
        <v>22</v>
      </c>
      <c r="C88" s="172" t="s">
        <v>242</v>
      </c>
      <c r="D88" s="172"/>
      <c r="E88" s="1" t="s">
        <v>237</v>
      </c>
      <c r="F88" s="970" t="s">
        <v>446</v>
      </c>
      <c r="G88" s="970"/>
      <c r="H88" s="580"/>
      <c r="I88" s="581" t="s">
        <v>447</v>
      </c>
      <c r="J88" s="580"/>
      <c r="K88" s="579" t="s">
        <v>69</v>
      </c>
      <c r="L88" s="497"/>
      <c r="O88" s="583"/>
      <c r="P88" s="497"/>
      <c r="T88" s="584"/>
      <c r="U88" s="584"/>
      <c r="V88" s="585"/>
    </row>
    <row r="89" spans="2:23" s="474" customFormat="1" ht="25.5" customHeight="1">
      <c r="B89" s="566" t="s">
        <v>340</v>
      </c>
      <c r="C89" s="179" t="s">
        <v>40</v>
      </c>
      <c r="D89" s="180"/>
      <c r="E89" s="400">
        <f>F89/720</f>
        <v>1.6666666666666666E-3</v>
      </c>
      <c r="F89" s="1029">
        <f>VOLUME_large_SEK</f>
        <v>1.2</v>
      </c>
      <c r="G89" s="1029"/>
      <c r="H89" s="587"/>
      <c r="I89" s="588"/>
      <c r="J89" s="784" t="s">
        <v>84</v>
      </c>
      <c r="K89" s="735">
        <f>ROUNDUP(I89*F89,2)</f>
        <v>0</v>
      </c>
      <c r="L89" s="486"/>
      <c r="O89" s="502"/>
    </row>
    <row r="90" spans="2:23" s="474" customFormat="1" ht="25.5" customHeight="1">
      <c r="B90" s="568" t="s">
        <v>341</v>
      </c>
      <c r="C90" s="50" t="s">
        <v>42</v>
      </c>
      <c r="D90" s="167"/>
      <c r="E90" s="402">
        <f>F90/720</f>
        <v>5.0000000000000001E-3</v>
      </c>
      <c r="F90" s="1030">
        <f>VOLUME_fast_SEK</f>
        <v>3.6</v>
      </c>
      <c r="G90" s="1030"/>
      <c r="H90" s="592"/>
      <c r="I90" s="593"/>
      <c r="J90" s="785" t="s">
        <v>84</v>
      </c>
      <c r="K90" s="786">
        <f>ROUNDUP(I90*F90,2)</f>
        <v>0</v>
      </c>
      <c r="L90" s="486"/>
      <c r="O90" s="502"/>
      <c r="V90" s="485"/>
    </row>
    <row r="91" spans="2:23" ht="25.5" customHeight="1">
      <c r="B91" s="506" t="s">
        <v>26</v>
      </c>
      <c r="C91" s="552"/>
      <c r="D91" s="552"/>
      <c r="E91" s="552"/>
      <c r="F91" s="554"/>
      <c r="G91" s="555"/>
      <c r="H91" s="555"/>
      <c r="I91" s="596" t="str">
        <f>SUM(I89:I90)&amp;" GB"</f>
        <v>0 GB</v>
      </c>
      <c r="J91" s="597"/>
      <c r="K91" s="779">
        <f>SUM(K89:K90)</f>
        <v>0</v>
      </c>
      <c r="O91" s="452"/>
    </row>
    <row r="92" spans="2:23" ht="25.5" customHeight="1">
      <c r="B92" s="602"/>
      <c r="C92" s="169"/>
      <c r="D92" s="169"/>
      <c r="E92" s="169"/>
      <c r="F92" s="575"/>
      <c r="G92" s="575"/>
      <c r="H92" s="598"/>
      <c r="I92" s="598"/>
      <c r="J92" s="599"/>
      <c r="K92" s="600"/>
      <c r="L92" s="638"/>
      <c r="M92" s="446"/>
      <c r="O92" s="452"/>
    </row>
    <row r="93" spans="2:23" ht="25.5" customHeight="1">
      <c r="B93" s="602"/>
      <c r="C93" s="169"/>
      <c r="D93" s="169"/>
      <c r="E93" s="169"/>
      <c r="F93" s="575"/>
      <c r="G93" s="575"/>
      <c r="H93" s="598"/>
      <c r="I93" s="598"/>
      <c r="J93" s="598"/>
      <c r="K93" s="599"/>
      <c r="L93" s="600"/>
      <c r="M93" s="638"/>
      <c r="O93" s="452"/>
    </row>
    <row r="94" spans="2:23" s="462" customFormat="1" ht="25.5" customHeight="1">
      <c r="B94" s="602"/>
      <c r="C94" s="169"/>
      <c r="D94" s="169"/>
      <c r="E94" s="169"/>
      <c r="F94" s="575"/>
      <c r="G94" s="575"/>
      <c r="H94" s="598"/>
      <c r="I94" s="598"/>
      <c r="J94" s="598"/>
      <c r="K94" s="599"/>
      <c r="L94" s="600"/>
      <c r="M94" s="638"/>
      <c r="O94" s="461"/>
    </row>
    <row r="95" spans="2:23" s="462" customFormat="1" ht="25.5" customHeight="1">
      <c r="B95" s="968" t="s">
        <v>141</v>
      </c>
      <c r="C95" s="968"/>
      <c r="D95" s="968"/>
      <c r="E95" s="968"/>
      <c r="F95" s="968"/>
      <c r="G95" s="968"/>
      <c r="H95" s="470"/>
      <c r="J95" s="473"/>
      <c r="K95" s="473"/>
      <c r="M95" s="471"/>
      <c r="O95" s="461"/>
    </row>
    <row r="96" spans="2:23" s="462" customFormat="1" ht="25.5" customHeight="1">
      <c r="B96" s="968"/>
      <c r="C96" s="968"/>
      <c r="D96" s="968"/>
      <c r="E96" s="968"/>
      <c r="F96" s="968"/>
      <c r="G96" s="968"/>
      <c r="H96" s="470"/>
      <c r="J96" s="473"/>
      <c r="K96" s="473"/>
      <c r="M96" s="471"/>
      <c r="O96" s="461"/>
    </row>
    <row r="97" spans="2:23" s="462" customFormat="1" ht="25.5" customHeight="1">
      <c r="B97" s="968"/>
      <c r="C97" s="968"/>
      <c r="D97" s="968"/>
      <c r="E97" s="968"/>
      <c r="F97" s="968"/>
      <c r="G97" s="968"/>
      <c r="H97" s="470"/>
      <c r="J97" s="473"/>
      <c r="K97" s="473"/>
      <c r="M97" s="471"/>
      <c r="O97" s="461"/>
    </row>
    <row r="98" spans="2:23" s="462" customFormat="1" ht="25.5" customHeight="1">
      <c r="B98" s="1031" t="s">
        <v>448</v>
      </c>
      <c r="C98" s="1031"/>
      <c r="D98" s="1031"/>
      <c r="E98" s="1031"/>
      <c r="F98" s="1031"/>
      <c r="H98" s="470"/>
      <c r="J98" s="473"/>
      <c r="K98" s="473"/>
      <c r="M98" s="471"/>
      <c r="N98" s="478"/>
      <c r="O98" s="483"/>
    </row>
    <row r="99" spans="2:23" s="603" customFormat="1" ht="25.5" customHeight="1">
      <c r="B99" s="969" t="s">
        <v>449</v>
      </c>
      <c r="C99" s="969"/>
      <c r="D99" s="969"/>
      <c r="E99" s="969"/>
      <c r="F99" s="969"/>
      <c r="G99" s="604"/>
      <c r="H99" s="605"/>
      <c r="I99" s="604"/>
      <c r="J99" s="606"/>
      <c r="K99" s="607"/>
      <c r="L99" s="604"/>
      <c r="M99" s="787"/>
      <c r="N99" s="604"/>
      <c r="O99" s="609"/>
    </row>
    <row r="100" spans="2:23" s="462" customFormat="1" ht="25.5" customHeight="1">
      <c r="B100" s="788" t="s">
        <v>450</v>
      </c>
      <c r="C100" s="59"/>
      <c r="D100" s="59"/>
      <c r="E100" s="59"/>
      <c r="F100" s="484"/>
      <c r="G100" s="478"/>
      <c r="H100" s="479"/>
      <c r="I100" s="478"/>
      <c r="J100" s="480"/>
      <c r="K100" s="611"/>
      <c r="L100" s="611"/>
      <c r="M100" s="481"/>
      <c r="N100" s="481"/>
      <c r="O100" s="502"/>
      <c r="Q100" s="474"/>
      <c r="R100" s="474"/>
    </row>
    <row r="101" spans="2:23" s="462" customFormat="1" ht="25.5" customHeight="1">
      <c r="B101" s="34"/>
      <c r="C101" s="34"/>
      <c r="D101" s="34"/>
      <c r="E101" s="34"/>
      <c r="F101" s="484"/>
      <c r="G101" s="478"/>
      <c r="H101" s="479"/>
      <c r="I101" s="478"/>
      <c r="J101" s="480"/>
      <c r="K101" s="611"/>
      <c r="L101" s="611"/>
      <c r="M101" s="481"/>
      <c r="N101" s="481"/>
      <c r="O101" s="502"/>
      <c r="Q101" s="474"/>
      <c r="R101" s="474"/>
    </row>
    <row r="102" spans="2:23" s="462" customFormat="1" ht="25.5" customHeight="1">
      <c r="B102" s="74" t="s">
        <v>22</v>
      </c>
      <c r="C102" s="202" t="s">
        <v>451</v>
      </c>
      <c r="D102" s="970" t="s">
        <v>452</v>
      </c>
      <c r="E102" s="970"/>
      <c r="F102" s="970"/>
      <c r="G102" s="970"/>
      <c r="H102" s="970"/>
      <c r="I102" s="970"/>
      <c r="J102" s="970"/>
      <c r="K102" s="970"/>
      <c r="L102" s="579"/>
      <c r="M102" s="580"/>
      <c r="N102" s="481"/>
      <c r="O102" s="502"/>
      <c r="Q102" s="474"/>
      <c r="R102" s="474"/>
    </row>
    <row r="103" spans="2:23" s="462" customFormat="1" ht="25.5" customHeight="1">
      <c r="B103" s="80" t="s">
        <v>347</v>
      </c>
      <c r="C103" s="28" t="s">
        <v>453</v>
      </c>
      <c r="D103" s="1032">
        <f>S3_storage.50_SEK</f>
        <v>350</v>
      </c>
      <c r="E103" s="1032"/>
      <c r="F103" s="1032"/>
      <c r="G103" s="1032"/>
      <c r="H103" s="1032"/>
      <c r="I103" s="1032"/>
      <c r="J103" s="1032"/>
      <c r="K103" s="1032"/>
      <c r="L103" s="789"/>
      <c r="M103" s="790"/>
      <c r="N103" s="481"/>
      <c r="O103" s="502"/>
      <c r="Q103" s="474"/>
      <c r="R103" s="474"/>
    </row>
    <row r="104" spans="2:23" s="462" customFormat="1" ht="25.5" customHeight="1">
      <c r="B104" s="86" t="s">
        <v>347</v>
      </c>
      <c r="C104" s="90" t="s">
        <v>454</v>
      </c>
      <c r="D104" s="1033">
        <f>S3_storage.100_SEK</f>
        <v>270</v>
      </c>
      <c r="E104" s="1033"/>
      <c r="F104" s="1033"/>
      <c r="G104" s="1033"/>
      <c r="H104" s="1033"/>
      <c r="I104" s="1033"/>
      <c r="J104" s="1033"/>
      <c r="K104" s="1033"/>
      <c r="L104" s="791"/>
      <c r="M104" s="792"/>
      <c r="N104" s="481"/>
      <c r="O104" s="502"/>
      <c r="Q104" s="474"/>
      <c r="R104" s="474"/>
    </row>
    <row r="105" spans="2:23" s="462" customFormat="1" ht="25.5" customHeight="1">
      <c r="B105" s="80" t="s">
        <v>347</v>
      </c>
      <c r="C105" s="28" t="s">
        <v>455</v>
      </c>
      <c r="D105" s="1034">
        <f>S3_storage.500_SEK</f>
        <v>200</v>
      </c>
      <c r="E105" s="1034"/>
      <c r="F105" s="1034"/>
      <c r="G105" s="1034"/>
      <c r="H105" s="1034"/>
      <c r="I105" s="1034"/>
      <c r="J105" s="1034"/>
      <c r="K105" s="1034"/>
      <c r="L105" s="793"/>
      <c r="M105" s="794"/>
      <c r="N105" s="481"/>
      <c r="O105" s="502"/>
      <c r="Q105" s="474"/>
      <c r="R105" s="474"/>
    </row>
    <row r="106" spans="2:23" s="462" customFormat="1" ht="25.5" customHeight="1">
      <c r="B106" s="86" t="s">
        <v>347</v>
      </c>
      <c r="C106" s="90" t="s">
        <v>456</v>
      </c>
      <c r="D106" s="1033">
        <f>S3_storage.1000_SEK</f>
        <v>185</v>
      </c>
      <c r="E106" s="1033"/>
      <c r="F106" s="1033"/>
      <c r="G106" s="1033"/>
      <c r="H106" s="1033"/>
      <c r="I106" s="1033"/>
      <c r="J106" s="1033"/>
      <c r="K106" s="1033"/>
      <c r="L106" s="791"/>
      <c r="M106" s="792"/>
      <c r="N106" s="481"/>
      <c r="O106" s="502"/>
      <c r="Q106" s="474"/>
      <c r="R106" s="474"/>
    </row>
    <row r="107" spans="2:23" s="462" customFormat="1" ht="25.5" customHeight="1">
      <c r="B107" s="80" t="s">
        <v>347</v>
      </c>
      <c r="C107" s="28" t="s">
        <v>457</v>
      </c>
      <c r="D107" s="1035" t="str">
        <f>S3_storage.quote_SEK</f>
        <v>Be om offert</v>
      </c>
      <c r="E107" s="1035"/>
      <c r="F107" s="1035"/>
      <c r="G107" s="1035"/>
      <c r="H107" s="1035"/>
      <c r="I107" s="1035"/>
      <c r="J107" s="1035"/>
      <c r="K107" s="1035"/>
      <c r="L107" s="466"/>
      <c r="M107" s="463"/>
      <c r="N107" s="481"/>
      <c r="O107" s="502"/>
      <c r="Q107" s="474"/>
      <c r="R107" s="474"/>
    </row>
    <row r="108" spans="2:23" s="462" customFormat="1" ht="25.5" customHeight="1">
      <c r="B108" s="795"/>
      <c r="C108" s="796"/>
      <c r="D108" s="796"/>
      <c r="E108" s="796"/>
      <c r="F108" s="481"/>
      <c r="G108" s="481"/>
      <c r="H108" s="481"/>
      <c r="I108" s="481"/>
      <c r="J108" s="481"/>
      <c r="K108" s="481"/>
      <c r="L108" s="481"/>
      <c r="M108" s="481"/>
      <c r="N108" s="481"/>
      <c r="O108" s="502"/>
      <c r="Q108" s="474"/>
      <c r="R108" s="474"/>
    </row>
    <row r="109" spans="2:23" s="543" customFormat="1" ht="25.5" customHeight="1">
      <c r="B109" s="4"/>
      <c r="C109" s="60"/>
      <c r="D109" s="60"/>
      <c r="E109" s="60"/>
      <c r="F109" s="484"/>
      <c r="G109" s="478"/>
      <c r="H109" s="479"/>
      <c r="I109" s="478"/>
      <c r="J109" s="480"/>
      <c r="K109" s="611"/>
      <c r="L109" s="611"/>
      <c r="M109" s="481"/>
      <c r="N109" s="481"/>
      <c r="O109" s="635"/>
      <c r="Q109" s="578"/>
      <c r="R109" s="578"/>
      <c r="S109" s="578"/>
      <c r="T109" s="578"/>
      <c r="U109" s="578"/>
      <c r="V109" s="578"/>
      <c r="W109" s="578"/>
    </row>
    <row r="110" spans="2:23" ht="25.5" customHeight="1">
      <c r="B110" s="74" t="s">
        <v>22</v>
      </c>
      <c r="C110" s="172"/>
      <c r="D110" s="172"/>
      <c r="E110" s="2"/>
      <c r="F110" s="172" t="s">
        <v>452</v>
      </c>
      <c r="G110" s="580"/>
      <c r="H110" s="581" t="s">
        <v>451</v>
      </c>
      <c r="I110" s="580"/>
      <c r="J110" s="580"/>
      <c r="K110" s="580"/>
      <c r="L110" s="580"/>
      <c r="M110" s="579" t="s">
        <v>69</v>
      </c>
      <c r="N110" s="620"/>
      <c r="O110" s="502"/>
      <c r="Q110" s="474"/>
      <c r="R110" s="474"/>
    </row>
    <row r="111" spans="2:23" s="551" customFormat="1" ht="25.5" customHeight="1">
      <c r="B111" s="216" t="s">
        <v>347</v>
      </c>
      <c r="C111" s="217"/>
      <c r="D111" s="217"/>
      <c r="E111" s="218"/>
      <c r="F111" s="615">
        <f t="array" ref="F111">_xlfn.IFS(H111&lt;51,D103,H111&lt;101,D104,H111&lt;501,D105,H111&lt;1001,D106,H111&gt;1000,D107)</f>
        <v>350</v>
      </c>
      <c r="G111" s="797"/>
      <c r="H111" s="616"/>
      <c r="I111" s="617" t="s">
        <v>53</v>
      </c>
      <c r="J111" s="618"/>
      <c r="K111" s="618"/>
      <c r="L111" s="618"/>
      <c r="M111" s="367">
        <f t="array" ref="M111">_xlfn.IFS(H111&lt;1001,ROUNDUP(H111*F111,2),H111&gt;1000,D107)</f>
        <v>0</v>
      </c>
      <c r="N111" s="620"/>
      <c r="O111" s="574"/>
      <c r="Q111" s="559"/>
      <c r="R111" s="559"/>
    </row>
    <row r="112" spans="2:23" ht="25.5" customHeight="1">
      <c r="B112" s="629" t="s">
        <v>59</v>
      </c>
      <c r="C112" s="139"/>
      <c r="D112" s="139"/>
      <c r="E112" s="139"/>
      <c r="F112" s="511"/>
      <c r="G112" s="512"/>
      <c r="H112" s="512"/>
      <c r="I112" s="512"/>
      <c r="J112" s="512"/>
      <c r="K112" s="631"/>
      <c r="L112" s="631"/>
      <c r="M112" s="779">
        <f>SUM(M111)</f>
        <v>0</v>
      </c>
      <c r="N112" s="620"/>
      <c r="O112" s="502"/>
      <c r="Q112" s="474"/>
      <c r="R112" s="474"/>
    </row>
    <row r="113" spans="2:34" ht="25.5" customHeight="1">
      <c r="B113" s="228"/>
      <c r="C113" s="228"/>
      <c r="D113" s="228"/>
      <c r="E113" s="228"/>
      <c r="F113" s="636"/>
      <c r="G113" s="637"/>
      <c r="H113" s="598"/>
      <c r="I113" s="598"/>
      <c r="J113" s="598"/>
      <c r="K113" s="598"/>
      <c r="L113" s="598"/>
      <c r="M113" s="638"/>
      <c r="N113" s="620"/>
      <c r="O113" s="502"/>
      <c r="Q113" s="474"/>
      <c r="R113" s="474"/>
    </row>
    <row r="114" spans="2:34" ht="25.5" customHeight="1">
      <c r="B114" s="228"/>
      <c r="C114" s="228"/>
      <c r="D114" s="228"/>
      <c r="E114" s="228"/>
      <c r="F114" s="636"/>
      <c r="G114" s="637"/>
      <c r="H114" s="598"/>
      <c r="I114" s="598"/>
      <c r="J114" s="598"/>
      <c r="K114" s="598"/>
      <c r="L114" s="598"/>
      <c r="M114" s="638"/>
      <c r="N114" s="638"/>
      <c r="O114" s="502"/>
      <c r="Q114" s="474"/>
      <c r="R114" s="474"/>
      <c r="U114" s="462"/>
    </row>
    <row r="115" spans="2:34" s="462" customFormat="1" ht="25.5" customHeight="1">
      <c r="B115" s="228"/>
      <c r="C115" s="228"/>
      <c r="D115" s="228"/>
      <c r="E115" s="228"/>
      <c r="F115" s="636"/>
      <c r="G115" s="637"/>
      <c r="H115" s="598"/>
      <c r="I115" s="598"/>
      <c r="J115" s="598"/>
      <c r="K115" s="598"/>
      <c r="L115" s="598"/>
      <c r="M115" s="638"/>
      <c r="N115" s="638"/>
      <c r="O115" s="461"/>
    </row>
    <row r="116" spans="2:34" s="462" customFormat="1" ht="25.5" customHeight="1">
      <c r="B116" s="968" t="s">
        <v>142</v>
      </c>
      <c r="C116" s="968"/>
      <c r="D116" s="968"/>
      <c r="E116" s="968"/>
      <c r="F116" s="968"/>
      <c r="G116" s="968"/>
      <c r="H116" s="470"/>
      <c r="J116" s="473"/>
      <c r="K116" s="473"/>
      <c r="L116" s="473"/>
      <c r="M116" s="471"/>
      <c r="N116" s="471"/>
      <c r="O116" s="461"/>
    </row>
    <row r="117" spans="2:34" s="462" customFormat="1" ht="25.5" customHeight="1">
      <c r="B117" s="968"/>
      <c r="C117" s="968"/>
      <c r="D117" s="968"/>
      <c r="E117" s="968"/>
      <c r="F117" s="968"/>
      <c r="G117" s="968"/>
      <c r="H117" s="470"/>
      <c r="J117" s="473"/>
      <c r="K117" s="473"/>
      <c r="L117" s="473"/>
      <c r="M117" s="471"/>
      <c r="N117" s="471"/>
      <c r="O117" s="461"/>
    </row>
    <row r="118" spans="2:34" s="462" customFormat="1" ht="25.5" customHeight="1">
      <c r="B118" s="968"/>
      <c r="C118" s="968"/>
      <c r="D118" s="968"/>
      <c r="E118" s="968"/>
      <c r="F118" s="968"/>
      <c r="G118" s="968"/>
      <c r="H118" s="470"/>
      <c r="J118" s="473"/>
      <c r="K118" s="473"/>
      <c r="L118" s="473"/>
      <c r="M118" s="471"/>
      <c r="N118" s="471"/>
      <c r="O118" s="461"/>
    </row>
    <row r="119" spans="2:34" s="462" customFormat="1" ht="25.5" customHeight="1">
      <c r="B119" s="1031" t="s">
        <v>458</v>
      </c>
      <c r="C119" s="1031"/>
      <c r="D119" s="1031"/>
      <c r="E119" s="1031"/>
      <c r="F119" s="1031"/>
      <c r="H119" s="470"/>
      <c r="J119" s="473"/>
      <c r="K119" s="473"/>
      <c r="L119" s="473"/>
      <c r="M119" s="471"/>
      <c r="N119" s="471"/>
      <c r="O119" s="483"/>
    </row>
    <row r="120" spans="2:34" s="462" customFormat="1" ht="25.5" customHeight="1">
      <c r="B120" s="969" t="s">
        <v>436</v>
      </c>
      <c r="C120" s="969"/>
      <c r="D120" s="969"/>
      <c r="E120" s="969"/>
      <c r="F120" s="969"/>
      <c r="G120" s="478"/>
      <c r="H120" s="479"/>
      <c r="I120" s="478"/>
      <c r="J120" s="480"/>
      <c r="K120" s="611"/>
      <c r="L120" s="611"/>
      <c r="M120" s="481"/>
      <c r="N120" s="481"/>
      <c r="O120" s="483"/>
    </row>
    <row r="121" spans="2:34" s="486" customFormat="1" ht="25.5" customHeight="1">
      <c r="B121" s="788" t="s">
        <v>450</v>
      </c>
      <c r="C121" s="59"/>
      <c r="D121" s="59"/>
      <c r="E121" s="59"/>
      <c r="F121" s="484"/>
      <c r="G121" s="478"/>
      <c r="H121" s="479"/>
      <c r="I121" s="478"/>
      <c r="J121" s="480"/>
      <c r="K121" s="611"/>
      <c r="L121" s="611"/>
      <c r="M121" s="481"/>
      <c r="N121" s="481"/>
      <c r="O121" s="502"/>
      <c r="Q121" s="474"/>
      <c r="R121" s="474"/>
      <c r="S121" s="474"/>
      <c r="T121" s="474"/>
      <c r="U121" s="474"/>
      <c r="V121" s="474"/>
      <c r="W121" s="474"/>
      <c r="Z121" s="446"/>
      <c r="AA121" s="446"/>
      <c r="AB121" s="446"/>
    </row>
    <row r="122" spans="2:34" s="543" customFormat="1" ht="25.5" customHeight="1">
      <c r="B122" s="215"/>
      <c r="C122" s="154"/>
      <c r="D122" s="154"/>
      <c r="E122" s="154"/>
      <c r="F122" s="486"/>
      <c r="G122" s="486"/>
      <c r="H122" s="486"/>
      <c r="I122" s="486"/>
      <c r="J122" s="486"/>
      <c r="K122" s="486"/>
      <c r="L122" s="486"/>
      <c r="M122" s="563"/>
      <c r="N122" s="563"/>
      <c r="O122" s="635"/>
      <c r="R122" s="578"/>
      <c r="S122" s="578"/>
      <c r="T122" s="578"/>
      <c r="U122" s="578"/>
      <c r="V122" s="578"/>
      <c r="W122" s="578"/>
    </row>
    <row r="123" spans="2:34" ht="25">
      <c r="B123" s="74" t="s">
        <v>22</v>
      </c>
      <c r="C123" s="970" t="s">
        <v>249</v>
      </c>
      <c r="D123" s="970"/>
      <c r="E123" s="2" t="s">
        <v>237</v>
      </c>
      <c r="F123" s="970" t="s">
        <v>446</v>
      </c>
      <c r="G123" s="970"/>
      <c r="H123" s="581" t="s">
        <v>197</v>
      </c>
      <c r="I123" s="580"/>
      <c r="J123" s="985" t="s">
        <v>459</v>
      </c>
      <c r="K123" s="985"/>
      <c r="L123" s="639"/>
      <c r="M123" s="579" t="s">
        <v>69</v>
      </c>
      <c r="N123" s="563"/>
      <c r="O123" s="452"/>
    </row>
    <row r="124" spans="2:34" ht="25.5" customHeight="1">
      <c r="B124" s="640" t="s">
        <v>353</v>
      </c>
      <c r="C124" s="798"/>
      <c r="D124" s="235" t="s">
        <v>19</v>
      </c>
      <c r="E124" s="235" t="s">
        <v>19</v>
      </c>
      <c r="F124" s="1036">
        <f>BAAS_on.demand_SEK</f>
        <v>2.4500000000000002</v>
      </c>
      <c r="G124" s="1036"/>
      <c r="H124" s="642"/>
      <c r="I124" s="784" t="s">
        <v>84</v>
      </c>
      <c r="J124" s="988" t="s">
        <v>19</v>
      </c>
      <c r="K124" s="988"/>
      <c r="L124" s="643"/>
      <c r="M124" s="735">
        <f>ROUNDUP(H124*F124,2)</f>
        <v>0</v>
      </c>
      <c r="N124" s="563"/>
      <c r="O124" s="452"/>
    </row>
    <row r="125" spans="2:34" ht="25.5" customHeight="1">
      <c r="B125" s="644" t="s">
        <v>354</v>
      </c>
      <c r="C125" s="559"/>
      <c r="D125" s="277">
        <v>5500</v>
      </c>
      <c r="E125" s="646" t="s">
        <v>19</v>
      </c>
      <c r="F125" s="1037">
        <f>BAAS_small_SEK</f>
        <v>1.75</v>
      </c>
      <c r="G125" s="1037"/>
      <c r="H125" s="647"/>
      <c r="I125" s="785" t="s">
        <v>84</v>
      </c>
      <c r="J125" s="991">
        <v>0.75</v>
      </c>
      <c r="K125" s="991"/>
      <c r="L125" s="594"/>
      <c r="M125" s="786">
        <f>IF(H125&gt;0,IF(SUM($D$125+($F$125*((H125*(1-$J$125))-1000)))&lt;=D125,$D$125,$D$125+($F$125*((H125*(1-$J$125))-1000))),0)</f>
        <v>0</v>
      </c>
      <c r="N125" s="563"/>
      <c r="O125" s="452"/>
    </row>
    <row r="126" spans="2:34" s="648" customFormat="1" ht="25.5" customHeight="1">
      <c r="B126" s="649" t="s">
        <v>355</v>
      </c>
      <c r="C126" s="721"/>
      <c r="D126" s="362">
        <v>9500</v>
      </c>
      <c r="E126" s="651" t="s">
        <v>19</v>
      </c>
      <c r="F126" s="1038">
        <f>BAAS_large_SEK</f>
        <v>0.92</v>
      </c>
      <c r="G126" s="1038"/>
      <c r="H126" s="616"/>
      <c r="I126" s="617" t="s">
        <v>84</v>
      </c>
      <c r="J126" s="994">
        <v>0.75</v>
      </c>
      <c r="K126" s="994"/>
      <c r="L126" s="652"/>
      <c r="M126" s="739">
        <f>IF(H126&gt;0,$D$126+($F$126*(H126*(1-$J$126))),0)</f>
        <v>0</v>
      </c>
      <c r="N126" s="563"/>
      <c r="O126" s="654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</row>
    <row r="127" spans="2:34" s="648" customFormat="1" ht="25.5" customHeight="1">
      <c r="B127" s="629" t="s">
        <v>59</v>
      </c>
      <c r="C127" s="139"/>
      <c r="D127" s="139"/>
      <c r="E127" s="139"/>
      <c r="F127" s="511"/>
      <c r="G127" s="512"/>
      <c r="H127" s="596" t="str">
        <f>SUM(H124:H126)&amp;" GB"</f>
        <v>0 GB</v>
      </c>
      <c r="I127" s="512"/>
      <c r="J127" s="512"/>
      <c r="K127" s="631"/>
      <c r="L127" s="631"/>
      <c r="M127" s="779">
        <f>SUM(M124:M126)</f>
        <v>0</v>
      </c>
      <c r="N127" s="563"/>
      <c r="O127" s="654"/>
      <c r="Q127" s="655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</row>
    <row r="128" spans="2:34" s="648" customFormat="1" ht="25.5" customHeight="1">
      <c r="B128" s="629"/>
      <c r="C128" s="139"/>
      <c r="D128" s="139"/>
      <c r="E128" s="139"/>
      <c r="F128" s="511"/>
      <c r="G128" s="512"/>
      <c r="H128" s="512"/>
      <c r="I128" s="512"/>
      <c r="J128" s="512"/>
      <c r="K128" s="631"/>
      <c r="L128" s="631"/>
      <c r="M128" s="513"/>
      <c r="N128" s="563"/>
      <c r="O128" s="654"/>
      <c r="Q128" s="655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</row>
    <row r="129" spans="2:34" s="648" customFormat="1" ht="25.5" customHeight="1">
      <c r="B129" s="656" t="s">
        <v>460</v>
      </c>
      <c r="C129" s="139"/>
      <c r="D129" s="139"/>
      <c r="E129" s="139"/>
      <c r="F129" s="511"/>
      <c r="G129" s="512"/>
      <c r="H129" s="512"/>
      <c r="I129" s="512"/>
      <c r="J129" s="512"/>
      <c r="K129" s="631"/>
      <c r="L129" s="631"/>
      <c r="M129" s="513"/>
      <c r="N129" s="513"/>
      <c r="O129" s="654"/>
      <c r="Q129" s="655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</row>
    <row r="130" spans="2:34" ht="25.5" customHeight="1">
      <c r="B130" s="656" t="s">
        <v>461</v>
      </c>
      <c r="C130" s="139"/>
      <c r="D130" s="139"/>
      <c r="E130" s="139"/>
      <c r="F130" s="511"/>
      <c r="G130" s="512"/>
      <c r="H130" s="512"/>
      <c r="I130" s="512"/>
      <c r="J130" s="512"/>
      <c r="K130" s="631"/>
      <c r="L130" s="631"/>
      <c r="M130" s="513"/>
      <c r="N130" s="513"/>
      <c r="O130" s="502"/>
      <c r="Q130" s="474"/>
      <c r="R130" s="474"/>
    </row>
    <row r="131" spans="2:34" ht="25.5" customHeight="1">
      <c r="B131" s="656" t="s">
        <v>462</v>
      </c>
      <c r="C131" s="228"/>
      <c r="D131" s="228"/>
      <c r="E131" s="228"/>
      <c r="F131" s="636"/>
      <c r="G131" s="637"/>
      <c r="H131" s="598"/>
      <c r="I131" s="598"/>
      <c r="J131" s="598"/>
      <c r="K131" s="598"/>
      <c r="L131" s="598"/>
      <c r="M131" s="638"/>
      <c r="N131" s="638"/>
      <c r="O131" s="502"/>
      <c r="Q131" s="474"/>
      <c r="R131" s="474"/>
    </row>
    <row r="132" spans="2:34" ht="25.5" customHeight="1">
      <c r="B132" s="656" t="s">
        <v>463</v>
      </c>
      <c r="C132" s="228"/>
      <c r="D132" s="228"/>
      <c r="E132" s="228"/>
      <c r="F132" s="636"/>
      <c r="G132" s="637"/>
      <c r="H132" s="598"/>
      <c r="I132" s="598"/>
      <c r="J132" s="598"/>
      <c r="K132" s="598"/>
      <c r="L132" s="638"/>
      <c r="M132" s="638"/>
      <c r="N132" s="486"/>
      <c r="O132" s="502"/>
      <c r="P132" s="474"/>
      <c r="Q132" s="474"/>
    </row>
    <row r="133" spans="2:34" ht="25.5" customHeight="1">
      <c r="B133" s="249"/>
      <c r="C133" s="228"/>
      <c r="D133" s="228"/>
      <c r="E133" s="228"/>
      <c r="F133" s="636"/>
      <c r="G133" s="637"/>
      <c r="H133" s="598"/>
      <c r="I133" s="598"/>
      <c r="J133" s="598"/>
      <c r="K133" s="598"/>
      <c r="L133" s="638"/>
      <c r="M133" s="638"/>
      <c r="N133" s="486"/>
      <c r="O133" s="502"/>
      <c r="P133" s="474"/>
      <c r="Q133" s="474"/>
    </row>
    <row r="134" spans="2:34" ht="25.5" customHeight="1">
      <c r="B134" s="249"/>
      <c r="C134" s="228"/>
      <c r="D134" s="228"/>
      <c r="E134" s="228"/>
      <c r="F134" s="636"/>
      <c r="G134" s="637"/>
      <c r="H134" s="598"/>
      <c r="I134" s="598"/>
      <c r="J134" s="598"/>
      <c r="K134" s="598"/>
      <c r="L134" s="638"/>
      <c r="M134" s="638"/>
      <c r="N134" s="486"/>
      <c r="O134" s="502"/>
      <c r="P134" s="474"/>
      <c r="Q134" s="474"/>
    </row>
    <row r="135" spans="2:34" ht="25.5" customHeight="1">
      <c r="B135" s="249"/>
      <c r="C135" s="228"/>
      <c r="D135" s="228"/>
      <c r="E135" s="228"/>
      <c r="F135" s="636"/>
      <c r="G135" s="637"/>
      <c r="H135" s="598"/>
      <c r="I135" s="598"/>
      <c r="J135" s="598"/>
      <c r="K135" s="598"/>
      <c r="L135" s="638"/>
      <c r="M135" s="638"/>
      <c r="N135" s="486"/>
      <c r="O135" s="502"/>
      <c r="P135" s="474"/>
      <c r="Q135" s="474"/>
    </row>
    <row r="136" spans="2:34" ht="25.5" customHeight="1">
      <c r="B136" s="249"/>
      <c r="C136" s="228"/>
      <c r="D136" s="228"/>
      <c r="E136" s="228"/>
      <c r="F136" s="636"/>
      <c r="G136" s="637"/>
      <c r="H136" s="598"/>
      <c r="I136" s="598"/>
      <c r="J136" s="598"/>
      <c r="K136" s="598"/>
      <c r="L136" s="638"/>
      <c r="M136" s="638"/>
      <c r="N136" s="486"/>
      <c r="O136" s="502"/>
      <c r="P136" s="474"/>
      <c r="Q136" s="474"/>
    </row>
    <row r="137" spans="2:34" s="462" customFormat="1" ht="25.5" customHeight="1">
      <c r="B137" s="968" t="s">
        <v>252</v>
      </c>
      <c r="C137" s="968"/>
      <c r="D137" s="968"/>
      <c r="E137" s="968"/>
      <c r="F137" s="968"/>
      <c r="G137" s="968"/>
      <c r="H137" s="470"/>
      <c r="J137" s="473"/>
      <c r="K137" s="473"/>
      <c r="M137" s="638"/>
      <c r="N137" s="486"/>
      <c r="O137" s="502"/>
    </row>
    <row r="138" spans="2:34" s="462" customFormat="1" ht="25.5" customHeight="1">
      <c r="B138" s="968"/>
      <c r="C138" s="968"/>
      <c r="D138" s="968"/>
      <c r="E138" s="968"/>
      <c r="F138" s="968"/>
      <c r="G138" s="968"/>
      <c r="H138" s="470"/>
      <c r="J138" s="473"/>
      <c r="K138" s="473"/>
      <c r="M138" s="638"/>
      <c r="N138" s="486"/>
      <c r="O138" s="502"/>
    </row>
    <row r="139" spans="2:34" s="462" customFormat="1" ht="25.5" customHeight="1">
      <c r="B139" s="968"/>
      <c r="C139" s="968"/>
      <c r="D139" s="968"/>
      <c r="E139" s="968"/>
      <c r="F139" s="968"/>
      <c r="G139" s="968"/>
      <c r="H139" s="470"/>
      <c r="J139" s="473"/>
      <c r="K139" s="473"/>
      <c r="M139" s="638"/>
      <c r="N139" s="486"/>
      <c r="O139" s="502"/>
    </row>
    <row r="140" spans="2:34" s="462" customFormat="1" ht="25.5" customHeight="1">
      <c r="B140" s="969" t="s">
        <v>436</v>
      </c>
      <c r="C140" s="969"/>
      <c r="D140" s="969"/>
      <c r="E140" s="969"/>
      <c r="F140" s="969"/>
      <c r="H140" s="470"/>
      <c r="J140" s="473"/>
      <c r="K140" s="473"/>
      <c r="M140" s="638"/>
      <c r="N140" s="486"/>
      <c r="O140" s="502"/>
    </row>
    <row r="141" spans="2:34" s="462" customFormat="1" ht="25.5" customHeight="1">
      <c r="B141" s="996"/>
      <c r="C141" s="996"/>
      <c r="D141" s="996"/>
      <c r="E141" s="996"/>
      <c r="F141" s="996"/>
      <c r="G141" s="478"/>
      <c r="H141" s="479"/>
      <c r="I141" s="478"/>
      <c r="J141" s="480"/>
      <c r="K141" s="611"/>
      <c r="L141" s="478"/>
      <c r="M141" s="638"/>
      <c r="N141" s="486"/>
      <c r="O141" s="502"/>
    </row>
    <row r="142" spans="2:34" s="462" customFormat="1" ht="25.5" customHeight="1">
      <c r="B142" s="60"/>
      <c r="C142" s="60"/>
      <c r="D142" s="60"/>
      <c r="E142" s="60"/>
      <c r="F142" s="484"/>
      <c r="G142" s="478"/>
      <c r="H142" s="479"/>
      <c r="I142" s="478"/>
      <c r="J142" s="480"/>
      <c r="K142" s="611"/>
      <c r="L142" s="478"/>
      <c r="M142" s="638"/>
      <c r="N142" s="486"/>
      <c r="O142" s="502"/>
    </row>
    <row r="143" spans="2:34" s="486" customFormat="1" ht="25.5" customHeight="1">
      <c r="B143" s="66" t="s">
        <v>253</v>
      </c>
      <c r="C143" s="60"/>
      <c r="D143" s="60"/>
      <c r="E143" s="60"/>
      <c r="F143" s="484"/>
      <c r="G143" s="478"/>
      <c r="H143" s="478"/>
      <c r="I143" s="478"/>
      <c r="J143" s="480"/>
      <c r="K143" s="611"/>
      <c r="L143" s="478"/>
      <c r="M143" s="638"/>
      <c r="O143" s="502"/>
      <c r="P143" s="474"/>
      <c r="Q143" s="474"/>
      <c r="R143" s="474"/>
      <c r="S143" s="474"/>
      <c r="T143" s="474"/>
      <c r="U143" s="474"/>
    </row>
    <row r="144" spans="2:34" ht="25.5" customHeight="1">
      <c r="B144" s="252" t="s">
        <v>22</v>
      </c>
      <c r="C144" s="251" t="s">
        <v>73</v>
      </c>
      <c r="D144" s="251"/>
      <c r="E144" s="172" t="s">
        <v>242</v>
      </c>
      <c r="F144" s="580"/>
      <c r="G144" s="580"/>
      <c r="H144" s="580"/>
      <c r="I144" s="580"/>
      <c r="J144" s="580"/>
      <c r="K144" s="580"/>
      <c r="L144" s="657" t="s">
        <v>464</v>
      </c>
      <c r="M144" s="579" t="s">
        <v>257</v>
      </c>
      <c r="N144" s="496"/>
      <c r="O144" s="502"/>
      <c r="P144" s="658"/>
      <c r="Q144" s="496"/>
      <c r="R144" s="638"/>
      <c r="S144" s="486"/>
    </row>
    <row r="145" spans="2:22" ht="25.5" customHeight="1">
      <c r="B145" s="566" t="s">
        <v>361</v>
      </c>
      <c r="C145" s="253" t="s">
        <v>77</v>
      </c>
      <c r="D145" s="253"/>
      <c r="E145" s="179" t="s">
        <v>205</v>
      </c>
      <c r="F145" s="589"/>
      <c r="G145" s="589"/>
      <c r="H145" s="589"/>
      <c r="I145" s="589"/>
      <c r="J145" s="589"/>
      <c r="K145" s="589"/>
      <c r="L145" s="660" t="s">
        <v>465</v>
      </c>
      <c r="M145" s="733">
        <f>NET_publicv4_SEK</f>
        <v>25</v>
      </c>
      <c r="O145" s="502"/>
      <c r="P145" s="447"/>
      <c r="R145" s="638"/>
      <c r="S145" s="486"/>
    </row>
    <row r="146" spans="2:22" ht="25.5" customHeight="1">
      <c r="B146" s="568" t="s">
        <v>362</v>
      </c>
      <c r="C146" s="256" t="s">
        <v>81</v>
      </c>
      <c r="D146" s="256"/>
      <c r="E146" s="50" t="s">
        <v>205</v>
      </c>
      <c r="F146" s="661"/>
      <c r="G146" s="661"/>
      <c r="H146" s="661"/>
      <c r="I146" s="661"/>
      <c r="J146" s="661"/>
      <c r="K146" s="661"/>
      <c r="L146" s="663" t="s">
        <v>19</v>
      </c>
      <c r="M146" s="675">
        <f>NET_publicv6_SEK</f>
        <v>0</v>
      </c>
      <c r="O146" s="502"/>
      <c r="P146" s="447"/>
      <c r="R146" s="638"/>
      <c r="S146" s="486"/>
    </row>
    <row r="147" spans="2:22" ht="25.5" customHeight="1">
      <c r="B147" s="566" t="s">
        <v>363</v>
      </c>
      <c r="C147" s="253" t="s">
        <v>258</v>
      </c>
      <c r="D147" s="253"/>
      <c r="E147" s="260"/>
      <c r="F147" s="664"/>
      <c r="G147" s="664"/>
      <c r="H147" s="664"/>
      <c r="I147" s="664"/>
      <c r="J147" s="664"/>
      <c r="K147" s="664"/>
      <c r="L147" s="660" t="s">
        <v>84</v>
      </c>
      <c r="M147" s="733">
        <f>NET_ingress_SEK</f>
        <v>0</v>
      </c>
      <c r="O147" s="502"/>
      <c r="P147" s="447"/>
      <c r="R147" s="638"/>
      <c r="S147" s="486"/>
    </row>
    <row r="148" spans="2:22" ht="25.5" customHeight="1">
      <c r="B148" s="568" t="s">
        <v>364</v>
      </c>
      <c r="C148" s="256" t="s">
        <v>258</v>
      </c>
      <c r="D148" s="256"/>
      <c r="E148" s="50" t="s">
        <v>466</v>
      </c>
      <c r="F148" s="661"/>
      <c r="G148" s="661"/>
      <c r="H148" s="661"/>
      <c r="I148" s="661"/>
      <c r="J148" s="661"/>
      <c r="K148" s="661"/>
      <c r="L148" s="666" t="s">
        <v>84</v>
      </c>
      <c r="M148" s="675">
        <f>NET_egress_SEK</f>
        <v>0</v>
      </c>
      <c r="O148" s="502"/>
      <c r="P148" s="447"/>
      <c r="R148" s="638"/>
      <c r="S148" s="486"/>
    </row>
    <row r="149" spans="2:22" ht="25.5" customHeight="1">
      <c r="B149" s="566" t="s">
        <v>366</v>
      </c>
      <c r="C149" s="253" t="s">
        <v>367</v>
      </c>
      <c r="D149" s="253"/>
      <c r="E149" s="184"/>
      <c r="F149" s="664"/>
      <c r="G149" s="664"/>
      <c r="H149" s="664"/>
      <c r="I149" s="664"/>
      <c r="J149" s="664"/>
      <c r="K149" s="664"/>
      <c r="L149" s="660" t="s">
        <v>209</v>
      </c>
      <c r="M149" s="733">
        <f>NET_mgn.slb_SEK</f>
        <v>275</v>
      </c>
      <c r="O149" s="502"/>
      <c r="Q149" s="489"/>
    </row>
    <row r="150" spans="2:22" ht="25.5" customHeight="1">
      <c r="B150" s="568" t="s">
        <v>368</v>
      </c>
      <c r="C150" s="256" t="s">
        <v>91</v>
      </c>
      <c r="D150" s="256"/>
      <c r="E150" s="50"/>
      <c r="F150" s="661"/>
      <c r="G150" s="661"/>
      <c r="H150" s="661"/>
      <c r="I150" s="661"/>
      <c r="J150" s="661"/>
      <c r="K150" s="661"/>
      <c r="L150" s="663" t="s">
        <v>19</v>
      </c>
      <c r="M150" s="675">
        <f>NET_rdns_SEK</f>
        <v>0</v>
      </c>
      <c r="O150" s="502"/>
      <c r="P150" s="447"/>
      <c r="R150" s="638"/>
      <c r="S150" s="486"/>
    </row>
    <row r="151" spans="2:22" ht="25.5" customHeight="1">
      <c r="B151" s="566" t="s">
        <v>369</v>
      </c>
      <c r="C151" s="253" t="s">
        <v>93</v>
      </c>
      <c r="D151" s="253"/>
      <c r="E151" s="184"/>
      <c r="F151" s="664"/>
      <c r="G151" s="664"/>
      <c r="H151" s="664"/>
      <c r="I151" s="664"/>
      <c r="J151" s="664"/>
      <c r="K151" s="664"/>
      <c r="L151" s="660" t="s">
        <v>19</v>
      </c>
      <c r="M151" s="733">
        <f>NET_byoip_SEK</f>
        <v>0</v>
      </c>
      <c r="O151" s="502"/>
      <c r="P151" s="447"/>
      <c r="R151" s="638"/>
      <c r="S151" s="486"/>
    </row>
    <row r="152" spans="2:22" ht="40.5" customHeight="1">
      <c r="B152" s="265"/>
      <c r="C152" s="265"/>
      <c r="D152" s="266"/>
      <c r="E152" s="266"/>
      <c r="F152" s="667"/>
      <c r="G152" s="667"/>
      <c r="H152" s="667"/>
      <c r="I152" s="667"/>
      <c r="J152" s="667"/>
      <c r="K152" s="667"/>
      <c r="L152" s="668"/>
      <c r="M152" s="667"/>
      <c r="O152" s="502"/>
      <c r="P152" s="447"/>
      <c r="R152" s="638"/>
      <c r="S152" s="486"/>
    </row>
    <row r="153" spans="2:22" ht="25.5" customHeight="1">
      <c r="B153" s="214" t="s">
        <v>261</v>
      </c>
      <c r="C153" s="131"/>
      <c r="D153" s="131"/>
      <c r="E153" s="131"/>
      <c r="F153" s="496"/>
      <c r="G153" s="496"/>
      <c r="H153" s="496"/>
      <c r="I153" s="496"/>
      <c r="J153" s="496"/>
      <c r="K153" s="496"/>
      <c r="L153" s="669"/>
      <c r="M153" s="446"/>
      <c r="O153" s="502"/>
      <c r="Q153" s="489"/>
      <c r="R153" s="638"/>
      <c r="S153" s="486"/>
    </row>
    <row r="154" spans="2:22" ht="25.5" customHeight="1">
      <c r="B154" s="252" t="s">
        <v>22</v>
      </c>
      <c r="C154" s="251" t="s">
        <v>73</v>
      </c>
      <c r="D154" s="251"/>
      <c r="E154" s="251" t="s">
        <v>242</v>
      </c>
      <c r="F154" s="580"/>
      <c r="G154" s="580"/>
      <c r="H154" s="580"/>
      <c r="I154" s="580"/>
      <c r="J154" s="580"/>
      <c r="K154" s="580"/>
      <c r="L154" s="657" t="s">
        <v>464</v>
      </c>
      <c r="M154" s="579" t="s">
        <v>257</v>
      </c>
      <c r="O154" s="502"/>
      <c r="R154" s="638"/>
      <c r="S154" s="486"/>
    </row>
    <row r="155" spans="2:22" ht="25.5" customHeight="1">
      <c r="B155" s="566" t="s">
        <v>370</v>
      </c>
      <c r="C155" s="253"/>
      <c r="D155" s="184"/>
      <c r="E155" s="184" t="s">
        <v>371</v>
      </c>
      <c r="F155" s="589"/>
      <c r="G155" s="589"/>
      <c r="H155" s="589"/>
      <c r="I155" s="589"/>
      <c r="J155" s="589"/>
      <c r="K155" s="589"/>
      <c r="L155" s="660" t="s">
        <v>11</v>
      </c>
      <c r="M155" s="357">
        <f>SW_win.ser.201X_SEK</f>
        <v>175</v>
      </c>
      <c r="N155" s="598"/>
      <c r="O155" s="502"/>
      <c r="Q155" s="638"/>
      <c r="R155" s="638"/>
      <c r="S155" s="486"/>
      <c r="U155" s="474"/>
      <c r="V155" s="474"/>
    </row>
    <row r="156" spans="2:22" ht="25.5" customHeight="1">
      <c r="B156" s="568" t="s">
        <v>372</v>
      </c>
      <c r="C156" s="256"/>
      <c r="D156" s="190"/>
      <c r="E156" s="190" t="s">
        <v>373</v>
      </c>
      <c r="F156" s="661"/>
      <c r="G156" s="661"/>
      <c r="H156" s="661"/>
      <c r="I156" s="661"/>
      <c r="J156" s="661"/>
      <c r="K156" s="661"/>
      <c r="L156" s="666" t="s">
        <v>11</v>
      </c>
      <c r="M156" s="282">
        <f>SW_win.ser.201X_SEK</f>
        <v>175</v>
      </c>
      <c r="N156" s="598"/>
      <c r="O156" s="502"/>
      <c r="Q156" s="638"/>
      <c r="R156" s="638"/>
      <c r="S156" s="486"/>
      <c r="U156" s="474"/>
      <c r="V156" s="474"/>
    </row>
    <row r="157" spans="2:22" s="462" customFormat="1" ht="25.5" customHeight="1">
      <c r="B157" s="566" t="s">
        <v>374</v>
      </c>
      <c r="C157" s="253"/>
      <c r="D157" s="184"/>
      <c r="E157" s="184" t="s">
        <v>467</v>
      </c>
      <c r="F157" s="589"/>
      <c r="G157" s="589"/>
      <c r="H157" s="589"/>
      <c r="I157" s="589"/>
      <c r="J157" s="589"/>
      <c r="K157" s="589"/>
      <c r="L157" s="660" t="s">
        <v>11</v>
      </c>
      <c r="M157" s="357">
        <f>SW_ms.sql.ser_SEK</f>
        <v>1229</v>
      </c>
      <c r="O157" s="502"/>
      <c r="P157" s="446"/>
      <c r="R157" s="638"/>
      <c r="S157" s="486"/>
    </row>
    <row r="158" spans="2:22" ht="25.5" customHeight="1">
      <c r="B158" s="568" t="s">
        <v>376</v>
      </c>
      <c r="C158" s="256"/>
      <c r="D158" s="190"/>
      <c r="E158" s="190" t="s">
        <v>377</v>
      </c>
      <c r="F158" s="661"/>
      <c r="G158" s="661"/>
      <c r="H158" s="661"/>
      <c r="I158" s="661"/>
      <c r="J158" s="661"/>
      <c r="K158" s="661"/>
      <c r="L158" s="666" t="s">
        <v>468</v>
      </c>
      <c r="M158" s="282" t="str">
        <f>SW_stackn_SEK</f>
        <v>Begär offert</v>
      </c>
      <c r="O158" s="502"/>
      <c r="R158" s="638"/>
      <c r="S158" s="486"/>
    </row>
    <row r="159" spans="2:22" ht="25.5" customHeight="1">
      <c r="B159" s="566" t="s">
        <v>378</v>
      </c>
      <c r="C159" s="253"/>
      <c r="D159" s="184"/>
      <c r="E159" s="184" t="s">
        <v>379</v>
      </c>
      <c r="F159" s="589"/>
      <c r="G159" s="589"/>
      <c r="H159" s="589"/>
      <c r="I159" s="589"/>
      <c r="J159" s="589"/>
      <c r="K159" s="589"/>
      <c r="L159" s="670" t="s">
        <v>19</v>
      </c>
      <c r="M159" s="357" t="str">
        <f>SW_nextcloud_SEK</f>
        <v>Begär offert</v>
      </c>
      <c r="N159" s="598"/>
      <c r="O159" s="502"/>
      <c r="Q159" s="638"/>
      <c r="R159" s="638"/>
      <c r="S159" s="486"/>
      <c r="U159" s="474"/>
      <c r="V159" s="474"/>
    </row>
    <row r="160" spans="2:22" s="462" customFormat="1" ht="25.5" customHeight="1">
      <c r="B160" s="568" t="s">
        <v>380</v>
      </c>
      <c r="C160" s="256"/>
      <c r="D160" s="190"/>
      <c r="E160" s="190" t="s">
        <v>381</v>
      </c>
      <c r="F160" s="661"/>
      <c r="G160" s="661"/>
      <c r="H160" s="661"/>
      <c r="I160" s="661"/>
      <c r="J160" s="661"/>
      <c r="K160" s="661"/>
      <c r="L160" s="663" t="s">
        <v>19</v>
      </c>
      <c r="M160" s="282" t="str">
        <f>SW_suse_SEK</f>
        <v>Begär offert</v>
      </c>
      <c r="O160" s="502"/>
      <c r="P160" s="446"/>
      <c r="R160" s="638"/>
      <c r="S160" s="486"/>
    </row>
    <row r="161" spans="2:19" ht="25.5" customHeight="1">
      <c r="B161" s="566" t="s">
        <v>382</v>
      </c>
      <c r="C161" s="253"/>
      <c r="D161" s="184"/>
      <c r="E161" s="184" t="s">
        <v>383</v>
      </c>
      <c r="F161" s="589"/>
      <c r="G161" s="589"/>
      <c r="H161" s="589"/>
      <c r="I161" s="589"/>
      <c r="J161" s="589"/>
      <c r="K161" s="589"/>
      <c r="L161" s="670" t="s">
        <v>19</v>
      </c>
      <c r="M161" s="357" t="str">
        <f>SW_cluster.control_SEK</f>
        <v>3x instanspris</v>
      </c>
      <c r="O161" s="502"/>
      <c r="R161" s="638"/>
      <c r="S161" s="486"/>
    </row>
    <row r="162" spans="2:19" ht="25.5" customHeight="1">
      <c r="B162" s="568" t="s">
        <v>384</v>
      </c>
      <c r="C162" s="256"/>
      <c r="D162" s="190"/>
      <c r="E162" s="190" t="s">
        <v>385</v>
      </c>
      <c r="F162" s="661"/>
      <c r="G162" s="661"/>
      <c r="H162" s="661"/>
      <c r="I162" s="661"/>
      <c r="J162" s="661"/>
      <c r="K162" s="661"/>
      <c r="L162" s="666" t="s">
        <v>399</v>
      </c>
      <c r="M162" s="282">
        <f>SW_backup.ninja_SEK</f>
        <v>400</v>
      </c>
      <c r="O162" s="502"/>
      <c r="R162" s="638"/>
      <c r="S162" s="486"/>
    </row>
    <row r="163" spans="2:19" ht="25.5" customHeight="1">
      <c r="B163" s="270"/>
      <c r="C163" s="271"/>
      <c r="D163" s="272"/>
      <c r="E163" s="273"/>
      <c r="F163" s="671"/>
      <c r="G163" s="671"/>
      <c r="H163" s="671"/>
      <c r="I163" s="671"/>
      <c r="J163" s="671"/>
      <c r="K163" s="671"/>
      <c r="L163" s="672"/>
      <c r="M163" s="678"/>
      <c r="O163" s="502"/>
      <c r="P163" s="447"/>
      <c r="R163" s="638"/>
      <c r="S163" s="486"/>
    </row>
    <row r="164" spans="2:19" ht="25.5" customHeight="1">
      <c r="B164" s="7"/>
      <c r="K164" s="446"/>
      <c r="M164" s="446"/>
      <c r="O164" s="502"/>
      <c r="Q164" s="489"/>
      <c r="R164" s="638"/>
      <c r="S164" s="486"/>
    </row>
    <row r="165" spans="2:19" ht="25.5" customHeight="1">
      <c r="B165" s="214" t="s">
        <v>469</v>
      </c>
      <c r="C165" s="131"/>
      <c r="D165" s="131"/>
      <c r="F165" s="496"/>
      <c r="G165" s="496"/>
      <c r="H165" s="496"/>
      <c r="I165" s="496"/>
      <c r="J165" s="496"/>
      <c r="K165" s="496"/>
      <c r="L165" s="496"/>
      <c r="M165" s="446"/>
      <c r="O165" s="502"/>
      <c r="Q165" s="489"/>
      <c r="R165" s="638"/>
      <c r="S165" s="486"/>
    </row>
    <row r="166" spans="2:19" ht="25.5" customHeight="1">
      <c r="B166" s="252" t="s">
        <v>22</v>
      </c>
      <c r="C166" s="251"/>
      <c r="D166" s="251"/>
      <c r="E166" s="251" t="s">
        <v>242</v>
      </c>
      <c r="F166" s="580"/>
      <c r="G166" s="580"/>
      <c r="H166" s="580"/>
      <c r="I166" s="580"/>
      <c r="J166" s="580"/>
      <c r="K166" s="580"/>
      <c r="L166" s="579"/>
      <c r="M166" s="579" t="s">
        <v>257</v>
      </c>
      <c r="O166" s="502"/>
      <c r="Q166" s="489"/>
      <c r="R166" s="638"/>
      <c r="S166" s="486"/>
    </row>
    <row r="167" spans="2:19" ht="25.5" customHeight="1">
      <c r="B167" s="566" t="s">
        <v>387</v>
      </c>
      <c r="C167" s="253"/>
      <c r="D167" s="184"/>
      <c r="E167" s="184" t="s">
        <v>388</v>
      </c>
      <c r="F167" s="589"/>
      <c r="G167" s="589"/>
      <c r="H167" s="589"/>
      <c r="I167" s="589"/>
      <c r="J167" s="589"/>
      <c r="K167" s="589"/>
      <c r="L167" s="659"/>
      <c r="M167" s="799" t="str">
        <f>PAAS_man.kubernetes24_SEK</f>
        <v>Begär offert</v>
      </c>
      <c r="O167" s="502"/>
      <c r="Q167" s="489"/>
      <c r="R167" s="638"/>
      <c r="S167" s="486"/>
    </row>
    <row r="168" spans="2:19" ht="25.5" customHeight="1">
      <c r="B168" s="568" t="s">
        <v>389</v>
      </c>
      <c r="C168" s="256"/>
      <c r="D168" s="190"/>
      <c r="E168" s="190" t="s">
        <v>390</v>
      </c>
      <c r="F168" s="661"/>
      <c r="G168" s="661"/>
      <c r="H168" s="661"/>
      <c r="I168" s="661"/>
      <c r="J168" s="661"/>
      <c r="K168" s="661"/>
      <c r="L168" s="662"/>
      <c r="M168" s="416" t="str">
        <f>PAAS_man.kubernetes8_SEK</f>
        <v>Begär offert</v>
      </c>
      <c r="O168" s="502"/>
      <c r="Q168" s="489"/>
      <c r="R168" s="638"/>
      <c r="S168" s="486"/>
    </row>
    <row r="169" spans="2:19" ht="25.5" customHeight="1">
      <c r="B169" s="566" t="s">
        <v>391</v>
      </c>
      <c r="C169" s="253"/>
      <c r="D169" s="184"/>
      <c r="E169" s="184" t="s">
        <v>470</v>
      </c>
      <c r="F169" s="589"/>
      <c r="G169" s="589"/>
      <c r="H169" s="589"/>
      <c r="I169" s="589"/>
      <c r="J169" s="589"/>
      <c r="K169" s="589"/>
      <c r="L169" s="659"/>
      <c r="M169" s="419" t="s">
        <v>471</v>
      </c>
      <c r="O169" s="502"/>
      <c r="Q169" s="489"/>
      <c r="R169" s="638"/>
      <c r="S169" s="486"/>
    </row>
    <row r="170" spans="2:19" ht="25.5" customHeight="1">
      <c r="B170" s="568" t="s">
        <v>393</v>
      </c>
      <c r="C170" s="256"/>
      <c r="D170" s="190"/>
      <c r="E170" s="190" t="s">
        <v>105</v>
      </c>
      <c r="F170" s="661"/>
      <c r="G170" s="661"/>
      <c r="H170" s="661"/>
      <c r="I170" s="661"/>
      <c r="J170" s="661"/>
      <c r="K170" s="661"/>
      <c r="L170" s="662"/>
      <c r="M170" s="416" t="s">
        <v>471</v>
      </c>
      <c r="O170" s="502"/>
      <c r="Q170" s="489"/>
      <c r="R170" s="638"/>
      <c r="S170" s="486"/>
    </row>
    <row r="171" spans="2:19" ht="25.5" customHeight="1">
      <c r="B171" s="566" t="s">
        <v>395</v>
      </c>
      <c r="C171" s="253"/>
      <c r="D171" s="184"/>
      <c r="E171" s="184" t="s">
        <v>396</v>
      </c>
      <c r="F171" s="589"/>
      <c r="G171" s="589"/>
      <c r="H171" s="589"/>
      <c r="I171" s="589"/>
      <c r="J171" s="589"/>
      <c r="K171" s="589"/>
      <c r="L171" s="659"/>
      <c r="M171" s="419" t="s">
        <v>471</v>
      </c>
      <c r="O171" s="502"/>
      <c r="Q171" s="489"/>
      <c r="R171" s="638"/>
      <c r="S171" s="486"/>
    </row>
    <row r="172" spans="2:19" ht="25.5" customHeight="1">
      <c r="B172" s="568" t="s">
        <v>398</v>
      </c>
      <c r="C172" s="256"/>
      <c r="D172" s="190"/>
      <c r="E172" s="190" t="s">
        <v>104</v>
      </c>
      <c r="F172" s="661"/>
      <c r="G172" s="661"/>
      <c r="H172" s="661"/>
      <c r="I172" s="661"/>
      <c r="J172" s="661"/>
      <c r="K172" s="661"/>
      <c r="L172" s="662"/>
      <c r="M172" s="800" t="s">
        <v>471</v>
      </c>
      <c r="O172" s="502"/>
      <c r="Q172" s="489"/>
      <c r="R172" s="638"/>
      <c r="S172" s="486"/>
    </row>
    <row r="173" spans="2:19" ht="25.5" customHeight="1">
      <c r="B173" s="271"/>
      <c r="C173" s="271"/>
      <c r="D173" s="281"/>
      <c r="E173" s="273"/>
      <c r="F173" s="671"/>
      <c r="G173" s="671"/>
      <c r="H173" s="671"/>
      <c r="I173" s="671"/>
      <c r="J173" s="671"/>
      <c r="K173" s="671"/>
      <c r="L173" s="672"/>
      <c r="M173" s="678"/>
      <c r="O173" s="502"/>
      <c r="Q173" s="489"/>
      <c r="R173" s="638"/>
      <c r="S173" s="486"/>
    </row>
    <row r="174" spans="2:19" ht="25.5" customHeight="1">
      <c r="B174" s="256"/>
      <c r="C174" s="256"/>
      <c r="D174" s="190"/>
      <c r="E174" s="277"/>
      <c r="F174" s="661"/>
      <c r="G174" s="662"/>
      <c r="H174" s="666"/>
      <c r="I174" s="675"/>
      <c r="M174" s="638"/>
      <c r="N174" s="486"/>
      <c r="O174" s="502"/>
    </row>
    <row r="175" spans="2:19" ht="25.5" customHeight="1">
      <c r="B175" s="249"/>
      <c r="C175" s="228"/>
      <c r="D175" s="228"/>
      <c r="E175" s="228"/>
      <c r="F175" s="636"/>
      <c r="G175" s="637"/>
      <c r="H175" s="676"/>
      <c r="I175" s="598"/>
      <c r="J175" s="598"/>
      <c r="K175" s="598"/>
      <c r="L175" s="638"/>
      <c r="M175" s="638"/>
      <c r="N175" s="486"/>
      <c r="O175" s="502"/>
      <c r="P175" s="474"/>
      <c r="Q175" s="474"/>
    </row>
    <row r="176" spans="2:19" s="462" customFormat="1" ht="25.5" customHeight="1">
      <c r="B176" s="968" t="s">
        <v>263</v>
      </c>
      <c r="C176" s="968"/>
      <c r="D176" s="968"/>
      <c r="E176" s="968"/>
      <c r="F176" s="968"/>
      <c r="G176" s="968"/>
      <c r="H176" s="677"/>
      <c r="J176" s="473"/>
      <c r="K176" s="473"/>
      <c r="M176" s="638"/>
      <c r="N176" s="486"/>
      <c r="O176" s="502"/>
    </row>
    <row r="177" spans="2:22" s="462" customFormat="1" ht="25.5" customHeight="1">
      <c r="B177" s="968"/>
      <c r="C177" s="968"/>
      <c r="D177" s="968"/>
      <c r="E177" s="968"/>
      <c r="F177" s="968"/>
      <c r="G177" s="968"/>
      <c r="H177" s="677"/>
      <c r="J177" s="473"/>
      <c r="K177" s="473"/>
      <c r="M177" s="638"/>
      <c r="N177" s="486"/>
      <c r="O177" s="502"/>
    </row>
    <row r="178" spans="2:22" s="462" customFormat="1" ht="25.5" customHeight="1">
      <c r="B178" s="968"/>
      <c r="C178" s="968"/>
      <c r="D178" s="968"/>
      <c r="E178" s="968"/>
      <c r="F178" s="968"/>
      <c r="G178" s="968"/>
      <c r="H178" s="677"/>
      <c r="J178" s="473"/>
      <c r="K178" s="473"/>
      <c r="M178" s="638"/>
      <c r="N178" s="486"/>
      <c r="O178" s="502"/>
    </row>
    <row r="179" spans="2:22" s="462" customFormat="1" ht="25.5" customHeight="1">
      <c r="B179" s="969" t="s">
        <v>436</v>
      </c>
      <c r="C179" s="969"/>
      <c r="D179" s="969"/>
      <c r="E179" s="969"/>
      <c r="F179" s="969"/>
      <c r="H179" s="677"/>
      <c r="J179" s="473"/>
      <c r="K179" s="473"/>
      <c r="M179" s="638"/>
      <c r="N179" s="486"/>
      <c r="O179" s="502"/>
    </row>
    <row r="180" spans="2:22" s="462" customFormat="1" ht="25.5" customHeight="1">
      <c r="B180" s="996"/>
      <c r="C180" s="996"/>
      <c r="D180" s="996"/>
      <c r="E180" s="996"/>
      <c r="F180" s="996"/>
      <c r="G180" s="478"/>
      <c r="H180" s="479"/>
      <c r="I180" s="478"/>
      <c r="J180" s="480"/>
      <c r="K180" s="611"/>
      <c r="L180" s="478"/>
      <c r="M180" s="638"/>
      <c r="N180" s="486"/>
      <c r="O180" s="502"/>
    </row>
    <row r="181" spans="2:22" s="462" customFormat="1" ht="25.5" customHeight="1">
      <c r="B181" s="60"/>
      <c r="C181" s="60"/>
      <c r="D181" s="60"/>
      <c r="E181" s="60"/>
      <c r="F181" s="484"/>
      <c r="G181" s="478"/>
      <c r="H181" s="479"/>
      <c r="I181" s="478"/>
      <c r="J181" s="480"/>
      <c r="K181" s="611"/>
      <c r="L181" s="478"/>
      <c r="M181" s="638"/>
      <c r="N181" s="486"/>
      <c r="O181" s="502"/>
    </row>
    <row r="182" spans="2:22" ht="25.5" customHeight="1">
      <c r="B182" s="214" t="s">
        <v>108</v>
      </c>
      <c r="C182" s="131"/>
      <c r="D182" s="131"/>
      <c r="F182" s="496"/>
      <c r="G182" s="496"/>
      <c r="H182" s="496"/>
      <c r="I182" s="496"/>
      <c r="J182" s="496"/>
      <c r="K182" s="496"/>
      <c r="L182" s="496"/>
      <c r="M182" s="446"/>
      <c r="N182" s="598"/>
      <c r="O182" s="502"/>
      <c r="Q182" s="638"/>
      <c r="R182" s="638"/>
      <c r="S182" s="486"/>
      <c r="U182" s="474"/>
      <c r="V182" s="474"/>
    </row>
    <row r="183" spans="2:22" ht="25.5" customHeight="1">
      <c r="B183" s="252" t="s">
        <v>22</v>
      </c>
      <c r="C183" s="251"/>
      <c r="D183" s="251" t="s">
        <v>242</v>
      </c>
      <c r="E183" s="1"/>
      <c r="F183" s="580"/>
      <c r="G183" s="579"/>
      <c r="H183" s="579"/>
      <c r="I183" s="579"/>
      <c r="J183" s="579"/>
      <c r="K183" s="657" t="s">
        <v>472</v>
      </c>
      <c r="L183" s="657"/>
      <c r="M183" s="579" t="s">
        <v>69</v>
      </c>
      <c r="N183" s="598"/>
      <c r="O183" s="502"/>
      <c r="Q183" s="638"/>
      <c r="R183" s="638"/>
      <c r="S183" s="486"/>
      <c r="U183" s="474"/>
      <c r="V183" s="474"/>
    </row>
    <row r="184" spans="2:22" ht="25.5" customHeight="1">
      <c r="B184" s="566" t="s">
        <v>401</v>
      </c>
      <c r="C184" s="253"/>
      <c r="D184" s="184" t="s">
        <v>402</v>
      </c>
      <c r="E184" s="279"/>
      <c r="F184" s="589"/>
      <c r="G184" s="659"/>
      <c r="H184" s="659"/>
      <c r="I184" s="659"/>
      <c r="J184" s="659"/>
      <c r="K184" s="670" t="s">
        <v>19</v>
      </c>
      <c r="L184" s="670"/>
      <c r="M184" s="357">
        <v>0</v>
      </c>
      <c r="N184" s="598"/>
      <c r="O184" s="502"/>
      <c r="Q184" s="638"/>
      <c r="R184" s="638"/>
      <c r="S184" s="486"/>
      <c r="U184" s="474"/>
      <c r="V184" s="474"/>
    </row>
    <row r="185" spans="2:22" ht="25.5" customHeight="1">
      <c r="B185" s="568" t="s">
        <v>403</v>
      </c>
      <c r="C185" s="256"/>
      <c r="D185" s="190" t="s">
        <v>404</v>
      </c>
      <c r="E185" s="277"/>
      <c r="F185" s="661"/>
      <c r="G185" s="662"/>
      <c r="H185" s="662"/>
      <c r="I185" s="662"/>
      <c r="J185" s="662"/>
      <c r="K185" s="666" t="s">
        <v>473</v>
      </c>
      <c r="L185" s="666"/>
      <c r="M185" s="282" t="s">
        <v>474</v>
      </c>
      <c r="N185" s="598"/>
      <c r="O185" s="502"/>
      <c r="Q185" s="638"/>
      <c r="R185" s="638"/>
      <c r="S185" s="486"/>
      <c r="U185" s="474"/>
      <c r="V185" s="474"/>
    </row>
    <row r="186" spans="2:22" ht="25.5" customHeight="1">
      <c r="B186" s="566" t="s">
        <v>407</v>
      </c>
      <c r="C186" s="253"/>
      <c r="D186" s="184" t="s">
        <v>113</v>
      </c>
      <c r="E186" s="279"/>
      <c r="F186" s="589"/>
      <c r="G186" s="659"/>
      <c r="H186" s="659"/>
      <c r="I186" s="659"/>
      <c r="J186" s="659"/>
      <c r="K186" s="660" t="s">
        <v>475</v>
      </c>
      <c r="L186" s="660"/>
      <c r="M186" s="357" t="s">
        <v>476</v>
      </c>
      <c r="N186" s="598"/>
      <c r="O186" s="502"/>
      <c r="Q186" s="638"/>
      <c r="R186" s="638"/>
      <c r="S186" s="486"/>
      <c r="U186" s="474"/>
      <c r="V186" s="474"/>
    </row>
    <row r="187" spans="2:22" ht="25.5" customHeight="1">
      <c r="B187" s="270"/>
      <c r="C187" s="271"/>
      <c r="D187" s="281" t="s">
        <v>477</v>
      </c>
      <c r="E187" s="273"/>
      <c r="F187" s="671"/>
      <c r="G187" s="672"/>
      <c r="H187" s="672"/>
      <c r="I187" s="672"/>
      <c r="J187" s="672"/>
      <c r="K187" s="673"/>
      <c r="L187" s="673"/>
      <c r="M187" s="678"/>
      <c r="N187" s="598"/>
      <c r="O187" s="502"/>
      <c r="P187" s="638"/>
      <c r="Q187" s="638"/>
      <c r="R187" s="638"/>
      <c r="S187" s="486"/>
      <c r="U187" s="474"/>
      <c r="V187" s="474"/>
    </row>
    <row r="188" spans="2:22" ht="25.5" customHeight="1">
      <c r="B188" s="568"/>
      <c r="C188" s="256"/>
      <c r="D188" s="190"/>
      <c r="E188" s="277"/>
      <c r="F188" s="661"/>
      <c r="G188" s="662"/>
      <c r="H188" s="662"/>
      <c r="I188" s="662"/>
      <c r="J188" s="662"/>
      <c r="K188" s="666"/>
      <c r="L188" s="666"/>
      <c r="M188" s="675"/>
      <c r="N188" s="598"/>
      <c r="O188" s="502"/>
      <c r="P188" s="638"/>
      <c r="Q188" s="638"/>
      <c r="R188" s="638"/>
      <c r="S188" s="486"/>
      <c r="U188" s="474"/>
      <c r="V188" s="474"/>
    </row>
    <row r="189" spans="2:22" ht="25.5" customHeight="1">
      <c r="B189" s="214" t="s">
        <v>478</v>
      </c>
      <c r="C189" s="131"/>
      <c r="D189" s="131"/>
      <c r="F189" s="496"/>
      <c r="G189" s="496"/>
      <c r="H189" s="496"/>
      <c r="I189" s="496"/>
      <c r="J189" s="496"/>
      <c r="K189" s="669"/>
      <c r="L189" s="669"/>
      <c r="M189" s="446"/>
      <c r="N189" s="598"/>
      <c r="O189" s="502"/>
      <c r="Q189" s="638"/>
      <c r="R189" s="638"/>
      <c r="S189" s="486"/>
      <c r="U189" s="474"/>
      <c r="V189" s="474"/>
    </row>
    <row r="190" spans="2:22" ht="25.5" customHeight="1">
      <c r="B190" s="252" t="s">
        <v>22</v>
      </c>
      <c r="C190" s="251"/>
      <c r="D190" s="251" t="s">
        <v>242</v>
      </c>
      <c r="E190" s="1"/>
      <c r="F190" s="580"/>
      <c r="G190" s="579"/>
      <c r="H190" s="579"/>
      <c r="I190" s="579"/>
      <c r="J190" s="579"/>
      <c r="K190" s="657" t="s">
        <v>472</v>
      </c>
      <c r="L190" s="657"/>
      <c r="M190" s="579" t="s">
        <v>69</v>
      </c>
      <c r="N190" s="598"/>
      <c r="O190" s="502"/>
      <c r="Q190" s="638"/>
      <c r="R190" s="638"/>
      <c r="S190" s="486"/>
      <c r="U190" s="474"/>
      <c r="V190" s="474"/>
    </row>
    <row r="191" spans="2:22" ht="25.5" customHeight="1">
      <c r="B191" s="566" t="s">
        <v>411</v>
      </c>
      <c r="C191" s="253"/>
      <c r="D191" s="184" t="s">
        <v>119</v>
      </c>
      <c r="E191" s="279"/>
      <c r="F191" s="589"/>
      <c r="G191" s="659"/>
      <c r="H191" s="659"/>
      <c r="I191" s="659"/>
      <c r="J191" s="659"/>
      <c r="K191" s="660" t="s">
        <v>475</v>
      </c>
      <c r="L191" s="660"/>
      <c r="M191" s="801">
        <f>PS_consult.jun_SEK</f>
        <v>1127</v>
      </c>
      <c r="N191" s="598"/>
      <c r="O191" s="502"/>
      <c r="Q191" s="638"/>
      <c r="R191" s="638"/>
      <c r="S191" s="486"/>
      <c r="U191" s="474"/>
      <c r="V191" s="474"/>
    </row>
    <row r="192" spans="2:22" ht="25.5" customHeight="1">
      <c r="B192" s="568" t="s">
        <v>412</v>
      </c>
      <c r="C192" s="256"/>
      <c r="D192" s="190" t="s">
        <v>121</v>
      </c>
      <c r="E192" s="277"/>
      <c r="F192" s="661"/>
      <c r="G192" s="662"/>
      <c r="H192" s="662"/>
      <c r="I192" s="662"/>
      <c r="J192" s="662"/>
      <c r="K192" s="666" t="s">
        <v>475</v>
      </c>
      <c r="L192" s="666"/>
      <c r="M192" s="802">
        <f>PS_consult.sen_SEK</f>
        <v>1374</v>
      </c>
      <c r="N192" s="598"/>
      <c r="O192" s="502"/>
      <c r="Q192" s="638"/>
      <c r="R192" s="638"/>
      <c r="S192" s="486"/>
      <c r="U192" s="474"/>
      <c r="V192" s="474"/>
    </row>
    <row r="193" spans="1:22" ht="25.5" customHeight="1">
      <c r="B193" s="566" t="s">
        <v>413</v>
      </c>
      <c r="C193" s="253"/>
      <c r="D193" s="184" t="s">
        <v>123</v>
      </c>
      <c r="E193" s="279"/>
      <c r="F193" s="589"/>
      <c r="G193" s="659"/>
      <c r="H193" s="659"/>
      <c r="I193" s="659"/>
      <c r="J193" s="659"/>
      <c r="K193" s="660" t="s">
        <v>475</v>
      </c>
      <c r="L193" s="660"/>
      <c r="M193" s="801">
        <f>PS_cloudarch.jun_SEK</f>
        <v>1277</v>
      </c>
      <c r="N193" s="598"/>
      <c r="O193" s="502"/>
      <c r="Q193" s="638"/>
      <c r="R193" s="638"/>
      <c r="S193" s="486"/>
      <c r="U193" s="474"/>
      <c r="V193" s="474"/>
    </row>
    <row r="194" spans="1:22" ht="25.5" customHeight="1">
      <c r="B194" s="568" t="s">
        <v>414</v>
      </c>
      <c r="C194" s="256"/>
      <c r="D194" s="190" t="s">
        <v>125</v>
      </c>
      <c r="E194" s="190"/>
      <c r="F194" s="594"/>
      <c r="G194" s="662"/>
      <c r="H194" s="662"/>
      <c r="I194" s="662"/>
      <c r="J194" s="662"/>
      <c r="K194" s="666" t="s">
        <v>475</v>
      </c>
      <c r="L194" s="666"/>
      <c r="M194" s="802">
        <f>PS_cloudarch.sen_SEK</f>
        <v>1374</v>
      </c>
      <c r="N194" s="598"/>
      <c r="O194" s="502"/>
      <c r="Q194" s="638"/>
      <c r="R194" s="638"/>
      <c r="S194" s="486"/>
      <c r="U194" s="474"/>
      <c r="V194" s="474"/>
    </row>
    <row r="195" spans="1:22" ht="25.5" customHeight="1">
      <c r="B195" s="566" t="s">
        <v>415</v>
      </c>
      <c r="C195" s="253"/>
      <c r="D195" s="184" t="s">
        <v>127</v>
      </c>
      <c r="E195" s="279"/>
      <c r="F195" s="589"/>
      <c r="G195" s="659"/>
      <c r="H195" s="659"/>
      <c r="I195" s="659"/>
      <c r="J195" s="659"/>
      <c r="K195" s="660" t="s">
        <v>475</v>
      </c>
      <c r="L195" s="660"/>
      <c r="M195" s="801">
        <f>PS_pm.jun_SEK</f>
        <v>1139</v>
      </c>
      <c r="N195" s="598"/>
      <c r="O195" s="502"/>
      <c r="Q195" s="638"/>
      <c r="R195" s="638"/>
      <c r="S195" s="486"/>
      <c r="U195" s="474"/>
      <c r="V195" s="474"/>
    </row>
    <row r="196" spans="1:22" ht="25.5" customHeight="1">
      <c r="B196" s="568" t="s">
        <v>416</v>
      </c>
      <c r="C196" s="256"/>
      <c r="D196" s="190" t="s">
        <v>129</v>
      </c>
      <c r="E196" s="277"/>
      <c r="F196" s="661"/>
      <c r="G196" s="662"/>
      <c r="H196" s="662"/>
      <c r="I196" s="662"/>
      <c r="J196" s="662"/>
      <c r="K196" s="666" t="s">
        <v>475</v>
      </c>
      <c r="L196" s="666"/>
      <c r="M196" s="802">
        <f>PS_pm.sen_SEK</f>
        <v>1374</v>
      </c>
      <c r="N196" s="598"/>
      <c r="O196" s="502"/>
      <c r="Q196" s="638"/>
      <c r="R196" s="638"/>
      <c r="S196" s="486"/>
      <c r="U196" s="474"/>
      <c r="V196" s="474"/>
    </row>
    <row r="197" spans="1:22" ht="25.5" customHeight="1">
      <c r="B197" s="270"/>
      <c r="C197" s="271"/>
      <c r="D197" s="281"/>
      <c r="E197" s="273"/>
      <c r="F197" s="671"/>
      <c r="G197" s="672"/>
      <c r="H197" s="672"/>
      <c r="I197" s="672"/>
      <c r="J197" s="672"/>
      <c r="K197" s="673"/>
      <c r="L197" s="673"/>
      <c r="M197" s="678"/>
      <c r="N197" s="598"/>
      <c r="O197" s="502"/>
      <c r="P197" s="638"/>
      <c r="Q197" s="638"/>
      <c r="R197" s="638"/>
      <c r="S197" s="486"/>
      <c r="U197" s="474"/>
      <c r="V197" s="474"/>
    </row>
    <row r="198" spans="1:22" ht="25.5" customHeight="1">
      <c r="B198" s="256"/>
      <c r="C198" s="256"/>
      <c r="D198" s="190"/>
      <c r="E198" s="277"/>
      <c r="F198" s="661"/>
      <c r="G198" s="662"/>
      <c r="H198" s="662"/>
      <c r="I198" s="662"/>
      <c r="J198" s="662"/>
      <c r="K198" s="666"/>
      <c r="L198" s="666"/>
      <c r="M198" s="675"/>
      <c r="O198" s="502"/>
      <c r="Q198" s="489"/>
      <c r="R198" s="638"/>
      <c r="S198" s="486"/>
    </row>
    <row r="199" spans="1:22" ht="25.5" customHeight="1">
      <c r="B199" s="214" t="s">
        <v>270</v>
      </c>
      <c r="C199" s="131"/>
      <c r="D199" s="131"/>
      <c r="F199" s="496"/>
      <c r="G199" s="496"/>
      <c r="H199" s="496"/>
      <c r="I199" s="496"/>
      <c r="J199" s="496"/>
      <c r="K199" s="669"/>
      <c r="L199" s="669"/>
      <c r="M199" s="446"/>
      <c r="N199" s="598"/>
      <c r="O199" s="502"/>
      <c r="Q199" s="638"/>
      <c r="R199" s="638"/>
      <c r="S199" s="486"/>
      <c r="U199" s="474"/>
      <c r="V199" s="474"/>
    </row>
    <row r="200" spans="1:22" ht="25.5" customHeight="1">
      <c r="B200" s="252" t="s">
        <v>22</v>
      </c>
      <c r="C200" s="251"/>
      <c r="D200" s="251" t="s">
        <v>242</v>
      </c>
      <c r="E200" s="1"/>
      <c r="F200" s="580"/>
      <c r="G200" s="657" t="s">
        <v>479</v>
      </c>
      <c r="H200" s="657"/>
      <c r="I200" s="657"/>
      <c r="J200" s="657"/>
      <c r="K200" s="657" t="s">
        <v>472</v>
      </c>
      <c r="L200" s="657"/>
      <c r="M200" s="579" t="s">
        <v>69</v>
      </c>
      <c r="N200" s="598"/>
      <c r="O200" s="502"/>
      <c r="Q200" s="638"/>
      <c r="R200" s="638"/>
      <c r="S200" s="486"/>
      <c r="U200" s="474"/>
      <c r="V200" s="474"/>
    </row>
    <row r="201" spans="1:22" ht="25.5" customHeight="1">
      <c r="B201" s="566" t="s">
        <v>418</v>
      </c>
      <c r="C201" s="253"/>
      <c r="D201" s="184" t="s">
        <v>480</v>
      </c>
      <c r="E201" s="279"/>
      <c r="F201" s="589"/>
      <c r="G201" s="660" t="s">
        <v>223</v>
      </c>
      <c r="H201" s="660"/>
      <c r="I201" s="660"/>
      <c r="J201" s="660"/>
      <c r="K201" s="660" t="s">
        <v>481</v>
      </c>
      <c r="L201" s="660"/>
      <c r="M201" s="357" t="s">
        <v>471</v>
      </c>
      <c r="N201" s="598"/>
      <c r="O201" s="502"/>
      <c r="Q201" s="638"/>
      <c r="R201" s="638"/>
      <c r="S201" s="486"/>
      <c r="U201" s="474"/>
      <c r="V201" s="474"/>
    </row>
    <row r="202" spans="1:22" ht="25.5" customHeight="1">
      <c r="B202" s="568" t="s">
        <v>419</v>
      </c>
      <c r="C202" s="256"/>
      <c r="D202" s="190" t="s">
        <v>482</v>
      </c>
      <c r="E202" s="277"/>
      <c r="F202" s="661"/>
      <c r="G202" s="666" t="s">
        <v>223</v>
      </c>
      <c r="H202" s="666"/>
      <c r="I202" s="666"/>
      <c r="J202" s="666"/>
      <c r="K202" s="666" t="s">
        <v>481</v>
      </c>
      <c r="L202" s="666"/>
      <c r="M202" s="282" t="s">
        <v>471</v>
      </c>
      <c r="N202" s="598"/>
      <c r="O202" s="502"/>
      <c r="Q202" s="638"/>
      <c r="R202" s="638"/>
      <c r="S202" s="486"/>
      <c r="U202" s="474"/>
      <c r="V202" s="474"/>
    </row>
    <row r="203" spans="1:22" ht="25.5" customHeight="1">
      <c r="B203" s="566" t="s">
        <v>421</v>
      </c>
      <c r="C203" s="253"/>
      <c r="D203" s="184" t="s">
        <v>483</v>
      </c>
      <c r="E203" s="279"/>
      <c r="F203" s="589"/>
      <c r="G203" s="660" t="s">
        <v>224</v>
      </c>
      <c r="H203" s="660"/>
      <c r="I203" s="660"/>
      <c r="J203" s="660"/>
      <c r="K203" s="660" t="s">
        <v>481</v>
      </c>
      <c r="L203" s="660"/>
      <c r="M203" s="357" t="s">
        <v>471</v>
      </c>
      <c r="N203" s="598"/>
      <c r="O203" s="502"/>
      <c r="Q203" s="638"/>
      <c r="R203" s="638"/>
      <c r="S203" s="486"/>
      <c r="U203" s="474"/>
      <c r="V203" s="474"/>
    </row>
    <row r="204" spans="1:22" ht="25.5" customHeight="1">
      <c r="B204" s="568" t="s">
        <v>423</v>
      </c>
      <c r="C204" s="256"/>
      <c r="D204" s="190" t="s">
        <v>271</v>
      </c>
      <c r="E204" s="277"/>
      <c r="F204" s="661"/>
      <c r="G204" s="666" t="s">
        <v>224</v>
      </c>
      <c r="H204" s="666"/>
      <c r="I204" s="666"/>
      <c r="J204" s="666"/>
      <c r="K204" s="666" t="s">
        <v>481</v>
      </c>
      <c r="L204" s="666"/>
      <c r="M204" s="282" t="s">
        <v>471</v>
      </c>
      <c r="N204" s="598"/>
      <c r="O204" s="502"/>
      <c r="Q204" s="638"/>
      <c r="R204" s="638"/>
      <c r="S204" s="486"/>
      <c r="U204" s="474"/>
      <c r="V204" s="474"/>
    </row>
    <row r="205" spans="1:22" ht="25.5" customHeight="1">
      <c r="B205" s="271"/>
      <c r="C205" s="271"/>
      <c r="D205" s="281"/>
      <c r="E205" s="273"/>
      <c r="F205" s="671"/>
      <c r="G205" s="672"/>
      <c r="H205" s="672"/>
      <c r="I205" s="672"/>
      <c r="J205" s="672"/>
      <c r="K205" s="672"/>
      <c r="L205" s="672"/>
      <c r="M205" s="678"/>
      <c r="N205" s="598"/>
      <c r="O205" s="502"/>
      <c r="P205" s="638"/>
      <c r="Q205" s="638"/>
      <c r="R205" s="638"/>
      <c r="S205" s="486"/>
      <c r="U205" s="474"/>
      <c r="V205" s="474"/>
    </row>
    <row r="206" spans="1:22" ht="25.5" customHeight="1">
      <c r="B206" s="249"/>
      <c r="C206" s="228"/>
      <c r="D206" s="228"/>
      <c r="E206" s="228"/>
      <c r="F206" s="636"/>
      <c r="G206" s="637"/>
      <c r="H206" s="598"/>
      <c r="I206" s="598"/>
      <c r="J206" s="598"/>
      <c r="K206" s="598"/>
      <c r="L206" s="638"/>
      <c r="M206" s="638"/>
      <c r="N206" s="486"/>
      <c r="O206" s="502"/>
      <c r="P206" s="474"/>
      <c r="Q206" s="474"/>
    </row>
    <row r="207" spans="1:22" ht="25.5" customHeight="1">
      <c r="A207" s="680"/>
      <c r="B207" s="681"/>
      <c r="C207" s="297"/>
      <c r="D207" s="297"/>
      <c r="E207" s="297"/>
      <c r="F207" s="682"/>
      <c r="G207" s="683"/>
      <c r="H207" s="684"/>
      <c r="I207" s="684"/>
      <c r="J207" s="684"/>
      <c r="K207" s="685"/>
      <c r="L207" s="685"/>
      <c r="M207" s="685"/>
      <c r="N207" s="687"/>
      <c r="O207" s="502"/>
      <c r="P207" s="474"/>
      <c r="Q207" s="474"/>
    </row>
    <row r="208" spans="1:22" s="462" customFormat="1" ht="25.5" customHeight="1">
      <c r="A208" s="456"/>
      <c r="B208" s="305"/>
      <c r="C208" s="305"/>
      <c r="D208" s="305"/>
      <c r="E208" s="305"/>
      <c r="F208" s="688"/>
      <c r="G208" s="689"/>
      <c r="H208" s="690"/>
      <c r="I208" s="690"/>
      <c r="J208" s="690"/>
      <c r="K208" s="691"/>
      <c r="L208" s="691"/>
      <c r="M208" s="691"/>
      <c r="N208" s="456"/>
      <c r="O208" s="461"/>
    </row>
    <row r="209" spans="1:22" s="462" customFormat="1" ht="25.5" customHeight="1">
      <c r="A209" s="456"/>
      <c r="B209" s="305"/>
      <c r="C209" s="305"/>
      <c r="D209" s="305"/>
      <c r="E209" s="305"/>
      <c r="F209" s="688"/>
      <c r="G209" s="689"/>
      <c r="H209" s="690"/>
      <c r="I209" s="690"/>
      <c r="J209" s="690"/>
      <c r="K209" s="691"/>
      <c r="L209" s="691"/>
      <c r="M209" s="691"/>
      <c r="N209" s="456"/>
      <c r="O209" s="461"/>
    </row>
    <row r="210" spans="1:22" s="462" customFormat="1" ht="25.5" customHeight="1">
      <c r="A210" s="456"/>
      <c r="B210" s="305"/>
      <c r="C210" s="305"/>
      <c r="D210" s="305"/>
      <c r="E210" s="305"/>
      <c r="F210" s="688"/>
      <c r="G210" s="689"/>
      <c r="H210" s="690"/>
      <c r="I210" s="690"/>
      <c r="J210" s="690"/>
      <c r="K210" s="691"/>
      <c r="L210" s="691"/>
      <c r="M210" s="691"/>
      <c r="N210" s="456"/>
      <c r="O210" s="461"/>
    </row>
    <row r="211" spans="1:22" s="462" customFormat="1" ht="25.5" customHeight="1">
      <c r="A211" s="456"/>
      <c r="B211" s="1024" t="s">
        <v>272</v>
      </c>
      <c r="C211" s="1024"/>
      <c r="D211" s="1024"/>
      <c r="E211" s="1024"/>
      <c r="F211" s="1024"/>
      <c r="G211" s="1024"/>
      <c r="H211" s="458"/>
      <c r="I211" s="456"/>
      <c r="J211" s="498"/>
      <c r="K211" s="456"/>
      <c r="L211" s="459"/>
      <c r="M211" s="459"/>
      <c r="N211" s="456"/>
      <c r="O211" s="461"/>
    </row>
    <row r="212" spans="1:22" s="462" customFormat="1" ht="25.5" customHeight="1">
      <c r="A212" s="456"/>
      <c r="B212" s="1024"/>
      <c r="C212" s="1024"/>
      <c r="D212" s="1024"/>
      <c r="E212" s="1024"/>
      <c r="F212" s="1024"/>
      <c r="G212" s="1024"/>
      <c r="H212" s="458"/>
      <c r="I212" s="456"/>
      <c r="J212" s="498"/>
      <c r="K212" s="456"/>
      <c r="L212" s="459"/>
      <c r="M212" s="459"/>
      <c r="N212" s="456"/>
      <c r="O212" s="461"/>
    </row>
    <row r="213" spans="1:22" s="462" customFormat="1" ht="25.5" customHeight="1">
      <c r="A213" s="456"/>
      <c r="B213" s="1024"/>
      <c r="C213" s="1024"/>
      <c r="D213" s="1024"/>
      <c r="E213" s="1024"/>
      <c r="F213" s="1024"/>
      <c r="G213" s="1024"/>
      <c r="H213" s="458"/>
      <c r="I213" s="456"/>
      <c r="J213" s="498"/>
      <c r="K213" s="456"/>
      <c r="L213" s="459"/>
      <c r="M213" s="459"/>
      <c r="N213" s="456"/>
      <c r="O213" s="461"/>
    </row>
    <row r="214" spans="1:22" s="462" customFormat="1" ht="25.5" customHeight="1">
      <c r="A214" s="456"/>
      <c r="B214" s="1040" t="s">
        <v>484</v>
      </c>
      <c r="C214" s="1040"/>
      <c r="D214" s="1040"/>
      <c r="E214" s="1040"/>
      <c r="F214" s="1040"/>
      <c r="G214" s="456"/>
      <c r="H214" s="458"/>
      <c r="I214" s="456"/>
      <c r="J214" s="498"/>
      <c r="K214" s="456"/>
      <c r="L214" s="459"/>
      <c r="M214" s="459"/>
      <c r="N214" s="693"/>
      <c r="O214" s="483"/>
    </row>
    <row r="215" spans="1:22" s="462" customFormat="1" ht="25.5" customHeight="1">
      <c r="A215" s="456"/>
      <c r="B215" s="28"/>
      <c r="C215" s="28"/>
      <c r="D215" s="28"/>
      <c r="E215" s="28"/>
      <c r="F215" s="694"/>
      <c r="G215" s="456"/>
      <c r="H215" s="458"/>
      <c r="I215" s="456"/>
      <c r="J215" s="498"/>
      <c r="K215" s="456"/>
      <c r="L215" s="459"/>
      <c r="M215" s="459"/>
      <c r="N215" s="693"/>
      <c r="O215" s="483"/>
    </row>
    <row r="216" spans="1:22" s="462" customFormat="1" ht="25.5" customHeight="1">
      <c r="A216" s="456"/>
      <c r="B216" s="22" t="s">
        <v>485</v>
      </c>
      <c r="C216" s="28"/>
      <c r="D216" s="28"/>
      <c r="E216" s="28"/>
      <c r="F216" s="694"/>
      <c r="G216" s="456"/>
      <c r="H216" s="458"/>
      <c r="I216" s="456"/>
      <c r="J216" s="498"/>
      <c r="K216" s="456"/>
      <c r="L216" s="459"/>
      <c r="M216" s="459"/>
      <c r="N216" s="693"/>
      <c r="O216" s="483"/>
    </row>
    <row r="217" spans="1:22" s="462" customFormat="1" ht="25.5" customHeight="1">
      <c r="A217" s="456"/>
      <c r="B217" s="23" t="s">
        <v>274</v>
      </c>
      <c r="C217" s="28"/>
      <c r="D217" s="28"/>
      <c r="E217" s="28"/>
      <c r="F217" s="694"/>
      <c r="G217" s="456"/>
      <c r="H217" s="458"/>
      <c r="I217" s="456"/>
      <c r="J217" s="498"/>
      <c r="K217" s="456"/>
      <c r="L217" s="459"/>
      <c r="M217" s="459"/>
      <c r="N217" s="693"/>
      <c r="O217" s="483"/>
    </row>
    <row r="218" spans="1:22" s="462" customFormat="1" ht="25.5" customHeight="1">
      <c r="A218" s="456"/>
      <c r="B218" s="695" t="s">
        <v>427</v>
      </c>
      <c r="C218" s="313"/>
      <c r="D218" s="313"/>
      <c r="E218" s="313"/>
      <c r="F218" s="696"/>
      <c r="G218" s="693"/>
      <c r="H218" s="697"/>
      <c r="I218" s="693"/>
      <c r="J218" s="698"/>
      <c r="K218" s="693"/>
      <c r="L218" s="699"/>
      <c r="M218" s="699"/>
      <c r="N218" s="693"/>
      <c r="O218" s="483"/>
    </row>
    <row r="219" spans="1:22" s="543" customFormat="1" ht="25.5" customHeight="1">
      <c r="A219" s="701"/>
      <c r="B219" s="318"/>
      <c r="C219" s="318"/>
      <c r="D219" s="318"/>
      <c r="E219" s="318"/>
      <c r="F219" s="702"/>
      <c r="G219" s="693"/>
      <c r="H219" s="697"/>
      <c r="I219" s="693"/>
      <c r="J219" s="698"/>
      <c r="K219" s="693"/>
      <c r="L219" s="699"/>
      <c r="M219" s="699"/>
      <c r="N219" s="701"/>
      <c r="O219" s="635"/>
      <c r="P219" s="703"/>
      <c r="Q219" s="578"/>
      <c r="R219" s="578"/>
      <c r="S219" s="578"/>
      <c r="T219" s="578"/>
      <c r="U219" s="578"/>
      <c r="V219" s="578"/>
    </row>
    <row r="220" spans="1:22" ht="25.5" customHeight="1">
      <c r="A220" s="449"/>
      <c r="B220" s="704" t="s">
        <v>486</v>
      </c>
      <c r="C220" s="322"/>
      <c r="D220" s="323"/>
      <c r="E220" s="322"/>
      <c r="F220" s="705"/>
      <c r="G220" s="705"/>
      <c r="H220" s="705"/>
      <c r="I220" s="705"/>
      <c r="J220" s="706"/>
      <c r="K220" s="706"/>
      <c r="L220" s="705" t="s">
        <v>272</v>
      </c>
      <c r="M220" s="803"/>
      <c r="N220" s="708"/>
      <c r="O220" s="452"/>
      <c r="P220" s="655"/>
    </row>
    <row r="221" spans="1:22" ht="25.5" customHeight="1">
      <c r="A221" s="449"/>
      <c r="B221" s="709" t="s">
        <v>430</v>
      </c>
      <c r="C221" s="710" t="str">
        <f>SUM(C67+C38)&amp;" vCPU"</f>
        <v>0 vCPU</v>
      </c>
      <c r="D221" s="710" t="str">
        <f>SUM(D38+D67)&amp;" GB RAM"</f>
        <v>0 GB RAM</v>
      </c>
      <c r="E221" s="710" t="str">
        <f>SUM(E38)&amp;" GB  Disk"</f>
        <v>0 GB  Disk</v>
      </c>
      <c r="F221" s="1039" t="str">
        <f>SUM(E67)&amp;" GB NVME-Disk"</f>
        <v>0 GB NVME-Disk</v>
      </c>
      <c r="G221" s="1039"/>
      <c r="H221" s="711"/>
      <c r="I221" s="711"/>
      <c r="J221" s="712"/>
      <c r="K221" s="712"/>
      <c r="L221" s="804">
        <f>L76+L84+K67+K38+K91</f>
        <v>0</v>
      </c>
      <c r="M221" s="735"/>
      <c r="N221" s="449"/>
      <c r="O221" s="452"/>
      <c r="P221" s="655"/>
    </row>
    <row r="222" spans="1:22" ht="25.5" customHeight="1">
      <c r="A222" s="449"/>
      <c r="B222" s="715" t="s">
        <v>431</v>
      </c>
      <c r="C222" s="715"/>
      <c r="D222" s="341"/>
      <c r="E222" s="342"/>
      <c r="F222" s="716"/>
      <c r="G222" s="717"/>
      <c r="H222" s="717"/>
      <c r="I222" s="717"/>
      <c r="J222" s="718"/>
      <c r="K222" s="718"/>
      <c r="L222" s="805">
        <f>M112</f>
        <v>0</v>
      </c>
      <c r="M222" s="735"/>
      <c r="N222" s="449"/>
      <c r="O222" s="452"/>
      <c r="P222" s="655"/>
    </row>
    <row r="223" spans="1:22" ht="25.5" customHeight="1">
      <c r="A223" s="449"/>
      <c r="B223" s="340" t="s">
        <v>432</v>
      </c>
      <c r="C223" s="340"/>
      <c r="D223" s="341"/>
      <c r="E223" s="342"/>
      <c r="F223" s="716"/>
      <c r="G223" s="717"/>
      <c r="H223" s="717"/>
      <c r="I223" s="717"/>
      <c r="J223" s="718"/>
      <c r="K223" s="718"/>
      <c r="L223" s="805">
        <f>M127</f>
        <v>0</v>
      </c>
      <c r="M223" s="735"/>
      <c r="N223" s="449"/>
      <c r="O223" s="452"/>
      <c r="P223" s="655"/>
    </row>
    <row r="224" spans="1:22" s="726" customFormat="1" ht="25.5" customHeight="1">
      <c r="A224" s="720"/>
      <c r="B224" s="721"/>
      <c r="C224" s="721"/>
      <c r="D224" s="362"/>
      <c r="E224" s="363"/>
      <c r="F224" s="722"/>
      <c r="G224" s="723"/>
      <c r="H224" s="723"/>
      <c r="I224" s="723"/>
      <c r="J224" s="652"/>
      <c r="K224" s="652"/>
      <c r="L224" s="739"/>
      <c r="M224" s="735"/>
      <c r="N224" s="720"/>
      <c r="O224" s="725"/>
    </row>
    <row r="225" spans="1:23" ht="25.5" customHeight="1">
      <c r="A225" s="449"/>
      <c r="B225" s="731" t="s">
        <v>59</v>
      </c>
      <c r="C225" s="351"/>
      <c r="D225" s="351"/>
      <c r="E225" s="351"/>
      <c r="F225" s="727"/>
      <c r="G225" s="728"/>
      <c r="H225" s="728"/>
      <c r="I225" s="728"/>
      <c r="J225" s="806"/>
      <c r="K225" s="806"/>
      <c r="L225" s="806">
        <f>SUM(O221:O224)</f>
        <v>0</v>
      </c>
      <c r="M225" s="732"/>
      <c r="N225" s="449"/>
      <c r="O225" s="452"/>
    </row>
    <row r="226" spans="1:23" ht="25.5" customHeight="1">
      <c r="A226" s="449"/>
      <c r="B226" s="731"/>
      <c r="C226" s="351"/>
      <c r="D226" s="351"/>
      <c r="E226" s="351"/>
      <c r="F226" s="727"/>
      <c r="G226" s="728"/>
      <c r="H226" s="728"/>
      <c r="I226" s="728"/>
      <c r="J226" s="732"/>
      <c r="K226" s="732"/>
      <c r="L226" s="732"/>
      <c r="M226" s="732"/>
      <c r="N226" s="449"/>
      <c r="O226" s="452"/>
    </row>
    <row r="227" spans="1:23" ht="25.5" customHeight="1">
      <c r="A227" s="449"/>
      <c r="B227" s="184"/>
      <c r="C227" s="184"/>
      <c r="D227" s="356"/>
      <c r="E227" s="261"/>
      <c r="F227" s="659"/>
      <c r="G227" s="733"/>
      <c r="H227" s="589"/>
      <c r="I227" s="589"/>
      <c r="J227" s="589"/>
      <c r="K227" s="734"/>
      <c r="L227" s="735"/>
      <c r="M227" s="735"/>
      <c r="N227" s="449"/>
      <c r="O227" s="452"/>
    </row>
    <row r="228" spans="1:23" ht="25.5" customHeight="1">
      <c r="A228" s="736"/>
      <c r="B228" s="219"/>
      <c r="C228" s="219"/>
      <c r="D228" s="362"/>
      <c r="E228" s="363"/>
      <c r="F228" s="737"/>
      <c r="G228" s="723"/>
      <c r="H228" s="652"/>
      <c r="I228" s="652"/>
      <c r="J228" s="652"/>
      <c r="K228" s="738"/>
      <c r="L228" s="739"/>
      <c r="M228" s="739"/>
      <c r="N228" s="741"/>
      <c r="O228" s="452"/>
    </row>
    <row r="229" spans="1:23" s="742" customFormat="1" ht="24" customHeight="1">
      <c r="B229" s="371"/>
      <c r="C229" s="371"/>
      <c r="D229" s="372"/>
      <c r="E229" s="373"/>
      <c r="F229" s="743"/>
      <c r="G229" s="744"/>
      <c r="H229" s="745"/>
      <c r="I229" s="745"/>
      <c r="J229" s="745"/>
      <c r="K229" s="746"/>
      <c r="L229" s="747"/>
      <c r="M229" s="747"/>
    </row>
    <row r="230" spans="1:23" s="742" customFormat="1" ht="24" customHeight="1">
      <c r="B230" s="371"/>
      <c r="C230" s="371"/>
      <c r="D230" s="371"/>
      <c r="E230" s="371"/>
      <c r="F230" s="749"/>
      <c r="G230" s="750"/>
      <c r="H230" s="751"/>
      <c r="I230" s="751"/>
      <c r="J230" s="751"/>
      <c r="K230" s="751"/>
      <c r="L230" s="747"/>
      <c r="M230" s="747"/>
      <c r="N230" s="747"/>
    </row>
    <row r="231" spans="1:23" s="742" customFormat="1" ht="24" customHeight="1">
      <c r="B231" s="371"/>
      <c r="C231" s="371"/>
      <c r="D231" s="371"/>
      <c r="E231" s="371"/>
      <c r="F231" s="749"/>
      <c r="G231" s="750"/>
      <c r="H231" s="751"/>
      <c r="I231" s="751"/>
      <c r="J231" s="751"/>
      <c r="K231" s="751"/>
      <c r="L231" s="747"/>
      <c r="M231" s="747"/>
      <c r="N231" s="747"/>
    </row>
    <row r="232" spans="1:23" s="742" customFormat="1" ht="24" customHeight="1">
      <c r="B232" s="371"/>
      <c r="C232" s="371"/>
      <c r="D232" s="371"/>
      <c r="E232" s="371"/>
      <c r="F232" s="749"/>
      <c r="G232" s="750"/>
      <c r="H232" s="751"/>
      <c r="I232" s="751"/>
      <c r="J232" s="751"/>
      <c r="K232" s="751"/>
      <c r="L232" s="747"/>
      <c r="M232" s="747"/>
      <c r="N232" s="747"/>
    </row>
    <row r="233" spans="1:23" s="742" customFormat="1" ht="24" customHeight="1">
      <c r="B233" s="371"/>
      <c r="C233" s="371"/>
      <c r="D233" s="371"/>
      <c r="E233" s="371"/>
      <c r="F233" s="749"/>
      <c r="G233" s="750"/>
      <c r="H233" s="751"/>
      <c r="I233" s="751"/>
      <c r="J233" s="751"/>
      <c r="K233" s="751"/>
      <c r="L233" s="747"/>
      <c r="M233" s="747"/>
      <c r="N233" s="747"/>
    </row>
    <row r="234" spans="1:23" s="742" customFormat="1" ht="24" customHeight="1">
      <c r="B234" s="371"/>
      <c r="C234" s="371"/>
      <c r="D234" s="371"/>
      <c r="E234" s="371"/>
      <c r="F234" s="749"/>
      <c r="G234" s="750"/>
      <c r="H234" s="751"/>
      <c r="I234" s="751"/>
      <c r="J234" s="751"/>
      <c r="K234" s="751"/>
      <c r="L234" s="747"/>
      <c r="M234" s="747"/>
      <c r="N234" s="747"/>
    </row>
    <row r="235" spans="1:23" s="742" customFormat="1" ht="24" customHeight="1">
      <c r="B235" s="371"/>
      <c r="C235" s="371"/>
      <c r="D235" s="371"/>
      <c r="E235" s="371"/>
      <c r="F235" s="749"/>
      <c r="G235" s="750"/>
      <c r="H235" s="751"/>
      <c r="I235" s="751"/>
      <c r="J235" s="751"/>
      <c r="K235" s="751"/>
      <c r="L235" s="747"/>
      <c r="M235" s="747"/>
      <c r="N235" s="747"/>
    </row>
    <row r="236" spans="1:23" s="742" customFormat="1" ht="24" customHeight="1">
      <c r="B236" s="371"/>
      <c r="C236" s="371"/>
      <c r="D236" s="371"/>
      <c r="E236" s="371"/>
      <c r="F236" s="749"/>
      <c r="G236" s="750"/>
      <c r="H236" s="751"/>
      <c r="I236" s="751"/>
      <c r="J236" s="751"/>
      <c r="K236" s="751"/>
      <c r="L236" s="747"/>
      <c r="M236" s="747"/>
      <c r="N236" s="747"/>
    </row>
    <row r="237" spans="1:23" s="742" customFormat="1" ht="24" customHeight="1">
      <c r="B237" s="371"/>
      <c r="C237" s="371"/>
      <c r="D237" s="371"/>
      <c r="E237" s="371"/>
      <c r="F237" s="749"/>
      <c r="G237" s="750"/>
      <c r="H237" s="751"/>
      <c r="I237" s="751"/>
      <c r="J237" s="751"/>
      <c r="K237" s="751"/>
      <c r="L237" s="747"/>
      <c r="M237" s="747"/>
      <c r="N237" s="747"/>
    </row>
    <row r="238" spans="1:23" s="742" customFormat="1" ht="24" customHeight="1">
      <c r="B238" s="371"/>
      <c r="C238" s="371"/>
      <c r="D238" s="371"/>
      <c r="E238" s="371"/>
      <c r="F238" s="749"/>
      <c r="G238" s="750"/>
      <c r="H238" s="751"/>
      <c r="I238" s="751"/>
      <c r="J238" s="751"/>
      <c r="K238" s="751"/>
      <c r="L238" s="747"/>
      <c r="M238" s="747"/>
      <c r="N238" s="747"/>
    </row>
    <row r="239" spans="1:23" s="752" customFormat="1" ht="24" customHeight="1">
      <c r="A239" s="742"/>
      <c r="B239" s="371"/>
      <c r="C239" s="371"/>
      <c r="D239" s="371"/>
      <c r="E239" s="371"/>
      <c r="F239" s="749"/>
      <c r="G239" s="750"/>
      <c r="H239" s="751"/>
      <c r="I239" s="751"/>
      <c r="J239" s="751"/>
      <c r="K239" s="751"/>
      <c r="L239" s="747"/>
      <c r="M239" s="747"/>
      <c r="N239" s="747"/>
      <c r="O239" s="742"/>
      <c r="P239" s="742"/>
      <c r="Q239" s="742"/>
      <c r="R239" s="742"/>
      <c r="S239" s="742"/>
      <c r="T239" s="742"/>
      <c r="U239" s="742"/>
      <c r="V239" s="742"/>
      <c r="W239" s="742"/>
    </row>
    <row r="240" spans="1:23" s="742" customFormat="1" ht="24" customHeight="1">
      <c r="B240" s="371"/>
      <c r="C240" s="371"/>
      <c r="D240" s="371"/>
      <c r="E240" s="371"/>
      <c r="F240" s="749"/>
      <c r="G240" s="750"/>
      <c r="H240" s="751"/>
      <c r="I240" s="751"/>
      <c r="J240" s="751"/>
      <c r="K240" s="751"/>
      <c r="L240" s="747"/>
      <c r="M240" s="747"/>
      <c r="N240" s="747"/>
    </row>
    <row r="241" spans="2:14" s="742" customFormat="1" ht="24" customHeight="1">
      <c r="B241" s="371"/>
      <c r="C241" s="371"/>
      <c r="D241" s="371"/>
      <c r="E241" s="371"/>
      <c r="F241" s="749"/>
      <c r="G241" s="750"/>
      <c r="H241" s="751"/>
      <c r="I241" s="751"/>
      <c r="J241" s="751"/>
      <c r="K241" s="751"/>
      <c r="L241" s="747"/>
      <c r="M241" s="747"/>
      <c r="N241" s="747"/>
    </row>
    <row r="242" spans="2:14" s="742" customFormat="1" ht="24" customHeight="1">
      <c r="B242" s="371"/>
      <c r="C242" s="371"/>
      <c r="D242" s="371"/>
      <c r="E242" s="371"/>
      <c r="F242" s="749"/>
      <c r="G242" s="750"/>
      <c r="H242" s="751"/>
      <c r="I242" s="751"/>
      <c r="J242" s="751"/>
      <c r="K242" s="751"/>
      <c r="L242" s="747"/>
      <c r="M242" s="747"/>
      <c r="N242" s="747"/>
    </row>
    <row r="243" spans="2:14" s="742" customFormat="1" ht="24" customHeight="1">
      <c r="B243" s="371"/>
      <c r="C243" s="371"/>
      <c r="D243" s="371"/>
      <c r="E243" s="371"/>
      <c r="F243" s="749"/>
      <c r="G243" s="750"/>
      <c r="H243" s="751"/>
      <c r="I243" s="751"/>
      <c r="J243" s="751"/>
      <c r="K243" s="751"/>
      <c r="L243" s="747"/>
      <c r="M243" s="747"/>
      <c r="N243" s="747"/>
    </row>
    <row r="244" spans="2:14" s="742" customFormat="1" ht="24" customHeight="1">
      <c r="B244" s="371"/>
      <c r="C244" s="371"/>
      <c r="D244" s="371"/>
      <c r="E244" s="371"/>
      <c r="F244" s="749"/>
      <c r="G244" s="750"/>
      <c r="H244" s="751"/>
      <c r="I244" s="751"/>
      <c r="J244" s="751"/>
      <c r="K244" s="751"/>
      <c r="L244" s="747"/>
      <c r="M244" s="747"/>
      <c r="N244" s="747"/>
    </row>
    <row r="245" spans="2:14" s="742" customFormat="1" ht="24" customHeight="1">
      <c r="B245" s="371"/>
      <c r="C245" s="371"/>
      <c r="D245" s="371"/>
      <c r="E245" s="371"/>
      <c r="F245" s="749"/>
      <c r="G245" s="750"/>
      <c r="H245" s="751"/>
      <c r="I245" s="751"/>
      <c r="J245" s="751"/>
      <c r="K245" s="751"/>
      <c r="L245" s="747"/>
      <c r="M245" s="747"/>
      <c r="N245" s="747"/>
    </row>
    <row r="246" spans="2:14" s="742" customFormat="1" ht="24" customHeight="1">
      <c r="B246" s="371"/>
      <c r="C246" s="371"/>
      <c r="D246" s="371"/>
      <c r="E246" s="371"/>
      <c r="F246" s="749"/>
      <c r="G246" s="750"/>
      <c r="H246" s="751"/>
      <c r="I246" s="751"/>
      <c r="J246" s="751"/>
      <c r="K246" s="751"/>
      <c r="L246" s="747"/>
      <c r="M246" s="747"/>
      <c r="N246" s="747"/>
    </row>
    <row r="247" spans="2:14" s="742" customFormat="1" ht="24" customHeight="1">
      <c r="B247" s="371"/>
      <c r="C247" s="371"/>
      <c r="D247" s="371"/>
      <c r="E247" s="371"/>
      <c r="F247" s="749"/>
      <c r="G247" s="750"/>
      <c r="H247" s="751"/>
      <c r="I247" s="751"/>
      <c r="J247" s="751"/>
      <c r="K247" s="751"/>
      <c r="L247" s="747"/>
      <c r="M247" s="747"/>
      <c r="N247" s="747"/>
    </row>
    <row r="248" spans="2:14" s="742" customFormat="1" ht="24" customHeight="1">
      <c r="B248" s="371"/>
      <c r="C248" s="371"/>
      <c r="D248" s="371"/>
      <c r="E248" s="371"/>
      <c r="F248" s="749"/>
      <c r="G248" s="750"/>
      <c r="H248" s="751"/>
      <c r="I248" s="751"/>
      <c r="J248" s="751"/>
      <c r="K248" s="751"/>
      <c r="L248" s="747"/>
      <c r="M248" s="747"/>
      <c r="N248" s="747"/>
    </row>
    <row r="249" spans="2:14" s="742" customFormat="1" ht="24" customHeight="1">
      <c r="B249" s="371"/>
      <c r="C249" s="371"/>
      <c r="D249" s="371"/>
      <c r="E249" s="371"/>
      <c r="F249" s="749"/>
      <c r="G249" s="750"/>
      <c r="H249" s="751"/>
      <c r="I249" s="751"/>
      <c r="J249" s="751"/>
      <c r="K249" s="751"/>
      <c r="L249" s="747"/>
      <c r="M249" s="747"/>
      <c r="N249" s="747"/>
    </row>
    <row r="250" spans="2:14" s="742" customFormat="1" ht="24" customHeight="1">
      <c r="B250" s="371"/>
      <c r="C250" s="371"/>
      <c r="D250" s="371"/>
      <c r="E250" s="371"/>
      <c r="F250" s="749"/>
      <c r="G250" s="750"/>
      <c r="H250" s="751"/>
      <c r="I250" s="751"/>
      <c r="J250" s="751"/>
      <c r="K250" s="751"/>
      <c r="L250" s="747"/>
      <c r="M250" s="747"/>
      <c r="N250" s="747"/>
    </row>
    <row r="251" spans="2:14" s="742" customFormat="1" ht="24" customHeight="1">
      <c r="B251" s="371"/>
      <c r="C251" s="371"/>
      <c r="D251" s="371"/>
      <c r="E251" s="371"/>
      <c r="F251" s="749"/>
      <c r="G251" s="750"/>
      <c r="H251" s="751"/>
      <c r="I251" s="751"/>
      <c r="J251" s="751"/>
      <c r="K251" s="751"/>
      <c r="L251" s="747"/>
      <c r="M251" s="747"/>
      <c r="N251" s="747"/>
    </row>
    <row r="252" spans="2:14" s="742" customFormat="1" ht="24" customHeight="1">
      <c r="B252" s="371"/>
      <c r="C252" s="371"/>
      <c r="D252" s="371"/>
      <c r="E252" s="371"/>
      <c r="F252" s="749"/>
      <c r="G252" s="750"/>
      <c r="H252" s="751"/>
      <c r="I252" s="751"/>
      <c r="J252" s="751"/>
      <c r="K252" s="751"/>
      <c r="L252" s="747"/>
      <c r="M252" s="747"/>
      <c r="N252" s="747"/>
    </row>
    <row r="253" spans="2:14" s="742" customFormat="1" ht="24" customHeight="1">
      <c r="B253" s="371"/>
      <c r="C253" s="371"/>
      <c r="D253" s="371"/>
      <c r="E253" s="371"/>
      <c r="F253" s="749"/>
      <c r="G253" s="750"/>
      <c r="H253" s="751"/>
      <c r="I253" s="751"/>
      <c r="J253" s="751"/>
      <c r="K253" s="751"/>
      <c r="L253" s="747"/>
      <c r="M253" s="747"/>
      <c r="N253" s="747"/>
    </row>
    <row r="254" spans="2:14" s="742" customFormat="1" ht="25.5" customHeight="1">
      <c r="B254" s="371"/>
      <c r="C254" s="371"/>
      <c r="D254" s="371"/>
      <c r="E254" s="371"/>
      <c r="F254" s="749"/>
      <c r="G254" s="750"/>
      <c r="H254" s="751"/>
      <c r="I254" s="751"/>
      <c r="J254" s="751"/>
      <c r="K254" s="751"/>
      <c r="L254" s="747"/>
      <c r="M254" s="747"/>
      <c r="N254" s="747"/>
    </row>
    <row r="255" spans="2:14" s="742" customFormat="1" ht="25.5" customHeight="1">
      <c r="B255" s="371"/>
      <c r="C255" s="371"/>
      <c r="D255" s="371"/>
      <c r="E255" s="371"/>
      <c r="F255" s="749"/>
      <c r="G255" s="750"/>
      <c r="H255" s="751"/>
      <c r="I255" s="751"/>
      <c r="J255" s="751"/>
      <c r="K255" s="751"/>
      <c r="L255" s="747"/>
      <c r="M255" s="747"/>
      <c r="N255" s="747"/>
    </row>
    <row r="256" spans="2:14" s="742" customFormat="1" ht="25.5" customHeight="1">
      <c r="B256" s="371"/>
      <c r="C256" s="371"/>
      <c r="D256" s="371"/>
      <c r="E256" s="371"/>
      <c r="F256" s="749"/>
      <c r="G256" s="750"/>
      <c r="H256" s="751"/>
      <c r="I256" s="751"/>
      <c r="J256" s="751"/>
      <c r="K256" s="751"/>
      <c r="L256" s="747"/>
      <c r="M256" s="747"/>
      <c r="N256" s="747"/>
    </row>
    <row r="257" spans="2:14" s="742" customFormat="1" ht="25.5" customHeight="1">
      <c r="B257" s="371"/>
      <c r="C257" s="371"/>
      <c r="D257" s="371"/>
      <c r="E257" s="371"/>
      <c r="F257" s="749"/>
      <c r="G257" s="750"/>
      <c r="H257" s="751"/>
      <c r="I257" s="751"/>
      <c r="J257" s="751"/>
      <c r="K257" s="751"/>
      <c r="L257" s="747"/>
      <c r="M257" s="747"/>
      <c r="N257" s="747"/>
    </row>
    <row r="258" spans="2:14" s="742" customFormat="1" ht="25.5" customHeight="1">
      <c r="B258" s="371"/>
      <c r="C258" s="371"/>
      <c r="D258" s="371"/>
      <c r="E258" s="371"/>
      <c r="F258" s="749"/>
      <c r="G258" s="750"/>
      <c r="H258" s="751"/>
      <c r="I258" s="751"/>
      <c r="J258" s="751"/>
      <c r="K258" s="751"/>
      <c r="L258" s="747"/>
      <c r="M258" s="747"/>
      <c r="N258" s="747"/>
    </row>
    <row r="259" spans="2:14" s="742" customFormat="1" ht="25.5" customHeight="1">
      <c r="B259" s="371"/>
      <c r="C259" s="379"/>
      <c r="D259" s="379"/>
      <c r="E259" s="379"/>
      <c r="K259" s="751"/>
      <c r="M259" s="807"/>
    </row>
    <row r="260" spans="2:14" s="742" customFormat="1" ht="25.5" customHeight="1">
      <c r="B260" s="371"/>
      <c r="C260" s="379"/>
      <c r="D260" s="379"/>
      <c r="E260" s="379"/>
      <c r="K260" s="751"/>
      <c r="M260" s="807"/>
    </row>
    <row r="261" spans="2:14" s="742" customFormat="1" ht="25.5" customHeight="1">
      <c r="B261" s="371"/>
      <c r="C261" s="379"/>
      <c r="D261" s="379"/>
      <c r="E261" s="379"/>
      <c r="K261" s="751"/>
      <c r="M261" s="807"/>
    </row>
    <row r="262" spans="2:14" s="742" customFormat="1" ht="25.5" customHeight="1">
      <c r="B262" s="371"/>
      <c r="C262" s="379"/>
      <c r="D262" s="379"/>
      <c r="E262" s="379"/>
      <c r="K262" s="751"/>
      <c r="M262" s="807"/>
    </row>
    <row r="263" spans="2:14" s="742" customFormat="1" ht="25.5" customHeight="1">
      <c r="B263" s="371"/>
      <c r="C263" s="379"/>
      <c r="D263" s="379"/>
      <c r="E263" s="379"/>
      <c r="K263" s="751"/>
      <c r="M263" s="807"/>
    </row>
    <row r="264" spans="2:14" s="742" customFormat="1" ht="25.5" customHeight="1">
      <c r="B264" s="371"/>
      <c r="C264" s="379"/>
      <c r="D264" s="379"/>
      <c r="E264" s="379"/>
      <c r="K264" s="751"/>
      <c r="M264" s="807"/>
    </row>
    <row r="265" spans="2:14" s="742" customFormat="1" ht="25.5" customHeight="1">
      <c r="B265" s="371"/>
      <c r="C265" s="379"/>
      <c r="D265" s="379"/>
      <c r="E265" s="379"/>
      <c r="K265" s="751"/>
      <c r="M265" s="807"/>
    </row>
    <row r="266" spans="2:14" s="742" customFormat="1" ht="25.5" customHeight="1">
      <c r="B266" s="371"/>
      <c r="C266" s="379"/>
      <c r="D266" s="379"/>
      <c r="E266" s="379"/>
      <c r="K266" s="751"/>
      <c r="M266" s="807"/>
    </row>
    <row r="267" spans="2:14" s="742" customFormat="1" ht="25.5" customHeight="1">
      <c r="B267" s="371"/>
      <c r="C267" s="379"/>
      <c r="D267" s="379"/>
      <c r="E267" s="379"/>
      <c r="K267" s="751"/>
      <c r="M267" s="807"/>
    </row>
    <row r="268" spans="2:14" s="742" customFormat="1" ht="25.5" customHeight="1">
      <c r="B268" s="371"/>
      <c r="C268" s="379"/>
      <c r="D268" s="379"/>
      <c r="E268" s="379"/>
      <c r="K268" s="751"/>
      <c r="M268" s="807"/>
    </row>
    <row r="269" spans="2:14" s="742" customFormat="1" ht="25.5" customHeight="1">
      <c r="B269" s="371"/>
      <c r="C269" s="379"/>
      <c r="D269" s="379"/>
      <c r="E269" s="379"/>
      <c r="K269" s="751"/>
      <c r="M269" s="807"/>
    </row>
    <row r="270" spans="2:14" s="742" customFormat="1" ht="25.5" customHeight="1">
      <c r="B270" s="371"/>
      <c r="C270" s="379"/>
      <c r="D270" s="379"/>
      <c r="E270" s="379"/>
      <c r="K270" s="751"/>
      <c r="M270" s="807"/>
    </row>
    <row r="271" spans="2:14" s="742" customFormat="1" ht="25.5" customHeight="1">
      <c r="B271" s="371"/>
      <c r="C271" s="379"/>
      <c r="D271" s="379"/>
      <c r="E271" s="379"/>
      <c r="K271" s="751"/>
      <c r="M271" s="807"/>
    </row>
    <row r="272" spans="2:14" s="742" customFormat="1" ht="25.5" customHeight="1">
      <c r="B272" s="371"/>
      <c r="C272" s="379"/>
      <c r="D272" s="379"/>
      <c r="E272" s="379"/>
      <c r="K272" s="751"/>
      <c r="M272" s="807"/>
    </row>
    <row r="273" spans="2:13" s="742" customFormat="1" ht="25.5" customHeight="1">
      <c r="B273" s="371"/>
      <c r="C273" s="379"/>
      <c r="D273" s="379"/>
      <c r="E273" s="379"/>
      <c r="K273" s="751"/>
      <c r="M273" s="807"/>
    </row>
    <row r="274" spans="2:13" s="742" customFormat="1" ht="25.5" customHeight="1">
      <c r="B274" s="371"/>
      <c r="C274" s="379"/>
      <c r="D274" s="379"/>
      <c r="E274" s="379"/>
      <c r="K274" s="751"/>
      <c r="M274" s="807"/>
    </row>
    <row r="275" spans="2:13" s="742" customFormat="1" ht="25.5" customHeight="1">
      <c r="B275" s="371"/>
      <c r="C275" s="379"/>
      <c r="D275" s="379"/>
      <c r="E275" s="379"/>
      <c r="K275" s="751"/>
      <c r="M275" s="807"/>
    </row>
    <row r="276" spans="2:13" s="742" customFormat="1" ht="25.5" customHeight="1">
      <c r="B276" s="371"/>
      <c r="C276" s="379"/>
      <c r="D276" s="379"/>
      <c r="E276" s="379"/>
      <c r="K276" s="751"/>
      <c r="M276" s="807"/>
    </row>
    <row r="277" spans="2:13" s="742" customFormat="1" ht="25.5" customHeight="1">
      <c r="B277" s="371"/>
      <c r="C277" s="379"/>
      <c r="D277" s="379"/>
      <c r="E277" s="379"/>
      <c r="K277" s="751"/>
      <c r="M277" s="807"/>
    </row>
    <row r="278" spans="2:13" s="742" customFormat="1" ht="25.5" customHeight="1">
      <c r="B278" s="371"/>
      <c r="C278" s="379"/>
      <c r="D278" s="379"/>
      <c r="E278" s="379"/>
      <c r="K278" s="751"/>
      <c r="M278" s="807"/>
    </row>
    <row r="279" spans="2:13" s="742" customFormat="1" ht="25.5" customHeight="1">
      <c r="B279" s="371"/>
      <c r="C279" s="379"/>
      <c r="D279" s="379"/>
      <c r="E279" s="379"/>
      <c r="K279" s="751"/>
      <c r="M279" s="807"/>
    </row>
    <row r="280" spans="2:13" s="742" customFormat="1" ht="25.5" customHeight="1">
      <c r="B280" s="371"/>
      <c r="C280" s="379"/>
      <c r="D280" s="379"/>
      <c r="E280" s="379"/>
      <c r="K280" s="751"/>
      <c r="M280" s="807"/>
    </row>
    <row r="281" spans="2:13" s="742" customFormat="1" ht="25.5" customHeight="1">
      <c r="B281" s="371"/>
      <c r="C281" s="379"/>
      <c r="D281" s="379"/>
      <c r="E281" s="379"/>
      <c r="K281" s="751"/>
      <c r="M281" s="807"/>
    </row>
    <row r="282" spans="2:13" s="742" customFormat="1" ht="25.5" customHeight="1">
      <c r="B282" s="371"/>
      <c r="C282" s="379"/>
      <c r="D282" s="379"/>
      <c r="E282" s="379"/>
      <c r="K282" s="751"/>
      <c r="M282" s="807"/>
    </row>
    <row r="283" spans="2:13" s="742" customFormat="1" ht="25.5" customHeight="1">
      <c r="B283" s="371"/>
      <c r="C283" s="379"/>
      <c r="D283" s="379"/>
      <c r="E283" s="379"/>
      <c r="K283" s="751"/>
      <c r="M283" s="807"/>
    </row>
    <row r="284" spans="2:13" s="742" customFormat="1" ht="25.5" customHeight="1">
      <c r="B284" s="371"/>
      <c r="C284" s="379"/>
      <c r="D284" s="379"/>
      <c r="E284" s="379"/>
      <c r="K284" s="751"/>
      <c r="M284" s="807"/>
    </row>
    <row r="285" spans="2:13" s="742" customFormat="1" ht="25.5" customHeight="1">
      <c r="B285" s="371"/>
      <c r="C285" s="379"/>
      <c r="D285" s="379"/>
      <c r="E285" s="379"/>
      <c r="K285" s="751"/>
      <c r="M285" s="807"/>
    </row>
    <row r="286" spans="2:13" s="742" customFormat="1" ht="25.5" customHeight="1">
      <c r="B286" s="371"/>
      <c r="C286" s="379"/>
      <c r="D286" s="379"/>
      <c r="E286" s="379"/>
      <c r="K286" s="751"/>
      <c r="M286" s="807"/>
    </row>
    <row r="287" spans="2:13" s="742" customFormat="1" ht="25.5" customHeight="1">
      <c r="B287" s="371"/>
      <c r="C287" s="379"/>
      <c r="D287" s="379"/>
      <c r="E287" s="379"/>
      <c r="K287" s="751"/>
      <c r="M287" s="807"/>
    </row>
    <row r="288" spans="2:13" s="742" customFormat="1" ht="25.5" customHeight="1">
      <c r="B288" s="371"/>
      <c r="C288" s="379"/>
      <c r="D288" s="379"/>
      <c r="E288" s="379"/>
      <c r="K288" s="751"/>
      <c r="M288" s="807"/>
    </row>
    <row r="289" spans="2:13" s="742" customFormat="1" ht="25.5" customHeight="1">
      <c r="B289" s="371"/>
      <c r="C289" s="379"/>
      <c r="D289" s="379"/>
      <c r="E289" s="379"/>
      <c r="K289" s="751"/>
      <c r="M289" s="807"/>
    </row>
    <row r="290" spans="2:13" s="742" customFormat="1" ht="25.5" customHeight="1">
      <c r="B290" s="371"/>
      <c r="C290" s="379"/>
      <c r="D290" s="379"/>
      <c r="E290" s="379"/>
      <c r="K290" s="751"/>
      <c r="M290" s="807"/>
    </row>
    <row r="291" spans="2:13" s="742" customFormat="1" ht="25.5" customHeight="1">
      <c r="B291" s="371"/>
      <c r="C291" s="379"/>
      <c r="D291" s="379"/>
      <c r="E291" s="379"/>
      <c r="K291" s="751"/>
      <c r="M291" s="807"/>
    </row>
    <row r="292" spans="2:13" s="742" customFormat="1" ht="25.5" customHeight="1">
      <c r="B292" s="371"/>
      <c r="C292" s="379"/>
      <c r="D292" s="379"/>
      <c r="E292" s="379"/>
      <c r="K292" s="751"/>
      <c r="M292" s="807"/>
    </row>
    <row r="293" spans="2:13" s="742" customFormat="1" ht="25.5" customHeight="1">
      <c r="B293" s="371"/>
      <c r="C293" s="379"/>
      <c r="D293" s="379"/>
      <c r="E293" s="379"/>
      <c r="K293" s="751"/>
      <c r="M293" s="807"/>
    </row>
    <row r="294" spans="2:13" s="742" customFormat="1" ht="25.5" customHeight="1">
      <c r="B294" s="371"/>
      <c r="C294" s="379"/>
      <c r="D294" s="379"/>
      <c r="E294" s="379"/>
      <c r="K294" s="751"/>
      <c r="M294" s="807"/>
    </row>
    <row r="295" spans="2:13" s="742" customFormat="1" ht="25.5" customHeight="1">
      <c r="B295" s="371"/>
      <c r="C295" s="379"/>
      <c r="D295" s="379"/>
      <c r="E295" s="379"/>
      <c r="K295" s="751"/>
      <c r="M295" s="807"/>
    </row>
    <row r="296" spans="2:13" s="742" customFormat="1" ht="25.5" customHeight="1">
      <c r="B296" s="371"/>
      <c r="C296" s="379"/>
      <c r="D296" s="379"/>
      <c r="E296" s="379"/>
      <c r="K296" s="751"/>
      <c r="M296" s="807"/>
    </row>
    <row r="297" spans="2:13" s="742" customFormat="1" ht="25.5" customHeight="1">
      <c r="B297" s="371"/>
      <c r="C297" s="379"/>
      <c r="D297" s="379"/>
      <c r="E297" s="379"/>
      <c r="K297" s="751"/>
      <c r="M297" s="807"/>
    </row>
    <row r="298" spans="2:13" s="742" customFormat="1" ht="25.5" customHeight="1">
      <c r="B298" s="371"/>
      <c r="C298" s="379"/>
      <c r="D298" s="379"/>
      <c r="E298" s="379"/>
      <c r="K298" s="751"/>
      <c r="M298" s="807"/>
    </row>
    <row r="299" spans="2:13" s="742" customFormat="1" ht="25.5" customHeight="1">
      <c r="B299" s="371"/>
      <c r="C299" s="379"/>
      <c r="D299" s="379"/>
      <c r="E299" s="379"/>
      <c r="K299" s="751"/>
      <c r="M299" s="807"/>
    </row>
    <row r="300" spans="2:13" s="742" customFormat="1" ht="25.5" customHeight="1">
      <c r="B300" s="371"/>
      <c r="C300" s="379"/>
      <c r="D300" s="379"/>
      <c r="E300" s="379"/>
      <c r="K300" s="751"/>
      <c r="M300" s="807"/>
    </row>
    <row r="301" spans="2:13" s="742" customFormat="1" ht="25.5" customHeight="1">
      <c r="B301" s="371"/>
      <c r="C301" s="379"/>
      <c r="D301" s="379"/>
      <c r="E301" s="379"/>
      <c r="K301" s="751"/>
      <c r="M301" s="807"/>
    </row>
    <row r="302" spans="2:13" s="742" customFormat="1" ht="25.5" customHeight="1">
      <c r="B302" s="371"/>
      <c r="C302" s="379"/>
      <c r="D302" s="379"/>
      <c r="E302" s="379"/>
      <c r="K302" s="751"/>
      <c r="M302" s="807"/>
    </row>
    <row r="303" spans="2:13" s="742" customFormat="1" ht="25.5" customHeight="1">
      <c r="B303" s="371"/>
      <c r="C303" s="379"/>
      <c r="D303" s="379"/>
      <c r="E303" s="379"/>
      <c r="K303" s="751"/>
      <c r="M303" s="807"/>
    </row>
    <row r="304" spans="2:13" s="742" customFormat="1" ht="25.5" customHeight="1">
      <c r="B304" s="371"/>
      <c r="C304" s="379"/>
      <c r="D304" s="379"/>
      <c r="E304" s="379"/>
      <c r="K304" s="751"/>
      <c r="M304" s="807"/>
    </row>
    <row r="305" spans="2:13" s="742" customFormat="1" ht="25.5" customHeight="1">
      <c r="B305" s="371"/>
      <c r="C305" s="379"/>
      <c r="D305" s="379"/>
      <c r="E305" s="379"/>
      <c r="K305" s="751"/>
      <c r="M305" s="807"/>
    </row>
    <row r="306" spans="2:13" s="742" customFormat="1" ht="25.5" customHeight="1">
      <c r="B306" s="371"/>
      <c r="C306" s="379"/>
      <c r="D306" s="379"/>
      <c r="E306" s="379"/>
      <c r="K306" s="751"/>
      <c r="M306" s="807"/>
    </row>
    <row r="307" spans="2:13" s="742" customFormat="1" ht="25.5" customHeight="1">
      <c r="B307" s="371"/>
      <c r="C307" s="379"/>
      <c r="D307" s="379"/>
      <c r="E307" s="379"/>
      <c r="K307" s="751"/>
      <c r="M307" s="807"/>
    </row>
    <row r="308" spans="2:13" s="742" customFormat="1" ht="25.5" customHeight="1">
      <c r="B308" s="371"/>
      <c r="C308" s="379"/>
      <c r="D308" s="379"/>
      <c r="E308" s="379"/>
      <c r="K308" s="751"/>
      <c r="M308" s="807"/>
    </row>
    <row r="309" spans="2:13" s="742" customFormat="1" ht="25.5" customHeight="1">
      <c r="B309" s="371"/>
      <c r="C309" s="379"/>
      <c r="D309" s="379"/>
      <c r="E309" s="379"/>
      <c r="K309" s="751"/>
      <c r="M309" s="807"/>
    </row>
    <row r="321" spans="2:4" ht="25.5" customHeight="1">
      <c r="B321" s="190"/>
      <c r="C321" s="190"/>
      <c r="D321" s="163"/>
    </row>
  </sheetData>
  <mergeCells count="55">
    <mergeCell ref="F221:G221"/>
    <mergeCell ref="B176:G178"/>
    <mergeCell ref="B179:F179"/>
    <mergeCell ref="B180:F180"/>
    <mergeCell ref="B211:G213"/>
    <mergeCell ref="B214:F214"/>
    <mergeCell ref="F126:G126"/>
    <mergeCell ref="J126:K126"/>
    <mergeCell ref="B137:G139"/>
    <mergeCell ref="B140:F140"/>
    <mergeCell ref="B141:F141"/>
    <mergeCell ref="J123:K123"/>
    <mergeCell ref="F124:G124"/>
    <mergeCell ref="J124:K124"/>
    <mergeCell ref="F125:G125"/>
    <mergeCell ref="J125:K125"/>
    <mergeCell ref="B116:G118"/>
    <mergeCell ref="B119:F119"/>
    <mergeCell ref="B120:F120"/>
    <mergeCell ref="C123:D123"/>
    <mergeCell ref="F123:G123"/>
    <mergeCell ref="D106:E106"/>
    <mergeCell ref="F106:G106"/>
    <mergeCell ref="H106:I106"/>
    <mergeCell ref="J106:K106"/>
    <mergeCell ref="D107:E107"/>
    <mergeCell ref="F107:G107"/>
    <mergeCell ref="H107:I107"/>
    <mergeCell ref="J107:K107"/>
    <mergeCell ref="D104:E104"/>
    <mergeCell ref="F104:G104"/>
    <mergeCell ref="H104:I104"/>
    <mergeCell ref="J104:K104"/>
    <mergeCell ref="D105:E105"/>
    <mergeCell ref="F105:G105"/>
    <mergeCell ref="H105:I105"/>
    <mergeCell ref="J105:K105"/>
    <mergeCell ref="D102:E102"/>
    <mergeCell ref="F102:G102"/>
    <mergeCell ref="H102:I102"/>
    <mergeCell ref="J102:K102"/>
    <mergeCell ref="D103:E103"/>
    <mergeCell ref="F103:G103"/>
    <mergeCell ref="H103:I103"/>
    <mergeCell ref="J103:K103"/>
    <mergeCell ref="F89:G89"/>
    <mergeCell ref="F90:G90"/>
    <mergeCell ref="B95:G97"/>
    <mergeCell ref="B98:F98"/>
    <mergeCell ref="B99:F99"/>
    <mergeCell ref="B4:C4"/>
    <mergeCell ref="D11:F11"/>
    <mergeCell ref="B15:G17"/>
    <mergeCell ref="B19:F19"/>
    <mergeCell ref="F88:G88"/>
  </mergeCells>
  <conditionalFormatting sqref="H111">
    <cfRule type="cellIs" dxfId="41" priority="14" operator="greaterThan">
      <formula>0</formula>
    </cfRule>
  </conditionalFormatting>
  <conditionalFormatting sqref="H124:H126">
    <cfRule type="cellIs" dxfId="40" priority="13" operator="greaterThan">
      <formula>0</formula>
    </cfRule>
  </conditionalFormatting>
  <conditionalFormatting sqref="I25:I37 I43:I66">
    <cfRule type="cellIs" dxfId="39" priority="17" operator="lessThan">
      <formula>#REF!</formula>
    </cfRule>
  </conditionalFormatting>
  <conditionalFormatting sqref="I25:I37">
    <cfRule type="cellIs" dxfId="38" priority="4" operator="greaterThan">
      <formula>0</formula>
    </cfRule>
  </conditionalFormatting>
  <conditionalFormatting sqref="I43:I66">
    <cfRule type="cellIs" dxfId="37" priority="3" operator="greaterThan">
      <formula>0</formula>
    </cfRule>
  </conditionalFormatting>
  <conditionalFormatting sqref="I89:I90">
    <cfRule type="cellIs" dxfId="36" priority="15" operator="greaterThan">
      <formula>0</formula>
    </cfRule>
  </conditionalFormatting>
  <conditionalFormatting sqref="I72:J75">
    <cfRule type="cellIs" dxfId="35" priority="10" operator="lessThan">
      <formula>$J72</formula>
    </cfRule>
    <cfRule type="cellIs" dxfId="34" priority="11" operator="greaterThan">
      <formula>0</formula>
    </cfRule>
  </conditionalFormatting>
  <conditionalFormatting sqref="I81:J83">
    <cfRule type="cellIs" dxfId="33" priority="7" operator="greaterThan">
      <formula>0</formula>
    </cfRule>
    <cfRule type="cellIs" dxfId="32" priority="8" operator="lessThan">
      <formula>$J81</formula>
    </cfRule>
  </conditionalFormatting>
  <conditionalFormatting sqref="J125:J126">
    <cfRule type="cellIs" dxfId="31" priority="12" operator="greaterThan">
      <formula>0</formula>
    </cfRule>
  </conditionalFormatting>
  <conditionalFormatting sqref="K25:K66">
    <cfRule type="cellIs" dxfId="30" priority="2" operator="greaterThan">
      <formula>0</formula>
    </cfRule>
  </conditionalFormatting>
  <conditionalFormatting sqref="K68 L69:M70">
    <cfRule type="cellIs" dxfId="29" priority="16" operator="greaterThan">
      <formula>0</formula>
    </cfRule>
  </conditionalFormatting>
  <conditionalFormatting sqref="L72:M72 L74:M74">
    <cfRule type="cellIs" dxfId="28" priority="9" operator="greaterThan">
      <formula>0</formula>
    </cfRule>
  </conditionalFormatting>
  <conditionalFormatting sqref="L72:M75">
    <cfRule type="cellIs" dxfId="27" priority="5" operator="greaterThan">
      <formula>0</formula>
    </cfRule>
  </conditionalFormatting>
  <conditionalFormatting sqref="L81:M83">
    <cfRule type="cellIs" dxfId="26" priority="6" operator="greaterThan">
      <formula>0</formula>
    </cfRule>
  </conditionalFormatting>
  <hyperlinks>
    <hyperlink ref="B10" r:id="rId1" xr:uid="{00000000-0004-0000-0400-000000000000}"/>
    <hyperlink ref="B218" r:id="rId2" xr:uid="{00000000-0004-0000-0400-000001000000}"/>
  </hyperlinks>
  <pageMargins left="0" right="0" top="0" bottom="0" header="0.511811023622047" footer="0"/>
  <pageSetup paperSize="9" orientation="portrait" horizontalDpi="300" verticalDpi="300"/>
  <headerFooter>
    <oddFooter>&amp;C&amp;P av &amp;N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262"/>
  <sheetViews>
    <sheetView showGridLines="0" zoomScaleNormal="100" workbookViewId="0">
      <selection activeCell="P46" sqref="P46"/>
    </sheetView>
  </sheetViews>
  <sheetFormatPr baseColWidth="10" defaultColWidth="15" defaultRowHeight="25.5" customHeight="1"/>
  <cols>
    <col min="1" max="1" width="11.83203125" style="446" customWidth="1"/>
    <col min="2" max="2" width="30.83203125" style="268" customWidth="1"/>
    <col min="3" max="5" width="14.83203125" style="8" customWidth="1"/>
    <col min="6" max="10" width="14.83203125" style="446" customWidth="1"/>
    <col min="11" max="11" width="14.83203125" style="447" customWidth="1"/>
    <col min="12" max="12" width="14.83203125" style="446" customWidth="1"/>
    <col min="13" max="13" width="14.83203125" style="489" customWidth="1"/>
    <col min="14" max="14" width="14.83203125" style="446" customWidth="1"/>
    <col min="15" max="16384" width="15" style="446"/>
  </cols>
  <sheetData>
    <row r="1" spans="1:29" ht="25.5" customHeight="1">
      <c r="A1" s="449"/>
      <c r="B1" s="5"/>
      <c r="C1" s="13"/>
      <c r="D1" s="13"/>
      <c r="E1" s="13"/>
      <c r="F1" s="449"/>
      <c r="G1" s="449"/>
      <c r="H1" s="449"/>
      <c r="I1" s="449"/>
      <c r="J1" s="449"/>
      <c r="K1" s="754"/>
      <c r="L1" s="449"/>
      <c r="M1" s="450"/>
      <c r="N1" s="450"/>
      <c r="O1" s="449"/>
      <c r="P1" s="452"/>
    </row>
    <row r="2" spans="1:29" ht="25.5" customHeight="1">
      <c r="A2" s="449"/>
      <c r="B2" s="5"/>
      <c r="C2" s="13"/>
      <c r="D2" s="13"/>
      <c r="E2" s="13"/>
      <c r="F2" s="449"/>
      <c r="G2" s="449"/>
      <c r="H2" s="449"/>
      <c r="I2" s="449"/>
      <c r="J2" s="449"/>
      <c r="K2" s="754"/>
      <c r="L2" s="449"/>
      <c r="M2" s="450"/>
      <c r="N2" s="450"/>
      <c r="O2" s="449"/>
      <c r="P2" s="452"/>
    </row>
    <row r="3" spans="1:29" ht="25.5" customHeight="1">
      <c r="A3" s="449"/>
      <c r="B3" s="5"/>
      <c r="C3" s="13"/>
      <c r="D3" s="13"/>
      <c r="E3" s="13"/>
      <c r="F3" s="449"/>
      <c r="G3" s="449"/>
      <c r="H3" s="449"/>
      <c r="I3" s="449"/>
      <c r="J3" s="449"/>
      <c r="K3" s="754"/>
      <c r="L3" s="449"/>
      <c r="M3" s="450"/>
      <c r="N3" s="450"/>
      <c r="O3" s="449"/>
      <c r="P3" s="452"/>
    </row>
    <row r="4" spans="1:29" ht="25.5" customHeight="1">
      <c r="A4" s="449"/>
      <c r="B4" s="966"/>
      <c r="C4" s="966"/>
      <c r="D4" s="13"/>
      <c r="E4" s="13"/>
      <c r="F4" s="449"/>
      <c r="G4" s="449"/>
      <c r="H4" s="449"/>
      <c r="I4" s="449"/>
      <c r="J4" s="449"/>
      <c r="K4" s="754"/>
      <c r="L4" s="449"/>
      <c r="M4" s="450"/>
      <c r="N4" s="450"/>
      <c r="O4" s="449"/>
      <c r="P4" s="452"/>
    </row>
    <row r="5" spans="1:29" ht="25.5" customHeight="1">
      <c r="A5" s="449"/>
      <c r="B5" s="18" t="s">
        <v>487</v>
      </c>
      <c r="C5" s="808"/>
      <c r="D5" s="13"/>
      <c r="E5" s="13"/>
      <c r="F5" s="449"/>
      <c r="G5" s="449"/>
      <c r="H5" s="449"/>
      <c r="I5" s="449"/>
      <c r="J5" s="449"/>
      <c r="K5" s="754"/>
      <c r="L5" s="449"/>
      <c r="M5" s="450"/>
      <c r="N5" s="450"/>
      <c r="O5" s="449"/>
      <c r="P5" s="452"/>
    </row>
    <row r="6" spans="1:29" ht="25.5" customHeight="1">
      <c r="A6" s="449"/>
      <c r="B6" s="453"/>
      <c r="C6" s="13"/>
      <c r="D6" s="13"/>
      <c r="E6" s="13"/>
      <c r="F6" s="449"/>
      <c r="G6" s="449"/>
      <c r="H6" s="449"/>
      <c r="I6" s="449"/>
      <c r="J6" s="449"/>
      <c r="K6" s="754"/>
      <c r="L6" s="449"/>
      <c r="M6" s="450"/>
      <c r="N6" s="450"/>
      <c r="O6" s="449"/>
      <c r="P6" s="452"/>
    </row>
    <row r="7" spans="1:29" ht="25.5" customHeight="1">
      <c r="A7" s="449"/>
      <c r="B7" s="184"/>
      <c r="C7" s="13"/>
      <c r="D7" s="13"/>
      <c r="E7" s="13"/>
      <c r="F7" s="449"/>
      <c r="G7" s="449"/>
      <c r="H7" s="449"/>
      <c r="I7" s="449"/>
      <c r="J7" s="449"/>
      <c r="K7" s="754"/>
      <c r="L7" s="449"/>
      <c r="M7" s="450"/>
      <c r="N7" s="450"/>
      <c r="O7" s="449"/>
      <c r="P7" s="452"/>
    </row>
    <row r="8" spans="1:29" ht="25.5" customHeight="1">
      <c r="A8" s="449"/>
      <c r="B8" s="22" t="s">
        <v>145</v>
      </c>
      <c r="C8" s="13"/>
      <c r="D8" s="22" t="s">
        <v>146</v>
      </c>
      <c r="E8" s="13"/>
      <c r="F8" s="449"/>
      <c r="G8" s="449"/>
      <c r="H8" s="449"/>
      <c r="I8" s="449"/>
      <c r="J8" s="449"/>
      <c r="K8" s="754"/>
      <c r="L8" s="449"/>
      <c r="M8" s="450"/>
      <c r="N8" s="450"/>
      <c r="O8" s="449"/>
      <c r="P8" s="452"/>
    </row>
    <row r="9" spans="1:29" ht="25.5" customHeight="1">
      <c r="A9" s="449"/>
      <c r="B9" s="454" t="s">
        <v>147</v>
      </c>
      <c r="C9" s="13"/>
      <c r="D9" s="454" t="s">
        <v>488</v>
      </c>
      <c r="E9" s="13"/>
      <c r="F9" s="449"/>
      <c r="G9" s="449"/>
      <c r="H9" s="449"/>
      <c r="I9" s="449"/>
      <c r="J9" s="449"/>
      <c r="K9" s="754"/>
      <c r="L9" s="449"/>
      <c r="M9" s="450"/>
      <c r="N9" s="450"/>
      <c r="O9" s="449"/>
      <c r="P9" s="452"/>
    </row>
    <row r="10" spans="1:29" ht="25.5" customHeight="1">
      <c r="A10" s="449"/>
      <c r="B10" s="756" t="s">
        <v>427</v>
      </c>
      <c r="C10" s="809"/>
      <c r="D10" s="13"/>
      <c r="E10" s="13"/>
      <c r="F10" s="449"/>
      <c r="G10" s="449"/>
      <c r="H10" s="449"/>
      <c r="I10" s="449"/>
      <c r="J10" s="449"/>
      <c r="K10" s="754"/>
      <c r="L10" s="449"/>
      <c r="M10" s="450"/>
      <c r="N10" s="450"/>
      <c r="O10" s="449"/>
      <c r="P10" s="452"/>
    </row>
    <row r="11" spans="1:29" s="462" customFormat="1" ht="25.5" customHeight="1">
      <c r="A11" s="456"/>
      <c r="B11" s="28"/>
      <c r="C11" s="29"/>
      <c r="D11" s="29"/>
      <c r="E11" s="29"/>
      <c r="F11" s="456"/>
      <c r="G11" s="457"/>
      <c r="H11" s="457"/>
      <c r="I11" s="458"/>
      <c r="J11" s="456"/>
      <c r="K11" s="498"/>
      <c r="L11" s="456"/>
      <c r="M11" s="459"/>
      <c r="N11" s="459"/>
      <c r="O11" s="456"/>
      <c r="P11" s="461"/>
    </row>
    <row r="12" spans="1:29" s="462" customFormat="1" ht="25.5" customHeight="1">
      <c r="A12" s="463"/>
      <c r="B12" s="37"/>
      <c r="C12" s="38"/>
      <c r="D12" s="38"/>
      <c r="E12" s="38"/>
      <c r="F12" s="463"/>
      <c r="G12" s="464"/>
      <c r="H12" s="464"/>
      <c r="I12" s="465"/>
      <c r="J12" s="463"/>
      <c r="K12" s="757"/>
      <c r="L12" s="463"/>
      <c r="M12" s="466"/>
      <c r="N12" s="466"/>
      <c r="O12" s="468"/>
      <c r="P12" s="461"/>
    </row>
    <row r="13" spans="1:29" s="462" customFormat="1" ht="25.5" customHeight="1">
      <c r="B13" s="90"/>
      <c r="C13" s="34"/>
      <c r="D13" s="34"/>
      <c r="E13" s="34"/>
      <c r="G13" s="469"/>
      <c r="H13" s="469"/>
      <c r="I13" s="470"/>
      <c r="K13" s="473"/>
      <c r="M13" s="471"/>
      <c r="N13" s="471"/>
      <c r="P13" s="461"/>
    </row>
    <row r="14" spans="1:29" s="462" customFormat="1" ht="25.5" customHeight="1">
      <c r="B14" s="90"/>
      <c r="C14" s="34"/>
      <c r="D14" s="34"/>
      <c r="E14" s="34"/>
      <c r="G14" s="469"/>
      <c r="H14" s="469"/>
      <c r="I14" s="470"/>
      <c r="K14" s="473"/>
      <c r="M14" s="471"/>
      <c r="N14" s="471"/>
      <c r="P14" s="461"/>
    </row>
    <row r="15" spans="1:29" s="462" customFormat="1" ht="25.5" customHeight="1">
      <c r="B15" s="968" t="s">
        <v>140</v>
      </c>
      <c r="C15" s="968"/>
      <c r="D15" s="968"/>
      <c r="E15" s="968"/>
      <c r="F15" s="968"/>
      <c r="G15" s="968"/>
      <c r="H15" s="470"/>
      <c r="J15" s="473"/>
      <c r="K15" s="473"/>
      <c r="M15" s="471"/>
      <c r="N15" s="471"/>
      <c r="P15" s="461"/>
      <c r="V15" s="474"/>
      <c r="AA15" s="474"/>
      <c r="AB15" s="474"/>
      <c r="AC15" s="474"/>
    </row>
    <row r="16" spans="1:29" s="462" customFormat="1" ht="25.5" customHeight="1">
      <c r="B16" s="968"/>
      <c r="C16" s="968"/>
      <c r="D16" s="968"/>
      <c r="E16" s="968"/>
      <c r="F16" s="968"/>
      <c r="G16" s="968"/>
      <c r="H16" s="470"/>
      <c r="J16" s="473"/>
      <c r="K16" s="473"/>
      <c r="M16" s="471"/>
      <c r="N16" s="471"/>
      <c r="P16" s="461"/>
      <c r="V16" s="474"/>
      <c r="AA16" s="474"/>
      <c r="AB16" s="474"/>
      <c r="AC16" s="474"/>
    </row>
    <row r="17" spans="2:29" s="462" customFormat="1" ht="25.5" customHeight="1">
      <c r="B17" s="968"/>
      <c r="C17" s="968"/>
      <c r="D17" s="968"/>
      <c r="E17" s="968"/>
      <c r="F17" s="968"/>
      <c r="G17" s="968"/>
      <c r="H17" s="470"/>
      <c r="J17" s="473"/>
      <c r="K17" s="473"/>
      <c r="M17" s="471"/>
      <c r="N17" s="471"/>
      <c r="P17" s="461"/>
      <c r="V17" s="474"/>
      <c r="AA17" s="474"/>
      <c r="AB17" s="474"/>
      <c r="AC17" s="474"/>
    </row>
    <row r="18" spans="2:29" s="462" customFormat="1" ht="25.5" customHeight="1">
      <c r="B18" s="250" t="s">
        <v>489</v>
      </c>
      <c r="C18" s="250"/>
      <c r="D18" s="250"/>
      <c r="E18" s="250"/>
      <c r="F18" s="810"/>
      <c r="H18" s="470"/>
      <c r="J18" s="473"/>
      <c r="K18" s="473"/>
      <c r="M18" s="471"/>
      <c r="N18" s="471"/>
      <c r="P18" s="461"/>
      <c r="V18" s="474"/>
      <c r="W18" s="474"/>
      <c r="X18" s="474"/>
      <c r="Y18" s="474"/>
      <c r="Z18" s="474"/>
      <c r="AA18" s="474"/>
      <c r="AB18" s="474"/>
      <c r="AC18" s="474"/>
    </row>
    <row r="19" spans="2:29" s="462" customFormat="1" ht="25.5" customHeight="1">
      <c r="B19" s="996" t="s">
        <v>490</v>
      </c>
      <c r="C19" s="996"/>
      <c r="D19" s="996"/>
      <c r="E19" s="996"/>
      <c r="F19" s="996"/>
      <c r="G19" s="478"/>
      <c r="H19" s="479"/>
      <c r="I19" s="478"/>
      <c r="J19" s="480"/>
      <c r="K19" s="611"/>
      <c r="L19" s="478"/>
      <c r="M19" s="481"/>
      <c r="N19" s="481"/>
      <c r="O19" s="478"/>
      <c r="P19" s="483"/>
      <c r="V19" s="474"/>
      <c r="W19" s="474"/>
      <c r="X19" s="474"/>
      <c r="Y19" s="474"/>
      <c r="Z19" s="474"/>
      <c r="AA19" s="474"/>
      <c r="AB19" s="474"/>
      <c r="AC19" s="474"/>
    </row>
    <row r="20" spans="2:29" s="462" customFormat="1" ht="25.5" customHeight="1">
      <c r="B20" s="610" t="s">
        <v>491</v>
      </c>
      <c r="C20" s="811"/>
      <c r="D20" s="59"/>
      <c r="E20" s="59"/>
      <c r="F20" s="484"/>
      <c r="G20" s="478"/>
      <c r="H20" s="479"/>
      <c r="I20" s="478"/>
      <c r="J20" s="480"/>
      <c r="K20" s="611"/>
      <c r="L20" s="478"/>
      <c r="M20" s="481"/>
      <c r="N20" s="481"/>
      <c r="O20" s="478"/>
      <c r="P20" s="483"/>
      <c r="V20" s="474"/>
      <c r="W20" s="474"/>
      <c r="X20" s="474"/>
      <c r="Y20" s="474"/>
      <c r="Z20" s="485"/>
      <c r="AA20" s="486"/>
      <c r="AB20" s="474"/>
      <c r="AC20" s="474"/>
    </row>
    <row r="21" spans="2:29" s="462" customFormat="1" ht="25.5" customHeight="1">
      <c r="B21" s="60"/>
      <c r="C21" s="200"/>
      <c r="D21" s="60"/>
      <c r="E21" s="60"/>
      <c r="F21" s="484"/>
      <c r="G21" s="478"/>
      <c r="H21" s="479"/>
      <c r="I21" s="478"/>
      <c r="J21" s="480"/>
      <c r="K21" s="611"/>
      <c r="L21" s="478"/>
      <c r="M21" s="481"/>
      <c r="N21" s="481"/>
      <c r="O21" s="478"/>
      <c r="P21" s="483"/>
      <c r="S21" s="446"/>
      <c r="T21" s="446"/>
      <c r="U21" s="446"/>
      <c r="V21" s="474"/>
      <c r="W21" s="474"/>
      <c r="X21" s="474"/>
      <c r="Y21" s="474"/>
      <c r="Z21" s="474"/>
      <c r="AA21" s="474"/>
      <c r="AB21" s="485"/>
      <c r="AC21" s="474"/>
    </row>
    <row r="22" spans="2:29" s="462" customFormat="1" ht="25.5" customHeight="1">
      <c r="B22" s="60"/>
      <c r="C22" s="200"/>
      <c r="D22" s="60"/>
      <c r="E22" s="60"/>
      <c r="F22" s="484"/>
      <c r="G22" s="478"/>
      <c r="H22" s="479"/>
      <c r="I22" s="478"/>
      <c r="J22" s="480"/>
      <c r="K22" s="611"/>
      <c r="L22" s="478"/>
      <c r="M22" s="481"/>
      <c r="N22" s="481"/>
      <c r="O22" s="478"/>
      <c r="P22" s="483"/>
      <c r="S22" s="446"/>
      <c r="T22" s="446"/>
      <c r="U22" s="446"/>
      <c r="V22" s="474"/>
      <c r="W22" s="474"/>
      <c r="X22" s="474"/>
      <c r="Y22" s="474"/>
      <c r="Z22" s="474"/>
      <c r="AA22" s="474"/>
      <c r="AB22" s="485"/>
      <c r="AC22" s="474"/>
    </row>
    <row r="23" spans="2:29" ht="31">
      <c r="B23" s="487" t="s">
        <v>492</v>
      </c>
      <c r="C23" s="488"/>
      <c r="D23" s="488"/>
      <c r="N23" s="489"/>
      <c r="P23" s="452"/>
      <c r="Q23" s="759"/>
    </row>
    <row r="24" spans="2:29" s="490" customFormat="1" ht="52">
      <c r="B24" s="74" t="s">
        <v>22</v>
      </c>
      <c r="C24" s="812" t="s">
        <v>493</v>
      </c>
      <c r="D24" s="142" t="s">
        <v>11</v>
      </c>
      <c r="E24" s="142" t="s">
        <v>12</v>
      </c>
      <c r="F24" s="142" t="s">
        <v>438</v>
      </c>
      <c r="G24" s="492" t="s">
        <v>30</v>
      </c>
      <c r="H24" s="492" t="s">
        <v>204</v>
      </c>
      <c r="I24" s="494" t="s">
        <v>32</v>
      </c>
      <c r="J24" s="494" t="s">
        <v>494</v>
      </c>
      <c r="K24" s="494" t="s">
        <v>495</v>
      </c>
      <c r="L24" s="491"/>
      <c r="M24" s="492" t="s">
        <v>33</v>
      </c>
      <c r="N24" s="492" t="s">
        <v>496</v>
      </c>
      <c r="P24" s="495"/>
      <c r="T24" s="496"/>
      <c r="U24" s="497"/>
      <c r="V24" s="497"/>
      <c r="W24" s="497"/>
      <c r="X24" s="496"/>
    </row>
    <row r="25" spans="2:29" s="474" customFormat="1" ht="25.5" customHeight="1">
      <c r="B25" s="80" t="s">
        <v>288</v>
      </c>
      <c r="C25" s="29" t="s">
        <v>497</v>
      </c>
      <c r="D25" s="33">
        <v>1</v>
      </c>
      <c r="E25" s="33">
        <v>1</v>
      </c>
      <c r="F25" s="33">
        <v>40</v>
      </c>
      <c r="G25" s="760">
        <f t="shared" ref="G25:G35" si="0">H25/720</f>
        <v>17.95</v>
      </c>
      <c r="H25" s="761">
        <f t="shared" ref="H25:H35" si="1">D25*IAAS_vcpu_sunet_b_m+E25*IAAS_ram_sunet_b_m+F25*IAAS_ssd_SUNET</f>
        <v>12924</v>
      </c>
      <c r="I25" s="500"/>
      <c r="J25" s="500"/>
      <c r="K25" s="500"/>
      <c r="L25" s="498" t="s">
        <v>335</v>
      </c>
      <c r="M25" s="762">
        <f t="shared" ref="M25:M35" si="2">ROUNDUP(I25*H25,2)</f>
        <v>0</v>
      </c>
      <c r="N25" s="762">
        <f t="shared" ref="N25:N35" si="3">J25*D25*SW_win.ser.201X_SEK+K25*D25*SW_ms.sql.ser_SEK</f>
        <v>0</v>
      </c>
      <c r="P25" s="502"/>
      <c r="Q25" s="763"/>
      <c r="S25" s="764"/>
      <c r="U25" s="765"/>
    </row>
    <row r="26" spans="2:29" s="474" customFormat="1" ht="25.5" customHeight="1">
      <c r="B26" s="86" t="s">
        <v>289</v>
      </c>
      <c r="C26" s="34" t="s">
        <v>497</v>
      </c>
      <c r="D26" s="48">
        <v>1</v>
      </c>
      <c r="E26" s="48">
        <v>2</v>
      </c>
      <c r="F26" s="48">
        <v>40</v>
      </c>
      <c r="G26" s="766">
        <f t="shared" si="0"/>
        <v>20.755555555555556</v>
      </c>
      <c r="H26" s="767">
        <f t="shared" si="1"/>
        <v>14944</v>
      </c>
      <c r="I26" s="500"/>
      <c r="J26" s="500"/>
      <c r="K26" s="500"/>
      <c r="L26" s="473" t="s">
        <v>335</v>
      </c>
      <c r="M26" s="768">
        <f t="shared" si="2"/>
        <v>0</v>
      </c>
      <c r="N26" s="768">
        <f t="shared" si="3"/>
        <v>0</v>
      </c>
      <c r="P26" s="502"/>
      <c r="Q26" s="763"/>
      <c r="S26" s="764"/>
      <c r="T26" s="765"/>
    </row>
    <row r="27" spans="2:29" s="474" customFormat="1" ht="25.5" customHeight="1">
      <c r="B27" s="80" t="s">
        <v>290</v>
      </c>
      <c r="C27" s="29" t="s">
        <v>497</v>
      </c>
      <c r="D27" s="33">
        <v>2</v>
      </c>
      <c r="E27" s="33">
        <v>4</v>
      </c>
      <c r="F27" s="33">
        <v>40</v>
      </c>
      <c r="G27" s="760">
        <f t="shared" si="0"/>
        <v>41.511111111111113</v>
      </c>
      <c r="H27" s="761">
        <f t="shared" si="1"/>
        <v>29888</v>
      </c>
      <c r="I27" s="500"/>
      <c r="J27" s="500"/>
      <c r="K27" s="500"/>
      <c r="L27" s="498" t="s">
        <v>335</v>
      </c>
      <c r="M27" s="762">
        <f t="shared" si="2"/>
        <v>0</v>
      </c>
      <c r="N27" s="762">
        <f t="shared" si="3"/>
        <v>0</v>
      </c>
      <c r="O27" s="505"/>
      <c r="P27" s="502"/>
      <c r="Q27" s="763"/>
      <c r="S27" s="764"/>
      <c r="T27" s="765"/>
    </row>
    <row r="28" spans="2:29" s="474" customFormat="1" ht="25.5" customHeight="1">
      <c r="B28" s="86" t="s">
        <v>291</v>
      </c>
      <c r="C28" s="34" t="s">
        <v>497</v>
      </c>
      <c r="D28" s="48">
        <v>4</v>
      </c>
      <c r="E28" s="48">
        <v>8</v>
      </c>
      <c r="F28" s="48">
        <v>40</v>
      </c>
      <c r="G28" s="766">
        <f t="shared" si="0"/>
        <v>83.022222222222226</v>
      </c>
      <c r="H28" s="767">
        <f t="shared" si="1"/>
        <v>59776</v>
      </c>
      <c r="I28" s="500"/>
      <c r="J28" s="500"/>
      <c r="K28" s="500"/>
      <c r="L28" s="473" t="s">
        <v>335</v>
      </c>
      <c r="M28" s="768">
        <f t="shared" si="2"/>
        <v>0</v>
      </c>
      <c r="N28" s="768">
        <f t="shared" si="3"/>
        <v>0</v>
      </c>
      <c r="P28" s="502"/>
      <c r="Q28" s="763"/>
      <c r="S28" s="764"/>
      <c r="T28" s="765"/>
    </row>
    <row r="29" spans="2:29" s="474" customFormat="1" ht="25.5" customHeight="1">
      <c r="B29" s="80" t="s">
        <v>292</v>
      </c>
      <c r="C29" s="29" t="s">
        <v>497</v>
      </c>
      <c r="D29" s="33">
        <v>8</v>
      </c>
      <c r="E29" s="33">
        <v>16</v>
      </c>
      <c r="F29" s="33">
        <v>40</v>
      </c>
      <c r="G29" s="760">
        <f t="shared" si="0"/>
        <v>166.04444444444445</v>
      </c>
      <c r="H29" s="761">
        <f t="shared" si="1"/>
        <v>119552</v>
      </c>
      <c r="I29" s="500"/>
      <c r="J29" s="500"/>
      <c r="K29" s="500"/>
      <c r="L29" s="498" t="s">
        <v>335</v>
      </c>
      <c r="M29" s="762">
        <f t="shared" si="2"/>
        <v>0</v>
      </c>
      <c r="N29" s="762">
        <f t="shared" si="3"/>
        <v>0</v>
      </c>
      <c r="P29" s="502"/>
      <c r="Q29" s="763"/>
      <c r="S29" s="764"/>
    </row>
    <row r="30" spans="2:29" s="474" customFormat="1" ht="25.5" customHeight="1">
      <c r="B30" s="86" t="s">
        <v>293</v>
      </c>
      <c r="C30" s="34" t="s">
        <v>497</v>
      </c>
      <c r="D30" s="48">
        <v>16</v>
      </c>
      <c r="E30" s="48">
        <v>32</v>
      </c>
      <c r="F30" s="48">
        <v>40</v>
      </c>
      <c r="G30" s="766">
        <f t="shared" si="0"/>
        <v>332.0888888888889</v>
      </c>
      <c r="H30" s="767">
        <f t="shared" si="1"/>
        <v>239104</v>
      </c>
      <c r="I30" s="500"/>
      <c r="J30" s="500"/>
      <c r="K30" s="500"/>
      <c r="L30" s="473" t="s">
        <v>335</v>
      </c>
      <c r="M30" s="768">
        <f t="shared" si="2"/>
        <v>0</v>
      </c>
      <c r="N30" s="768">
        <f t="shared" si="3"/>
        <v>0</v>
      </c>
      <c r="P30" s="502"/>
      <c r="Q30" s="763"/>
      <c r="S30" s="764"/>
    </row>
    <row r="31" spans="2:29" s="474" customFormat="1" ht="25.5" customHeight="1">
      <c r="B31" s="80" t="s">
        <v>294</v>
      </c>
      <c r="C31" s="29" t="s">
        <v>497</v>
      </c>
      <c r="D31" s="33">
        <v>1</v>
      </c>
      <c r="E31" s="33">
        <v>4</v>
      </c>
      <c r="F31" s="33">
        <v>40</v>
      </c>
      <c r="G31" s="760">
        <f t="shared" si="0"/>
        <v>26.366666666666667</v>
      </c>
      <c r="H31" s="761">
        <f t="shared" si="1"/>
        <v>18984</v>
      </c>
      <c r="I31" s="500"/>
      <c r="J31" s="500"/>
      <c r="K31" s="500"/>
      <c r="L31" s="498" t="s">
        <v>335</v>
      </c>
      <c r="M31" s="762">
        <f t="shared" si="2"/>
        <v>0</v>
      </c>
      <c r="N31" s="762">
        <f t="shared" si="3"/>
        <v>0</v>
      </c>
      <c r="P31" s="502"/>
      <c r="Q31" s="763"/>
    </row>
    <row r="32" spans="2:29" s="474" customFormat="1" ht="25.5" customHeight="1">
      <c r="B32" s="86" t="s">
        <v>295</v>
      </c>
      <c r="C32" s="34" t="s">
        <v>497</v>
      </c>
      <c r="D32" s="48">
        <v>2</v>
      </c>
      <c r="E32" s="48">
        <v>8</v>
      </c>
      <c r="F32" s="48">
        <v>40</v>
      </c>
      <c r="G32" s="766">
        <f t="shared" si="0"/>
        <v>52.733333333333334</v>
      </c>
      <c r="H32" s="767">
        <f t="shared" si="1"/>
        <v>37968</v>
      </c>
      <c r="I32" s="500"/>
      <c r="J32" s="500"/>
      <c r="K32" s="500"/>
      <c r="L32" s="473" t="s">
        <v>335</v>
      </c>
      <c r="M32" s="768">
        <f t="shared" si="2"/>
        <v>0</v>
      </c>
      <c r="N32" s="768">
        <f t="shared" si="3"/>
        <v>0</v>
      </c>
      <c r="P32" s="502"/>
      <c r="Q32" s="763"/>
    </row>
    <row r="33" spans="2:23" s="474" customFormat="1" ht="25.5" customHeight="1">
      <c r="B33" s="80" t="s">
        <v>296</v>
      </c>
      <c r="C33" s="29" t="s">
        <v>497</v>
      </c>
      <c r="D33" s="33">
        <v>4</v>
      </c>
      <c r="E33" s="33">
        <v>16</v>
      </c>
      <c r="F33" s="33">
        <v>40</v>
      </c>
      <c r="G33" s="760">
        <f t="shared" si="0"/>
        <v>105.46666666666667</v>
      </c>
      <c r="H33" s="761">
        <f t="shared" si="1"/>
        <v>75936</v>
      </c>
      <c r="I33" s="500"/>
      <c r="J33" s="500"/>
      <c r="K33" s="500"/>
      <c r="L33" s="498" t="s">
        <v>335</v>
      </c>
      <c r="M33" s="762">
        <f t="shared" si="2"/>
        <v>0</v>
      </c>
      <c r="N33" s="762">
        <f t="shared" si="3"/>
        <v>0</v>
      </c>
      <c r="P33" s="502"/>
      <c r="Q33" s="763"/>
    </row>
    <row r="34" spans="2:23" s="474" customFormat="1" ht="25.5" customHeight="1">
      <c r="B34" s="86" t="s">
        <v>297</v>
      </c>
      <c r="C34" s="34" t="s">
        <v>497</v>
      </c>
      <c r="D34" s="48">
        <v>8</v>
      </c>
      <c r="E34" s="48">
        <v>32</v>
      </c>
      <c r="F34" s="48">
        <v>40</v>
      </c>
      <c r="G34" s="766">
        <f t="shared" si="0"/>
        <v>210.93333333333334</v>
      </c>
      <c r="H34" s="767">
        <f t="shared" si="1"/>
        <v>151872</v>
      </c>
      <c r="I34" s="500"/>
      <c r="J34" s="500"/>
      <c r="K34" s="500"/>
      <c r="L34" s="473" t="s">
        <v>335</v>
      </c>
      <c r="M34" s="768">
        <f t="shared" si="2"/>
        <v>0</v>
      </c>
      <c r="N34" s="768">
        <f t="shared" si="3"/>
        <v>0</v>
      </c>
      <c r="P34" s="502"/>
      <c r="Q34" s="763"/>
      <c r="U34" s="485"/>
      <c r="V34" s="485"/>
      <c r="W34" s="485"/>
    </row>
    <row r="35" spans="2:23" s="474" customFormat="1" ht="25.5" customHeight="1">
      <c r="B35" s="80" t="s">
        <v>298</v>
      </c>
      <c r="C35" s="29" t="s">
        <v>497</v>
      </c>
      <c r="D35" s="33">
        <v>16</v>
      </c>
      <c r="E35" s="33">
        <v>65</v>
      </c>
      <c r="F35" s="33">
        <v>40</v>
      </c>
      <c r="G35" s="760">
        <f t="shared" si="0"/>
        <v>424.67222222222222</v>
      </c>
      <c r="H35" s="761">
        <f t="shared" si="1"/>
        <v>305764</v>
      </c>
      <c r="I35" s="500"/>
      <c r="J35" s="500"/>
      <c r="K35" s="500"/>
      <c r="L35" s="498" t="s">
        <v>335</v>
      </c>
      <c r="M35" s="762">
        <f t="shared" si="2"/>
        <v>0</v>
      </c>
      <c r="N35" s="762">
        <f t="shared" si="3"/>
        <v>0</v>
      </c>
      <c r="P35" s="502"/>
      <c r="U35" s="485"/>
      <c r="V35" s="485"/>
      <c r="W35" s="485"/>
    </row>
    <row r="36" spans="2:23" ht="25.5" customHeight="1">
      <c r="B36" s="506" t="s">
        <v>59</v>
      </c>
      <c r="C36" s="813"/>
      <c r="D36" s="552"/>
      <c r="E36" s="552"/>
      <c r="F36" s="553"/>
      <c r="G36" s="554"/>
      <c r="H36" s="555"/>
      <c r="I36" s="597" t="str">
        <f>SUM(I25:I35)&amp;" st"</f>
        <v>0 st</v>
      </c>
      <c r="J36" s="597" t="str">
        <f>SUM(J25:J35)&amp;" st"</f>
        <v>0 st</v>
      </c>
      <c r="K36" s="597" t="str">
        <f>SUM(K25:K35)&amp;" st"</f>
        <v>0 st</v>
      </c>
      <c r="L36" s="531"/>
      <c r="M36" s="770">
        <f>SUM(M25:M35)</f>
        <v>0</v>
      </c>
      <c r="N36" s="779">
        <f>SUM(N25:N35)</f>
        <v>0</v>
      </c>
      <c r="P36" s="452"/>
      <c r="U36" s="485"/>
      <c r="V36" s="485"/>
      <c r="W36" s="509"/>
    </row>
    <row r="37" spans="2:23" ht="25.5" customHeight="1">
      <c r="B37" s="99"/>
      <c r="C37" s="814"/>
      <c r="D37" s="139"/>
      <c r="E37" s="139"/>
      <c r="F37" s="510"/>
      <c r="G37" s="511"/>
      <c r="H37" s="512"/>
      <c r="I37" s="513"/>
      <c r="J37" s="513"/>
      <c r="K37" s="513"/>
      <c r="L37" s="514"/>
      <c r="M37" s="513"/>
      <c r="N37" s="557"/>
      <c r="P37" s="452"/>
      <c r="U37" s="485"/>
      <c r="V37" s="485"/>
      <c r="W37" s="509"/>
    </row>
    <row r="38" spans="2:23" ht="25.5" customHeight="1">
      <c r="B38" s="99"/>
      <c r="C38" s="814"/>
      <c r="D38" s="139"/>
      <c r="E38" s="139"/>
      <c r="F38" s="510"/>
      <c r="G38" s="511"/>
      <c r="H38" s="512"/>
      <c r="I38" s="513"/>
      <c r="J38" s="513"/>
      <c r="K38" s="513"/>
      <c r="L38" s="514"/>
      <c r="M38" s="513"/>
      <c r="N38" s="557"/>
      <c r="P38" s="452"/>
      <c r="U38" s="485"/>
      <c r="V38" s="485"/>
      <c r="W38" s="509"/>
    </row>
    <row r="39" spans="2:23" s="515" customFormat="1" ht="31">
      <c r="B39" s="214" t="s">
        <v>440</v>
      </c>
      <c r="C39" s="65"/>
      <c r="D39" s="65"/>
      <c r="E39" s="65"/>
      <c r="F39" s="516"/>
      <c r="G39" s="516"/>
      <c r="H39" s="517"/>
      <c r="I39" s="518"/>
      <c r="J39" s="518"/>
      <c r="K39" s="518"/>
      <c r="L39" s="518"/>
      <c r="M39" s="519"/>
      <c r="N39" s="519"/>
      <c r="P39" s="520"/>
      <c r="U39" s="521"/>
      <c r="V39" s="521"/>
      <c r="W39" s="522"/>
    </row>
    <row r="40" spans="2:23" s="523" customFormat="1" ht="52">
      <c r="B40" s="74" t="s">
        <v>22</v>
      </c>
      <c r="C40" s="812" t="s">
        <v>493</v>
      </c>
      <c r="D40" s="142" t="s">
        <v>11</v>
      </c>
      <c r="E40" s="142" t="s">
        <v>12</v>
      </c>
      <c r="F40" s="142" t="s">
        <v>438</v>
      </c>
      <c r="G40" s="492" t="s">
        <v>30</v>
      </c>
      <c r="H40" s="492" t="s">
        <v>204</v>
      </c>
      <c r="I40" s="494" t="s">
        <v>32</v>
      </c>
      <c r="J40" s="494" t="s">
        <v>494</v>
      </c>
      <c r="K40" s="494" t="s">
        <v>495</v>
      </c>
      <c r="L40" s="491"/>
      <c r="M40" s="492" t="s">
        <v>33</v>
      </c>
      <c r="N40" s="492" t="s">
        <v>496</v>
      </c>
      <c r="P40" s="452"/>
      <c r="Q40" s="446"/>
      <c r="R40" s="446"/>
      <c r="S40" s="446"/>
      <c r="T40" s="446"/>
      <c r="U40" s="485"/>
      <c r="V40" s="485"/>
      <c r="W40" s="509"/>
    </row>
    <row r="41" spans="2:23" s="474" customFormat="1" ht="25.5" customHeight="1">
      <c r="B41" s="80" t="s">
        <v>302</v>
      </c>
      <c r="C41" s="179" t="s">
        <v>497</v>
      </c>
      <c r="D41" s="145">
        <v>1</v>
      </c>
      <c r="E41" s="145">
        <v>1</v>
      </c>
      <c r="F41" s="524">
        <v>10</v>
      </c>
      <c r="G41" s="771">
        <f t="shared" ref="G41:G59" si="4">H41/720</f>
        <v>0.2013888888888889</v>
      </c>
      <c r="H41" s="772">
        <f t="shared" ref="H41:H59" si="5">D41*IAAS_vcpu_SUNET+E41*IAAS_ram_SUNET+F41*IAAS_nvme_SUNET</f>
        <v>145</v>
      </c>
      <c r="I41" s="500"/>
      <c r="J41" s="500"/>
      <c r="K41" s="500"/>
      <c r="L41" s="498" t="s">
        <v>335</v>
      </c>
      <c r="M41" s="762">
        <f t="shared" ref="M41:M59" si="6">ROUNDUP(I41*H41,2)</f>
        <v>0</v>
      </c>
      <c r="N41" s="762">
        <f t="shared" ref="N41:N59" si="7">J41*D41*SW_win.ser.201X_SEK+K41*D41*SW_ms.sql.ser_SEK</f>
        <v>0</v>
      </c>
      <c r="P41" s="502"/>
      <c r="U41" s="485"/>
      <c r="W41" s="485"/>
    </row>
    <row r="42" spans="2:23" s="474" customFormat="1" ht="25.5" customHeight="1">
      <c r="B42" s="86" t="s">
        <v>305</v>
      </c>
      <c r="C42" s="50" t="s">
        <v>497</v>
      </c>
      <c r="D42" s="149">
        <v>4</v>
      </c>
      <c r="E42" s="149">
        <v>8</v>
      </c>
      <c r="F42" s="161">
        <v>250</v>
      </c>
      <c r="G42" s="773">
        <f t="shared" si="4"/>
        <v>1.4027777777777777</v>
      </c>
      <c r="H42" s="774">
        <f t="shared" si="5"/>
        <v>1010</v>
      </c>
      <c r="I42" s="500"/>
      <c r="J42" s="500"/>
      <c r="K42" s="500"/>
      <c r="L42" s="473" t="s">
        <v>335</v>
      </c>
      <c r="M42" s="768">
        <f t="shared" si="6"/>
        <v>0</v>
      </c>
      <c r="N42" s="768">
        <f t="shared" si="7"/>
        <v>0</v>
      </c>
      <c r="P42" s="502"/>
      <c r="U42" s="485"/>
      <c r="W42" s="485"/>
    </row>
    <row r="43" spans="2:23" s="474" customFormat="1" ht="25.5" customHeight="1">
      <c r="B43" s="80" t="s">
        <v>306</v>
      </c>
      <c r="C43" s="179" t="s">
        <v>497</v>
      </c>
      <c r="D43" s="145">
        <v>8</v>
      </c>
      <c r="E43" s="145">
        <v>16</v>
      </c>
      <c r="F43" s="524">
        <v>250</v>
      </c>
      <c r="G43" s="771">
        <f t="shared" si="4"/>
        <v>2.4583333333333335</v>
      </c>
      <c r="H43" s="772">
        <f t="shared" si="5"/>
        <v>1770</v>
      </c>
      <c r="I43" s="500"/>
      <c r="J43" s="500"/>
      <c r="K43" s="500"/>
      <c r="L43" s="498" t="s">
        <v>335</v>
      </c>
      <c r="M43" s="762">
        <f t="shared" si="6"/>
        <v>0</v>
      </c>
      <c r="N43" s="762">
        <f t="shared" si="7"/>
        <v>0</v>
      </c>
      <c r="P43" s="502"/>
      <c r="U43" s="485"/>
      <c r="W43" s="485"/>
    </row>
    <row r="44" spans="2:23" s="474" customFormat="1" ht="25.5" customHeight="1">
      <c r="B44" s="86" t="s">
        <v>307</v>
      </c>
      <c r="C44" s="50" t="s">
        <v>497</v>
      </c>
      <c r="D44" s="149">
        <v>16</v>
      </c>
      <c r="E44" s="149">
        <v>32</v>
      </c>
      <c r="F44" s="161">
        <v>250</v>
      </c>
      <c r="G44" s="773">
        <f t="shared" si="4"/>
        <v>4.5694444444444446</v>
      </c>
      <c r="H44" s="774">
        <f t="shared" si="5"/>
        <v>3290</v>
      </c>
      <c r="I44" s="500"/>
      <c r="J44" s="500"/>
      <c r="K44" s="500"/>
      <c r="L44" s="473" t="s">
        <v>335</v>
      </c>
      <c r="M44" s="768">
        <f t="shared" si="6"/>
        <v>0</v>
      </c>
      <c r="N44" s="768">
        <f t="shared" si="7"/>
        <v>0</v>
      </c>
      <c r="P44" s="502"/>
      <c r="U44" s="485"/>
      <c r="W44" s="485"/>
    </row>
    <row r="45" spans="2:23" s="474" customFormat="1" ht="25.5" customHeight="1">
      <c r="B45" s="80" t="s">
        <v>308</v>
      </c>
      <c r="C45" s="179" t="s">
        <v>497</v>
      </c>
      <c r="D45" s="145">
        <v>16</v>
      </c>
      <c r="E45" s="145">
        <v>32</v>
      </c>
      <c r="F45" s="524">
        <v>500</v>
      </c>
      <c r="G45" s="773">
        <f t="shared" si="4"/>
        <v>4.916666666666667</v>
      </c>
      <c r="H45" s="772">
        <f t="shared" si="5"/>
        <v>3540</v>
      </c>
      <c r="I45" s="500"/>
      <c r="J45" s="500"/>
      <c r="K45" s="500"/>
      <c r="L45" s="498" t="s">
        <v>335</v>
      </c>
      <c r="M45" s="762">
        <f t="shared" si="6"/>
        <v>0</v>
      </c>
      <c r="N45" s="762">
        <f t="shared" si="7"/>
        <v>0</v>
      </c>
      <c r="P45" s="502"/>
      <c r="U45" s="485"/>
      <c r="W45" s="485"/>
    </row>
    <row r="46" spans="2:23" s="474" customFormat="1" ht="25.5" customHeight="1">
      <c r="B46" s="86" t="s">
        <v>309</v>
      </c>
      <c r="C46" s="50" t="s">
        <v>497</v>
      </c>
      <c r="D46" s="149">
        <v>16</v>
      </c>
      <c r="E46" s="149">
        <v>32</v>
      </c>
      <c r="F46" s="161">
        <v>1000</v>
      </c>
      <c r="G46" s="773">
        <f t="shared" si="4"/>
        <v>5.6111111111111107</v>
      </c>
      <c r="H46" s="774">
        <f t="shared" si="5"/>
        <v>4040</v>
      </c>
      <c r="I46" s="500"/>
      <c r="J46" s="500"/>
      <c r="K46" s="500"/>
      <c r="L46" s="473" t="s">
        <v>335</v>
      </c>
      <c r="M46" s="768">
        <f t="shared" si="6"/>
        <v>0</v>
      </c>
      <c r="N46" s="768">
        <f t="shared" si="7"/>
        <v>0</v>
      </c>
      <c r="P46" s="502"/>
      <c r="U46" s="485"/>
      <c r="W46" s="485"/>
    </row>
    <row r="47" spans="2:23" s="474" customFormat="1" ht="25.5" customHeight="1">
      <c r="B47" s="80" t="s">
        <v>310</v>
      </c>
      <c r="C47" s="179" t="s">
        <v>497</v>
      </c>
      <c r="D47" s="145">
        <v>32</v>
      </c>
      <c r="E47" s="145">
        <v>65</v>
      </c>
      <c r="F47" s="524">
        <v>250</v>
      </c>
      <c r="G47" s="771">
        <f t="shared" si="4"/>
        <v>8.8680555555555554</v>
      </c>
      <c r="H47" s="772">
        <f t="shared" si="5"/>
        <v>6385</v>
      </c>
      <c r="I47" s="500"/>
      <c r="J47" s="500"/>
      <c r="K47" s="500"/>
      <c r="L47" s="498" t="s">
        <v>335</v>
      </c>
      <c r="M47" s="762">
        <f t="shared" si="6"/>
        <v>0</v>
      </c>
      <c r="N47" s="762">
        <f t="shared" si="7"/>
        <v>0</v>
      </c>
      <c r="P47" s="502"/>
      <c r="U47" s="485"/>
      <c r="W47" s="485"/>
    </row>
    <row r="48" spans="2:23" s="474" customFormat="1" ht="25.5" customHeight="1">
      <c r="B48" s="86" t="s">
        <v>311</v>
      </c>
      <c r="C48" s="50" t="s">
        <v>497</v>
      </c>
      <c r="D48" s="149">
        <v>32</v>
      </c>
      <c r="E48" s="149">
        <v>65</v>
      </c>
      <c r="F48" s="161">
        <v>500</v>
      </c>
      <c r="G48" s="773">
        <f t="shared" si="4"/>
        <v>9.2152777777777786</v>
      </c>
      <c r="H48" s="774">
        <f t="shared" si="5"/>
        <v>6635</v>
      </c>
      <c r="I48" s="500"/>
      <c r="J48" s="500"/>
      <c r="K48" s="500"/>
      <c r="L48" s="473" t="s">
        <v>335</v>
      </c>
      <c r="M48" s="768">
        <f t="shared" si="6"/>
        <v>0</v>
      </c>
      <c r="N48" s="768">
        <f t="shared" si="7"/>
        <v>0</v>
      </c>
      <c r="P48" s="502"/>
      <c r="U48" s="485"/>
      <c r="W48" s="485"/>
    </row>
    <row r="49" spans="2:24" s="474" customFormat="1" ht="25.5" customHeight="1">
      <c r="B49" s="80" t="s">
        <v>312</v>
      </c>
      <c r="C49" s="179" t="s">
        <v>497</v>
      </c>
      <c r="D49" s="145">
        <v>32</v>
      </c>
      <c r="E49" s="145">
        <v>65</v>
      </c>
      <c r="F49" s="524">
        <v>1000</v>
      </c>
      <c r="G49" s="771">
        <f t="shared" si="4"/>
        <v>9.9097222222222214</v>
      </c>
      <c r="H49" s="772">
        <f t="shared" si="5"/>
        <v>7135</v>
      </c>
      <c r="I49" s="500"/>
      <c r="J49" s="500"/>
      <c r="K49" s="500"/>
      <c r="L49" s="498" t="s">
        <v>335</v>
      </c>
      <c r="M49" s="762">
        <f t="shared" si="6"/>
        <v>0</v>
      </c>
      <c r="N49" s="762">
        <f t="shared" si="7"/>
        <v>0</v>
      </c>
      <c r="P49" s="502"/>
      <c r="U49" s="485"/>
      <c r="W49" s="485"/>
    </row>
    <row r="50" spans="2:24" s="474" customFormat="1" ht="25.5" customHeight="1">
      <c r="B50" s="86" t="s">
        <v>315</v>
      </c>
      <c r="C50" s="50" t="s">
        <v>497</v>
      </c>
      <c r="D50" s="149">
        <v>4</v>
      </c>
      <c r="E50" s="149">
        <v>16</v>
      </c>
      <c r="F50" s="161">
        <v>250</v>
      </c>
      <c r="G50" s="773">
        <f t="shared" si="4"/>
        <v>2.0138888888888888</v>
      </c>
      <c r="H50" s="774">
        <f t="shared" si="5"/>
        <v>1450</v>
      </c>
      <c r="I50" s="500"/>
      <c r="J50" s="500"/>
      <c r="K50" s="500"/>
      <c r="L50" s="473" t="s">
        <v>335</v>
      </c>
      <c r="M50" s="768">
        <f t="shared" si="6"/>
        <v>0</v>
      </c>
      <c r="N50" s="768">
        <f t="shared" si="7"/>
        <v>0</v>
      </c>
      <c r="P50" s="502"/>
      <c r="U50" s="485"/>
      <c r="W50" s="485"/>
    </row>
    <row r="51" spans="2:24" s="474" customFormat="1" ht="25.5" customHeight="1">
      <c r="B51" s="80" t="s">
        <v>316</v>
      </c>
      <c r="C51" s="179" t="s">
        <v>497</v>
      </c>
      <c r="D51" s="145">
        <v>8</v>
      </c>
      <c r="E51" s="145">
        <v>32</v>
      </c>
      <c r="F51" s="524">
        <v>250</v>
      </c>
      <c r="G51" s="771">
        <f t="shared" si="4"/>
        <v>3.6805555555555554</v>
      </c>
      <c r="H51" s="772">
        <f t="shared" si="5"/>
        <v>2650</v>
      </c>
      <c r="I51" s="500"/>
      <c r="J51" s="500"/>
      <c r="K51" s="500"/>
      <c r="L51" s="498" t="s">
        <v>335</v>
      </c>
      <c r="M51" s="762">
        <f t="shared" si="6"/>
        <v>0</v>
      </c>
      <c r="N51" s="762">
        <f t="shared" si="7"/>
        <v>0</v>
      </c>
      <c r="P51" s="502"/>
      <c r="U51" s="485"/>
      <c r="W51" s="485"/>
    </row>
    <row r="52" spans="2:24" s="474" customFormat="1" ht="25.5" customHeight="1">
      <c r="B52" s="86" t="s">
        <v>317</v>
      </c>
      <c r="C52" s="50" t="s">
        <v>497</v>
      </c>
      <c r="D52" s="149">
        <v>8</v>
      </c>
      <c r="E52" s="149">
        <v>32</v>
      </c>
      <c r="F52" s="161">
        <v>500</v>
      </c>
      <c r="G52" s="773">
        <f t="shared" si="4"/>
        <v>4.0277777777777777</v>
      </c>
      <c r="H52" s="774">
        <f t="shared" si="5"/>
        <v>2900</v>
      </c>
      <c r="I52" s="500"/>
      <c r="J52" s="500"/>
      <c r="K52" s="500"/>
      <c r="L52" s="473" t="s">
        <v>335</v>
      </c>
      <c r="M52" s="768">
        <f t="shared" si="6"/>
        <v>0</v>
      </c>
      <c r="N52" s="768">
        <f t="shared" si="7"/>
        <v>0</v>
      </c>
      <c r="P52" s="502"/>
      <c r="U52" s="485"/>
      <c r="W52" s="485"/>
    </row>
    <row r="53" spans="2:24" s="474" customFormat="1" ht="25.5" customHeight="1">
      <c r="B53" s="80" t="s">
        <v>318</v>
      </c>
      <c r="C53" s="179" t="s">
        <v>497</v>
      </c>
      <c r="D53" s="145">
        <v>8</v>
      </c>
      <c r="E53" s="145">
        <v>32</v>
      </c>
      <c r="F53" s="524">
        <v>1000</v>
      </c>
      <c r="G53" s="771">
        <f t="shared" si="4"/>
        <v>4.7222222222222223</v>
      </c>
      <c r="H53" s="772">
        <f t="shared" si="5"/>
        <v>3400</v>
      </c>
      <c r="I53" s="500"/>
      <c r="J53" s="500"/>
      <c r="K53" s="500"/>
      <c r="L53" s="498" t="s">
        <v>335</v>
      </c>
      <c r="M53" s="762">
        <f t="shared" si="6"/>
        <v>0</v>
      </c>
      <c r="N53" s="762">
        <f t="shared" si="7"/>
        <v>0</v>
      </c>
      <c r="P53" s="502"/>
      <c r="U53" s="485"/>
      <c r="W53" s="485"/>
    </row>
    <row r="54" spans="2:24" s="474" customFormat="1" ht="25.5" customHeight="1">
      <c r="B54" s="86" t="s">
        <v>319</v>
      </c>
      <c r="C54" s="50" t="s">
        <v>497</v>
      </c>
      <c r="D54" s="149">
        <v>16</v>
      </c>
      <c r="E54" s="149">
        <v>65</v>
      </c>
      <c r="F54" s="161">
        <v>250</v>
      </c>
      <c r="G54" s="773">
        <f t="shared" si="4"/>
        <v>7.0902777777777777</v>
      </c>
      <c r="H54" s="774">
        <f t="shared" si="5"/>
        <v>5105</v>
      </c>
      <c r="I54" s="500"/>
      <c r="J54" s="500"/>
      <c r="K54" s="500"/>
      <c r="L54" s="473" t="s">
        <v>335</v>
      </c>
      <c r="M54" s="768">
        <f t="shared" si="6"/>
        <v>0</v>
      </c>
      <c r="N54" s="768">
        <f t="shared" si="7"/>
        <v>0</v>
      </c>
      <c r="P54" s="502"/>
      <c r="U54" s="485"/>
      <c r="W54" s="485"/>
    </row>
    <row r="55" spans="2:24" s="474" customFormat="1" ht="25.5" customHeight="1">
      <c r="B55" s="80" t="s">
        <v>320</v>
      </c>
      <c r="C55" s="179" t="s">
        <v>497</v>
      </c>
      <c r="D55" s="145">
        <v>16</v>
      </c>
      <c r="E55" s="145">
        <v>65</v>
      </c>
      <c r="F55" s="524">
        <v>500</v>
      </c>
      <c r="G55" s="771">
        <f t="shared" si="4"/>
        <v>7.4375</v>
      </c>
      <c r="H55" s="772">
        <f t="shared" si="5"/>
        <v>5355</v>
      </c>
      <c r="I55" s="500"/>
      <c r="J55" s="500"/>
      <c r="K55" s="500"/>
      <c r="L55" s="498" t="s">
        <v>335</v>
      </c>
      <c r="M55" s="762">
        <f t="shared" si="6"/>
        <v>0</v>
      </c>
      <c r="N55" s="762">
        <f t="shared" si="7"/>
        <v>0</v>
      </c>
      <c r="P55" s="502"/>
      <c r="U55" s="485"/>
      <c r="W55" s="485"/>
    </row>
    <row r="56" spans="2:24" s="474" customFormat="1" ht="25.5" customHeight="1">
      <c r="B56" s="86" t="s">
        <v>321</v>
      </c>
      <c r="C56" s="50" t="s">
        <v>497</v>
      </c>
      <c r="D56" s="149">
        <v>16</v>
      </c>
      <c r="E56" s="149">
        <v>65</v>
      </c>
      <c r="F56" s="161">
        <v>1000</v>
      </c>
      <c r="G56" s="773">
        <f t="shared" si="4"/>
        <v>8.1319444444444446</v>
      </c>
      <c r="H56" s="774">
        <f t="shared" si="5"/>
        <v>5855</v>
      </c>
      <c r="I56" s="500"/>
      <c r="J56" s="500"/>
      <c r="K56" s="500"/>
      <c r="L56" s="473" t="s">
        <v>335</v>
      </c>
      <c r="M56" s="768">
        <f t="shared" si="6"/>
        <v>0</v>
      </c>
      <c r="N56" s="768">
        <f t="shared" si="7"/>
        <v>0</v>
      </c>
      <c r="P56" s="502"/>
      <c r="U56" s="485"/>
      <c r="W56" s="485"/>
    </row>
    <row r="57" spans="2:24" s="474" customFormat="1" ht="25.5" customHeight="1">
      <c r="B57" s="80" t="s">
        <v>322</v>
      </c>
      <c r="C57" s="179" t="s">
        <v>497</v>
      </c>
      <c r="D57" s="145">
        <v>32</v>
      </c>
      <c r="E57" s="145">
        <v>131</v>
      </c>
      <c r="F57" s="524">
        <v>250</v>
      </c>
      <c r="G57" s="771">
        <f t="shared" si="4"/>
        <v>13.909722222222221</v>
      </c>
      <c r="H57" s="772">
        <f t="shared" si="5"/>
        <v>10015</v>
      </c>
      <c r="I57" s="500"/>
      <c r="J57" s="500"/>
      <c r="K57" s="500"/>
      <c r="L57" s="498" t="s">
        <v>335</v>
      </c>
      <c r="M57" s="762">
        <f t="shared" si="6"/>
        <v>0</v>
      </c>
      <c r="N57" s="762">
        <f t="shared" si="7"/>
        <v>0</v>
      </c>
      <c r="P57" s="502"/>
      <c r="U57" s="485"/>
      <c r="W57" s="485"/>
    </row>
    <row r="58" spans="2:24" s="474" customFormat="1" ht="25.5" customHeight="1">
      <c r="B58" s="86" t="s">
        <v>323</v>
      </c>
      <c r="C58" s="50" t="s">
        <v>497</v>
      </c>
      <c r="D58" s="149">
        <v>32</v>
      </c>
      <c r="E58" s="149">
        <v>131</v>
      </c>
      <c r="F58" s="161">
        <v>500</v>
      </c>
      <c r="G58" s="773">
        <f t="shared" si="4"/>
        <v>14.256944444444445</v>
      </c>
      <c r="H58" s="774">
        <f t="shared" si="5"/>
        <v>10265</v>
      </c>
      <c r="I58" s="500"/>
      <c r="J58" s="500"/>
      <c r="K58" s="500"/>
      <c r="L58" s="473" t="s">
        <v>335</v>
      </c>
      <c r="M58" s="768">
        <f t="shared" si="6"/>
        <v>0</v>
      </c>
      <c r="N58" s="768">
        <f t="shared" si="7"/>
        <v>0</v>
      </c>
      <c r="P58" s="502"/>
      <c r="U58" s="485"/>
      <c r="W58" s="485"/>
    </row>
    <row r="59" spans="2:24" s="474" customFormat="1" ht="25.5" customHeight="1">
      <c r="B59" s="80" t="s">
        <v>324</v>
      </c>
      <c r="C59" s="179" t="s">
        <v>497</v>
      </c>
      <c r="D59" s="145">
        <v>32</v>
      </c>
      <c r="E59" s="145">
        <v>131</v>
      </c>
      <c r="F59" s="524">
        <v>1000</v>
      </c>
      <c r="G59" s="771">
        <f t="shared" si="4"/>
        <v>14.951388888888889</v>
      </c>
      <c r="H59" s="772">
        <f t="shared" si="5"/>
        <v>10765</v>
      </c>
      <c r="I59" s="500"/>
      <c r="J59" s="500"/>
      <c r="K59" s="500"/>
      <c r="L59" s="498" t="s">
        <v>335</v>
      </c>
      <c r="M59" s="762">
        <f t="shared" si="6"/>
        <v>0</v>
      </c>
      <c r="N59" s="762">
        <f t="shared" si="7"/>
        <v>0</v>
      </c>
      <c r="P59" s="502"/>
      <c r="U59" s="485"/>
      <c r="W59" s="485"/>
    </row>
    <row r="60" spans="2:24" s="474" customFormat="1" ht="25.5" customHeight="1">
      <c r="B60" s="506" t="s">
        <v>59</v>
      </c>
      <c r="C60" s="813"/>
      <c r="D60" s="552"/>
      <c r="E60" s="552"/>
      <c r="F60" s="552"/>
      <c r="G60" s="554"/>
      <c r="H60" s="555"/>
      <c r="I60" s="529" t="str">
        <f>SUM(I41:I59)&amp;" st"</f>
        <v>0 st</v>
      </c>
      <c r="J60" s="529" t="str">
        <f>SUM(J41:J59)&amp;" st"</f>
        <v>0 st</v>
      </c>
      <c r="K60" s="529" t="str">
        <f>SUM(K41:K59)&amp;" st"</f>
        <v>0 st</v>
      </c>
      <c r="L60" s="531"/>
      <c r="M60" s="770">
        <f>SUM(M41:M59)</f>
        <v>0</v>
      </c>
      <c r="N60" s="779">
        <f>SUM(N41:N59)</f>
        <v>0</v>
      </c>
      <c r="P60" s="502"/>
      <c r="U60" s="485"/>
      <c r="W60" s="485"/>
    </row>
    <row r="61" spans="2:24" ht="25.5" customHeight="1">
      <c r="B61" s="108"/>
      <c r="C61" s="815"/>
      <c r="D61" s="109"/>
      <c r="E61" s="109"/>
      <c r="F61" s="533"/>
      <c r="G61" s="534"/>
      <c r="H61" s="535"/>
      <c r="I61" s="535"/>
      <c r="J61" s="535"/>
      <c r="K61" s="535"/>
      <c r="L61" s="533"/>
      <c r="M61" s="536"/>
      <c r="N61" s="536"/>
      <c r="P61" s="452"/>
      <c r="Q61" s="474"/>
      <c r="U61" s="485"/>
      <c r="V61" s="485"/>
      <c r="W61" s="509"/>
    </row>
    <row r="62" spans="2:24" ht="25.5" customHeight="1">
      <c r="B62" s="108"/>
      <c r="C62" s="815"/>
      <c r="D62" s="109"/>
      <c r="E62" s="109"/>
      <c r="F62" s="533"/>
      <c r="G62" s="534"/>
      <c r="H62" s="535"/>
      <c r="I62" s="535"/>
      <c r="J62" s="535"/>
      <c r="K62" s="535"/>
      <c r="L62" s="533"/>
      <c r="M62" s="536"/>
      <c r="N62" s="536"/>
      <c r="P62" s="452"/>
      <c r="Q62" s="474"/>
      <c r="U62" s="485"/>
      <c r="V62" s="485"/>
      <c r="W62" s="509"/>
    </row>
    <row r="63" spans="2:24" ht="25.5" customHeight="1">
      <c r="B63" s="538" t="s">
        <v>498</v>
      </c>
      <c r="C63" s="539"/>
      <c r="D63" s="539"/>
      <c r="E63" s="539"/>
      <c r="F63" s="539"/>
      <c r="G63" s="539"/>
      <c r="H63" s="540"/>
      <c r="I63" s="447"/>
      <c r="J63" s="447"/>
      <c r="L63" s="447"/>
      <c r="M63" s="541"/>
      <c r="N63" s="541"/>
      <c r="P63" s="452"/>
      <c r="U63" s="485"/>
      <c r="V63" s="485"/>
      <c r="W63" s="509"/>
    </row>
    <row r="64" spans="2:24" s="543" customFormat="1" ht="52">
      <c r="B64" s="74" t="s">
        <v>22</v>
      </c>
      <c r="C64" s="812" t="s">
        <v>493</v>
      </c>
      <c r="D64" s="142" t="s">
        <v>27</v>
      </c>
      <c r="E64" s="142" t="s">
        <v>12</v>
      </c>
      <c r="F64" s="141" t="s">
        <v>438</v>
      </c>
      <c r="G64" s="492" t="s">
        <v>30</v>
      </c>
      <c r="H64" s="492" t="s">
        <v>204</v>
      </c>
      <c r="I64" s="494" t="s">
        <v>32</v>
      </c>
      <c r="J64" s="494" t="s">
        <v>494</v>
      </c>
      <c r="K64" s="494" t="s">
        <v>495</v>
      </c>
      <c r="L64" s="491"/>
      <c r="M64" s="492" t="s">
        <v>33</v>
      </c>
      <c r="N64" s="492" t="s">
        <v>496</v>
      </c>
      <c r="O64" s="545"/>
      <c r="P64" s="546"/>
      <c r="Q64" s="545"/>
      <c r="R64" s="545"/>
      <c r="V64" s="547"/>
      <c r="W64" s="547"/>
      <c r="X64" s="548"/>
    </row>
    <row r="65" spans="2:24" s="543" customFormat="1" ht="25">
      <c r="B65" s="80" t="s">
        <v>499</v>
      </c>
      <c r="C65" s="179" t="s">
        <v>500</v>
      </c>
      <c r="D65" s="145">
        <v>1</v>
      </c>
      <c r="E65" s="145">
        <v>1</v>
      </c>
      <c r="F65" s="82">
        <v>10</v>
      </c>
      <c r="G65" s="775">
        <f t="shared" ref="G65:G85" si="8">H65/720</f>
        <v>0.1875</v>
      </c>
      <c r="H65" s="776">
        <f t="shared" ref="H65:H85" si="9">D65*IAAS_vcpu_SUNET+E65*IAAS_ram_SUNET+F65*IAAS_ssd_SUNET</f>
        <v>135</v>
      </c>
      <c r="I65" s="500"/>
      <c r="J65" s="500"/>
      <c r="K65" s="500"/>
      <c r="L65" s="498" t="s">
        <v>335</v>
      </c>
      <c r="M65" s="762">
        <f t="shared" ref="M65:M85" si="10">ROUNDUP(I65*H65,2)</f>
        <v>0</v>
      </c>
      <c r="N65" s="762">
        <f t="shared" ref="N65:N85" si="11">J65*D65*SW_win.ser.201X_SEK+K65*D65*SW_ms.sql.ser_SEK</f>
        <v>0</v>
      </c>
      <c r="O65" s="545"/>
      <c r="P65" s="546"/>
      <c r="Q65" s="545"/>
      <c r="R65" s="545"/>
      <c r="V65" s="547"/>
      <c r="W65" s="547"/>
      <c r="X65" s="548"/>
    </row>
    <row r="66" spans="2:24" s="543" customFormat="1" ht="25">
      <c r="B66" s="86" t="s">
        <v>501</v>
      </c>
      <c r="C66" s="50" t="s">
        <v>500</v>
      </c>
      <c r="D66" s="149">
        <v>1</v>
      </c>
      <c r="E66" s="149">
        <v>2</v>
      </c>
      <c r="F66" s="88">
        <v>20</v>
      </c>
      <c r="G66" s="777">
        <f t="shared" si="8"/>
        <v>0.2638888888888889</v>
      </c>
      <c r="H66" s="778">
        <f t="shared" si="9"/>
        <v>190</v>
      </c>
      <c r="I66" s="500"/>
      <c r="J66" s="500"/>
      <c r="K66" s="500"/>
      <c r="L66" s="473" t="s">
        <v>335</v>
      </c>
      <c r="M66" s="768">
        <f t="shared" si="10"/>
        <v>0</v>
      </c>
      <c r="N66" s="768">
        <f t="shared" si="11"/>
        <v>0</v>
      </c>
      <c r="O66" s="545"/>
      <c r="P66" s="546"/>
      <c r="Q66" s="545"/>
      <c r="R66" s="545"/>
      <c r="V66" s="547"/>
      <c r="W66" s="547"/>
      <c r="X66" s="548"/>
    </row>
    <row r="67" spans="2:24" s="543" customFormat="1" ht="25">
      <c r="B67" s="80" t="s">
        <v>502</v>
      </c>
      <c r="C67" s="179" t="s">
        <v>500</v>
      </c>
      <c r="D67" s="145">
        <v>2</v>
      </c>
      <c r="E67" s="145">
        <v>4</v>
      </c>
      <c r="F67" s="82">
        <v>250</v>
      </c>
      <c r="G67" s="775">
        <f t="shared" si="8"/>
        <v>0.52777777777777779</v>
      </c>
      <c r="H67" s="776">
        <f t="shared" si="9"/>
        <v>380</v>
      </c>
      <c r="I67" s="500"/>
      <c r="J67" s="500"/>
      <c r="K67" s="500"/>
      <c r="L67" s="498" t="s">
        <v>335</v>
      </c>
      <c r="M67" s="762">
        <f t="shared" si="10"/>
        <v>0</v>
      </c>
      <c r="N67" s="762">
        <f t="shared" si="11"/>
        <v>0</v>
      </c>
      <c r="O67" s="545"/>
      <c r="P67" s="546"/>
      <c r="Q67" s="545"/>
      <c r="R67" s="545"/>
      <c r="V67" s="547"/>
      <c r="W67" s="547"/>
      <c r="X67" s="548"/>
    </row>
    <row r="68" spans="2:24" s="543" customFormat="1" ht="25">
      <c r="B68" s="86" t="s">
        <v>503</v>
      </c>
      <c r="C68" s="50" t="s">
        <v>500</v>
      </c>
      <c r="D68" s="149">
        <v>4</v>
      </c>
      <c r="E68" s="149">
        <v>8</v>
      </c>
      <c r="F68" s="88">
        <v>250</v>
      </c>
      <c r="G68" s="777">
        <f t="shared" si="8"/>
        <v>1.0555555555555556</v>
      </c>
      <c r="H68" s="778">
        <f t="shared" si="9"/>
        <v>760</v>
      </c>
      <c r="I68" s="500"/>
      <c r="J68" s="500"/>
      <c r="K68" s="500"/>
      <c r="L68" s="473" t="s">
        <v>335</v>
      </c>
      <c r="M68" s="768">
        <f t="shared" si="10"/>
        <v>0</v>
      </c>
      <c r="N68" s="768">
        <f t="shared" si="11"/>
        <v>0</v>
      </c>
      <c r="O68" s="545"/>
      <c r="P68" s="546"/>
      <c r="Q68" s="545"/>
      <c r="R68" s="545"/>
      <c r="V68" s="547"/>
      <c r="W68" s="547"/>
      <c r="X68" s="548"/>
    </row>
    <row r="69" spans="2:24" s="543" customFormat="1" ht="25">
      <c r="B69" s="80" t="s">
        <v>504</v>
      </c>
      <c r="C69" s="179" t="s">
        <v>500</v>
      </c>
      <c r="D69" s="145">
        <v>8</v>
      </c>
      <c r="E69" s="145">
        <v>16</v>
      </c>
      <c r="F69" s="82">
        <v>250</v>
      </c>
      <c r="G69" s="775">
        <f t="shared" si="8"/>
        <v>2.1111111111111112</v>
      </c>
      <c r="H69" s="776">
        <f t="shared" si="9"/>
        <v>1520</v>
      </c>
      <c r="I69" s="500"/>
      <c r="J69" s="500"/>
      <c r="K69" s="500"/>
      <c r="L69" s="498" t="s">
        <v>335</v>
      </c>
      <c r="M69" s="762">
        <f t="shared" si="10"/>
        <v>0</v>
      </c>
      <c r="N69" s="762">
        <f t="shared" si="11"/>
        <v>0</v>
      </c>
      <c r="O69" s="545"/>
      <c r="P69" s="546"/>
      <c r="Q69" s="545"/>
      <c r="R69" s="545"/>
      <c r="V69" s="547"/>
      <c r="W69" s="547"/>
      <c r="X69" s="548"/>
    </row>
    <row r="70" spans="2:24" s="543" customFormat="1" ht="25">
      <c r="B70" s="86" t="s">
        <v>505</v>
      </c>
      <c r="C70" s="50" t="s">
        <v>500</v>
      </c>
      <c r="D70" s="149">
        <v>16</v>
      </c>
      <c r="E70" s="149">
        <v>32</v>
      </c>
      <c r="F70" s="88">
        <v>250</v>
      </c>
      <c r="G70" s="777">
        <f t="shared" si="8"/>
        <v>4.2222222222222223</v>
      </c>
      <c r="H70" s="778">
        <f t="shared" si="9"/>
        <v>3040</v>
      </c>
      <c r="I70" s="500"/>
      <c r="J70" s="500"/>
      <c r="K70" s="500"/>
      <c r="L70" s="473" t="s">
        <v>335</v>
      </c>
      <c r="M70" s="768">
        <f t="shared" si="10"/>
        <v>0</v>
      </c>
      <c r="N70" s="768">
        <f t="shared" si="11"/>
        <v>0</v>
      </c>
      <c r="O70" s="545"/>
      <c r="P70" s="546"/>
      <c r="Q70" s="545"/>
      <c r="R70" s="545"/>
      <c r="V70" s="547"/>
      <c r="W70" s="547"/>
      <c r="X70" s="548"/>
    </row>
    <row r="71" spans="2:24" s="543" customFormat="1" ht="25">
      <c r="B71" s="80" t="s">
        <v>506</v>
      </c>
      <c r="C71" s="179" t="s">
        <v>500</v>
      </c>
      <c r="D71" s="145">
        <v>16</v>
      </c>
      <c r="E71" s="145">
        <v>32</v>
      </c>
      <c r="F71" s="82">
        <v>500</v>
      </c>
      <c r="G71" s="775">
        <f t="shared" si="8"/>
        <v>4.2222222222222223</v>
      </c>
      <c r="H71" s="776">
        <f t="shared" si="9"/>
        <v>3040</v>
      </c>
      <c r="I71" s="500"/>
      <c r="J71" s="500"/>
      <c r="K71" s="500"/>
      <c r="L71" s="498" t="s">
        <v>335</v>
      </c>
      <c r="M71" s="762">
        <f t="shared" si="10"/>
        <v>0</v>
      </c>
      <c r="N71" s="762">
        <f t="shared" si="11"/>
        <v>0</v>
      </c>
      <c r="O71" s="545"/>
      <c r="P71" s="546"/>
      <c r="Q71" s="545"/>
      <c r="R71" s="545"/>
      <c r="V71" s="547"/>
      <c r="W71" s="547"/>
      <c r="X71" s="548"/>
    </row>
    <row r="72" spans="2:24" s="543" customFormat="1" ht="25">
      <c r="B72" s="86" t="s">
        <v>507</v>
      </c>
      <c r="C72" s="50" t="s">
        <v>500</v>
      </c>
      <c r="D72" s="149">
        <v>16</v>
      </c>
      <c r="E72" s="149">
        <v>32</v>
      </c>
      <c r="F72" s="88">
        <v>1000</v>
      </c>
      <c r="G72" s="777">
        <f t="shared" si="8"/>
        <v>4.2222222222222223</v>
      </c>
      <c r="H72" s="778">
        <f t="shared" si="9"/>
        <v>3040</v>
      </c>
      <c r="I72" s="500"/>
      <c r="J72" s="500"/>
      <c r="K72" s="500"/>
      <c r="L72" s="473" t="s">
        <v>335</v>
      </c>
      <c r="M72" s="768">
        <f t="shared" si="10"/>
        <v>0</v>
      </c>
      <c r="N72" s="768">
        <f t="shared" si="11"/>
        <v>0</v>
      </c>
      <c r="O72" s="545"/>
      <c r="P72" s="546"/>
      <c r="Q72" s="545"/>
      <c r="R72" s="545"/>
      <c r="V72" s="547"/>
      <c r="W72" s="547"/>
      <c r="X72" s="548"/>
    </row>
    <row r="73" spans="2:24" s="543" customFormat="1" ht="25">
      <c r="B73" s="80" t="s">
        <v>508</v>
      </c>
      <c r="C73" s="179" t="s">
        <v>500</v>
      </c>
      <c r="D73" s="145">
        <v>32</v>
      </c>
      <c r="E73" s="145">
        <v>65</v>
      </c>
      <c r="F73" s="82">
        <v>250</v>
      </c>
      <c r="G73" s="775">
        <f t="shared" si="8"/>
        <v>8.5208333333333339</v>
      </c>
      <c r="H73" s="776">
        <f t="shared" si="9"/>
        <v>6135</v>
      </c>
      <c r="I73" s="500"/>
      <c r="J73" s="500"/>
      <c r="K73" s="500"/>
      <c r="L73" s="498" t="s">
        <v>335</v>
      </c>
      <c r="M73" s="762">
        <f t="shared" si="10"/>
        <v>0</v>
      </c>
      <c r="N73" s="762">
        <f t="shared" si="11"/>
        <v>0</v>
      </c>
      <c r="O73" s="545"/>
      <c r="P73" s="546"/>
      <c r="Q73" s="545"/>
      <c r="R73" s="545"/>
      <c r="V73" s="547"/>
      <c r="W73" s="547"/>
      <c r="X73" s="548"/>
    </row>
    <row r="74" spans="2:24" s="543" customFormat="1" ht="25">
      <c r="B74" s="86" t="s">
        <v>509</v>
      </c>
      <c r="C74" s="50" t="s">
        <v>500</v>
      </c>
      <c r="D74" s="149">
        <v>32</v>
      </c>
      <c r="E74" s="149">
        <v>65</v>
      </c>
      <c r="F74" s="88">
        <v>500</v>
      </c>
      <c r="G74" s="777">
        <f t="shared" si="8"/>
        <v>8.5208333333333339</v>
      </c>
      <c r="H74" s="778">
        <f t="shared" si="9"/>
        <v>6135</v>
      </c>
      <c r="I74" s="500"/>
      <c r="J74" s="500"/>
      <c r="K74" s="500"/>
      <c r="L74" s="473" t="s">
        <v>335</v>
      </c>
      <c r="M74" s="768">
        <f t="shared" si="10"/>
        <v>0</v>
      </c>
      <c r="N74" s="768">
        <f t="shared" si="11"/>
        <v>0</v>
      </c>
      <c r="O74" s="545"/>
      <c r="P74" s="546"/>
      <c r="Q74" s="545"/>
      <c r="R74" s="545"/>
      <c r="V74" s="547"/>
      <c r="W74" s="547"/>
      <c r="X74" s="548"/>
    </row>
    <row r="75" spans="2:24" s="543" customFormat="1" ht="25">
      <c r="B75" s="80" t="s">
        <v>510</v>
      </c>
      <c r="C75" s="179" t="s">
        <v>500</v>
      </c>
      <c r="D75" s="145">
        <v>32</v>
      </c>
      <c r="E75" s="145">
        <v>65</v>
      </c>
      <c r="F75" s="82">
        <v>1000</v>
      </c>
      <c r="G75" s="775">
        <f t="shared" si="8"/>
        <v>8.5208333333333339</v>
      </c>
      <c r="H75" s="776">
        <f t="shared" si="9"/>
        <v>6135</v>
      </c>
      <c r="I75" s="500"/>
      <c r="J75" s="500"/>
      <c r="K75" s="500"/>
      <c r="L75" s="498" t="s">
        <v>335</v>
      </c>
      <c r="M75" s="762">
        <f t="shared" si="10"/>
        <v>0</v>
      </c>
      <c r="N75" s="762">
        <f t="shared" si="11"/>
        <v>0</v>
      </c>
      <c r="O75" s="545"/>
      <c r="P75" s="546"/>
      <c r="Q75" s="545"/>
      <c r="R75" s="545"/>
      <c r="V75" s="547"/>
      <c r="W75" s="547"/>
      <c r="X75" s="548"/>
    </row>
    <row r="76" spans="2:24" s="543" customFormat="1" ht="25">
      <c r="B76" s="86" t="s">
        <v>511</v>
      </c>
      <c r="C76" s="50" t="s">
        <v>500</v>
      </c>
      <c r="D76" s="149">
        <v>1</v>
      </c>
      <c r="E76" s="149">
        <v>4</v>
      </c>
      <c r="F76" s="88">
        <v>20</v>
      </c>
      <c r="G76" s="777">
        <f t="shared" si="8"/>
        <v>0.41666666666666669</v>
      </c>
      <c r="H76" s="778">
        <f t="shared" si="9"/>
        <v>300</v>
      </c>
      <c r="I76" s="500"/>
      <c r="J76" s="500"/>
      <c r="K76" s="500"/>
      <c r="L76" s="473" t="s">
        <v>335</v>
      </c>
      <c r="M76" s="768">
        <f t="shared" si="10"/>
        <v>0</v>
      </c>
      <c r="N76" s="768">
        <f t="shared" si="11"/>
        <v>0</v>
      </c>
      <c r="O76" s="545"/>
      <c r="P76" s="546"/>
      <c r="Q76" s="545"/>
      <c r="R76" s="545"/>
      <c r="V76" s="547"/>
      <c r="W76" s="547"/>
      <c r="X76" s="548"/>
    </row>
    <row r="77" spans="2:24" s="543" customFormat="1" ht="25">
      <c r="B77" s="80" t="s">
        <v>512</v>
      </c>
      <c r="C77" s="179" t="s">
        <v>500</v>
      </c>
      <c r="D77" s="145">
        <v>2</v>
      </c>
      <c r="E77" s="145">
        <v>8</v>
      </c>
      <c r="F77" s="82">
        <v>250</v>
      </c>
      <c r="G77" s="775">
        <f t="shared" si="8"/>
        <v>0.83333333333333337</v>
      </c>
      <c r="H77" s="776">
        <f t="shared" si="9"/>
        <v>600</v>
      </c>
      <c r="I77" s="500"/>
      <c r="J77" s="500"/>
      <c r="K77" s="500"/>
      <c r="L77" s="498" t="s">
        <v>335</v>
      </c>
      <c r="M77" s="762">
        <f t="shared" si="10"/>
        <v>0</v>
      </c>
      <c r="N77" s="762">
        <f t="shared" si="11"/>
        <v>0</v>
      </c>
      <c r="O77" s="545"/>
      <c r="P77" s="546"/>
      <c r="Q77" s="545"/>
      <c r="R77" s="545"/>
      <c r="V77" s="547"/>
      <c r="W77" s="547"/>
      <c r="X77" s="548"/>
    </row>
    <row r="78" spans="2:24" s="543" customFormat="1" ht="25">
      <c r="B78" s="86" t="s">
        <v>513</v>
      </c>
      <c r="C78" s="50" t="s">
        <v>500</v>
      </c>
      <c r="D78" s="149">
        <v>4</v>
      </c>
      <c r="E78" s="149">
        <v>16</v>
      </c>
      <c r="F78" s="88">
        <v>250</v>
      </c>
      <c r="G78" s="777">
        <f t="shared" si="8"/>
        <v>1.6666666666666667</v>
      </c>
      <c r="H78" s="778">
        <f t="shared" si="9"/>
        <v>1200</v>
      </c>
      <c r="I78" s="500"/>
      <c r="J78" s="500"/>
      <c r="K78" s="500"/>
      <c r="L78" s="473" t="s">
        <v>335</v>
      </c>
      <c r="M78" s="768">
        <f t="shared" si="10"/>
        <v>0</v>
      </c>
      <c r="N78" s="768">
        <f t="shared" si="11"/>
        <v>0</v>
      </c>
      <c r="O78" s="545"/>
      <c r="P78" s="546"/>
      <c r="Q78" s="545"/>
      <c r="R78" s="545"/>
      <c r="V78" s="547"/>
      <c r="W78" s="547"/>
      <c r="X78" s="548"/>
    </row>
    <row r="79" spans="2:24" s="543" customFormat="1" ht="25">
      <c r="B79" s="80" t="s">
        <v>514</v>
      </c>
      <c r="C79" s="179" t="s">
        <v>500</v>
      </c>
      <c r="D79" s="145">
        <v>8</v>
      </c>
      <c r="E79" s="145">
        <v>32</v>
      </c>
      <c r="F79" s="82">
        <v>250</v>
      </c>
      <c r="G79" s="775">
        <f t="shared" si="8"/>
        <v>3.3333333333333335</v>
      </c>
      <c r="H79" s="776">
        <f t="shared" si="9"/>
        <v>2400</v>
      </c>
      <c r="I79" s="500"/>
      <c r="J79" s="500"/>
      <c r="K79" s="500"/>
      <c r="L79" s="498" t="s">
        <v>335</v>
      </c>
      <c r="M79" s="762">
        <f t="shared" si="10"/>
        <v>0</v>
      </c>
      <c r="N79" s="762">
        <f t="shared" si="11"/>
        <v>0</v>
      </c>
      <c r="O79" s="545"/>
      <c r="P79" s="546"/>
      <c r="Q79" s="545"/>
      <c r="R79" s="545"/>
      <c r="V79" s="547"/>
      <c r="W79" s="547"/>
      <c r="X79" s="548"/>
    </row>
    <row r="80" spans="2:24" s="543" customFormat="1" ht="25">
      <c r="B80" s="86" t="s">
        <v>515</v>
      </c>
      <c r="C80" s="50" t="s">
        <v>500</v>
      </c>
      <c r="D80" s="149">
        <v>16</v>
      </c>
      <c r="E80" s="149">
        <v>65</v>
      </c>
      <c r="F80" s="88">
        <v>250</v>
      </c>
      <c r="G80" s="777">
        <f t="shared" si="8"/>
        <v>6.7430555555555554</v>
      </c>
      <c r="H80" s="778">
        <f t="shared" si="9"/>
        <v>4855</v>
      </c>
      <c r="I80" s="500"/>
      <c r="J80" s="500"/>
      <c r="K80" s="500"/>
      <c r="L80" s="473" t="s">
        <v>335</v>
      </c>
      <c r="M80" s="768">
        <f t="shared" si="10"/>
        <v>0</v>
      </c>
      <c r="N80" s="768">
        <f t="shared" si="11"/>
        <v>0</v>
      </c>
      <c r="O80" s="545"/>
      <c r="P80" s="546"/>
      <c r="Q80" s="545"/>
      <c r="R80" s="545"/>
      <c r="V80" s="547"/>
      <c r="W80" s="547"/>
      <c r="X80" s="548"/>
    </row>
    <row r="81" spans="2:24" s="543" customFormat="1" ht="25">
      <c r="B81" s="80" t="s">
        <v>516</v>
      </c>
      <c r="C81" s="179" t="s">
        <v>500</v>
      </c>
      <c r="D81" s="145">
        <v>16</v>
      </c>
      <c r="E81" s="145">
        <v>65</v>
      </c>
      <c r="F81" s="82">
        <v>500</v>
      </c>
      <c r="G81" s="775">
        <f t="shared" si="8"/>
        <v>6.7430555555555554</v>
      </c>
      <c r="H81" s="776">
        <f t="shared" si="9"/>
        <v>4855</v>
      </c>
      <c r="I81" s="500"/>
      <c r="J81" s="500"/>
      <c r="K81" s="500"/>
      <c r="L81" s="498" t="s">
        <v>335</v>
      </c>
      <c r="M81" s="762">
        <f t="shared" si="10"/>
        <v>0</v>
      </c>
      <c r="N81" s="762">
        <f t="shared" si="11"/>
        <v>0</v>
      </c>
      <c r="O81" s="545"/>
      <c r="P81" s="546"/>
      <c r="Q81" s="545"/>
      <c r="R81" s="545"/>
      <c r="V81" s="547"/>
      <c r="W81" s="547"/>
      <c r="X81" s="548"/>
    </row>
    <row r="82" spans="2:24" s="543" customFormat="1" ht="25">
      <c r="B82" s="86" t="s">
        <v>517</v>
      </c>
      <c r="C82" s="50" t="s">
        <v>500</v>
      </c>
      <c r="D82" s="149">
        <v>16</v>
      </c>
      <c r="E82" s="149">
        <v>65</v>
      </c>
      <c r="F82" s="88">
        <v>1000</v>
      </c>
      <c r="G82" s="777">
        <f t="shared" si="8"/>
        <v>6.7430555555555554</v>
      </c>
      <c r="H82" s="778">
        <f t="shared" si="9"/>
        <v>4855</v>
      </c>
      <c r="I82" s="500"/>
      <c r="J82" s="500"/>
      <c r="K82" s="500"/>
      <c r="L82" s="473" t="s">
        <v>335</v>
      </c>
      <c r="M82" s="768">
        <f t="shared" si="10"/>
        <v>0</v>
      </c>
      <c r="N82" s="768">
        <f t="shared" si="11"/>
        <v>0</v>
      </c>
      <c r="O82" s="545"/>
      <c r="P82" s="546"/>
      <c r="Q82" s="545"/>
      <c r="R82" s="545"/>
      <c r="V82" s="547"/>
      <c r="W82" s="547"/>
      <c r="X82" s="548"/>
    </row>
    <row r="83" spans="2:24" s="543" customFormat="1" ht="25">
      <c r="B83" s="80" t="s">
        <v>518</v>
      </c>
      <c r="C83" s="179" t="s">
        <v>500</v>
      </c>
      <c r="D83" s="145">
        <v>32</v>
      </c>
      <c r="E83" s="145">
        <v>131</v>
      </c>
      <c r="F83" s="82">
        <v>250</v>
      </c>
      <c r="G83" s="775">
        <f t="shared" si="8"/>
        <v>13.5625</v>
      </c>
      <c r="H83" s="776">
        <f t="shared" si="9"/>
        <v>9765</v>
      </c>
      <c r="I83" s="500"/>
      <c r="J83" s="500"/>
      <c r="K83" s="500"/>
      <c r="L83" s="498" t="s">
        <v>335</v>
      </c>
      <c r="M83" s="762">
        <f t="shared" si="10"/>
        <v>0</v>
      </c>
      <c r="N83" s="762">
        <f t="shared" si="11"/>
        <v>0</v>
      </c>
      <c r="O83" s="545"/>
      <c r="P83" s="546"/>
      <c r="Q83" s="545"/>
      <c r="R83" s="545"/>
      <c r="V83" s="547"/>
      <c r="W83" s="547"/>
      <c r="X83" s="548"/>
    </row>
    <row r="84" spans="2:24" s="543" customFormat="1" ht="25">
      <c r="B84" s="86" t="s">
        <v>519</v>
      </c>
      <c r="C84" s="50" t="s">
        <v>500</v>
      </c>
      <c r="D84" s="149">
        <v>32</v>
      </c>
      <c r="E84" s="149">
        <v>131</v>
      </c>
      <c r="F84" s="88">
        <v>500</v>
      </c>
      <c r="G84" s="777">
        <f t="shared" si="8"/>
        <v>13.5625</v>
      </c>
      <c r="H84" s="778">
        <f t="shared" si="9"/>
        <v>9765</v>
      </c>
      <c r="I84" s="500"/>
      <c r="J84" s="500"/>
      <c r="K84" s="500"/>
      <c r="L84" s="473" t="s">
        <v>335</v>
      </c>
      <c r="M84" s="768">
        <f t="shared" si="10"/>
        <v>0</v>
      </c>
      <c r="N84" s="768">
        <f t="shared" si="11"/>
        <v>0</v>
      </c>
      <c r="O84" s="545"/>
      <c r="P84" s="546"/>
      <c r="Q84" s="545"/>
      <c r="R84" s="545"/>
      <c r="V84" s="547"/>
      <c r="W84" s="547"/>
      <c r="X84" s="548"/>
    </row>
    <row r="85" spans="2:24" s="543" customFormat="1" ht="25">
      <c r="B85" s="80" t="s">
        <v>520</v>
      </c>
      <c r="C85" s="179" t="s">
        <v>500</v>
      </c>
      <c r="D85" s="145">
        <v>32</v>
      </c>
      <c r="E85" s="145">
        <v>131</v>
      </c>
      <c r="F85" s="82">
        <v>1000</v>
      </c>
      <c r="G85" s="775">
        <f t="shared" si="8"/>
        <v>13.5625</v>
      </c>
      <c r="H85" s="776">
        <f t="shared" si="9"/>
        <v>9765</v>
      </c>
      <c r="I85" s="500"/>
      <c r="J85" s="500"/>
      <c r="K85" s="500"/>
      <c r="L85" s="498" t="s">
        <v>335</v>
      </c>
      <c r="M85" s="762">
        <f t="shared" si="10"/>
        <v>0</v>
      </c>
      <c r="N85" s="762">
        <f t="shared" si="11"/>
        <v>0</v>
      </c>
      <c r="O85" s="545"/>
      <c r="P85" s="546"/>
      <c r="Q85" s="545"/>
      <c r="R85" s="545"/>
      <c r="V85" s="547"/>
      <c r="W85" s="547"/>
      <c r="X85" s="548"/>
    </row>
    <row r="86" spans="2:24" s="551" customFormat="1" ht="25.5" customHeight="1">
      <c r="B86" s="506" t="s">
        <v>521</v>
      </c>
      <c r="C86" s="813"/>
      <c r="D86" s="552"/>
      <c r="E86" s="552"/>
      <c r="F86" s="553"/>
      <c r="G86" s="554"/>
      <c r="H86" s="555"/>
      <c r="I86" s="529" t="str">
        <f>SUM(I65:I85)&amp;" st"</f>
        <v>0 st</v>
      </c>
      <c r="J86" s="529" t="str">
        <f>SUM(J65:J85)&amp;" st"</f>
        <v>0 st</v>
      </c>
      <c r="K86" s="529" t="str">
        <f>SUM(K65:K85)&amp;" st"</f>
        <v>0 st</v>
      </c>
      <c r="L86" s="531"/>
      <c r="M86" s="770">
        <f>SUM(M65:M85)</f>
        <v>0</v>
      </c>
      <c r="N86" s="770">
        <f>SUM(N65:N85)</f>
        <v>0</v>
      </c>
      <c r="O86" s="557"/>
      <c r="P86" s="558"/>
      <c r="Q86" s="559"/>
      <c r="R86" s="559"/>
      <c r="S86" s="559"/>
      <c r="T86" s="559"/>
      <c r="U86" s="560"/>
      <c r="V86" s="559"/>
      <c r="W86" s="561"/>
    </row>
    <row r="87" spans="2:24" s="474" customFormat="1" ht="25.5" customHeight="1">
      <c r="B87" s="99"/>
      <c r="C87" s="816"/>
      <c r="D87" s="153"/>
      <c r="E87" s="139"/>
      <c r="F87" s="562"/>
      <c r="G87" s="562"/>
      <c r="H87" s="486"/>
      <c r="I87" s="486"/>
      <c r="J87" s="486"/>
      <c r="K87" s="783"/>
      <c r="L87" s="486"/>
      <c r="M87" s="563"/>
      <c r="N87" s="563"/>
      <c r="P87" s="502"/>
      <c r="U87" s="485"/>
      <c r="W87" s="485"/>
    </row>
    <row r="88" spans="2:24" s="474" customFormat="1" ht="25.5" customHeight="1">
      <c r="B88" s="99"/>
      <c r="C88" s="816"/>
      <c r="D88" s="153"/>
      <c r="E88" s="139"/>
      <c r="F88" s="562"/>
      <c r="G88" s="562"/>
      <c r="H88" s="486"/>
      <c r="I88" s="486"/>
      <c r="J88" s="486"/>
      <c r="K88" s="783"/>
      <c r="L88" s="486"/>
      <c r="M88" s="563"/>
      <c r="N88" s="563"/>
      <c r="P88" s="502"/>
      <c r="U88" s="485"/>
      <c r="W88" s="485"/>
    </row>
    <row r="89" spans="2:24" s="515" customFormat="1" ht="31">
      <c r="B89" s="214" t="s">
        <v>333</v>
      </c>
      <c r="C89" s="156"/>
      <c r="D89" s="156"/>
      <c r="E89" s="156"/>
      <c r="F89" s="565"/>
      <c r="G89" s="565"/>
      <c r="H89" s="486"/>
      <c r="I89" s="486"/>
      <c r="J89" s="486"/>
      <c r="K89" s="783"/>
      <c r="L89" s="486"/>
      <c r="M89" s="563"/>
      <c r="N89" s="563"/>
      <c r="P89" s="520"/>
      <c r="Q89" s="486"/>
      <c r="R89" s="486"/>
      <c r="S89" s="486"/>
      <c r="T89" s="486"/>
      <c r="U89" s="521"/>
      <c r="V89" s="486"/>
      <c r="W89" s="522"/>
    </row>
    <row r="90" spans="2:24" s="543" customFormat="1" ht="47">
      <c r="B90" s="74" t="s">
        <v>22</v>
      </c>
      <c r="C90" s="142" t="s">
        <v>27</v>
      </c>
      <c r="D90" s="142" t="s">
        <v>12</v>
      </c>
      <c r="E90" s="142" t="s">
        <v>28</v>
      </c>
      <c r="F90" s="780"/>
      <c r="G90" s="492" t="s">
        <v>30</v>
      </c>
      <c r="H90" s="492" t="s">
        <v>204</v>
      </c>
      <c r="I90" s="817" t="s">
        <v>32</v>
      </c>
      <c r="J90" s="817" t="s">
        <v>494</v>
      </c>
      <c r="K90" s="817" t="s">
        <v>495</v>
      </c>
      <c r="L90" s="491"/>
      <c r="M90" s="492" t="s">
        <v>33</v>
      </c>
      <c r="N90" s="492" t="s">
        <v>496</v>
      </c>
      <c r="O90" s="545"/>
      <c r="P90" s="546"/>
      <c r="Q90" s="545"/>
      <c r="R90" s="545"/>
      <c r="V90" s="547"/>
      <c r="W90" s="547"/>
      <c r="X90" s="548"/>
    </row>
    <row r="91" spans="2:24" s="474" customFormat="1" ht="25.5" customHeight="1">
      <c r="B91" s="566" t="s">
        <v>334</v>
      </c>
      <c r="C91" s="157">
        <v>16</v>
      </c>
      <c r="D91" s="157">
        <v>128</v>
      </c>
      <c r="E91" s="818">
        <v>3800</v>
      </c>
      <c r="F91" s="567"/>
      <c r="G91" s="771">
        <f>H91/720</f>
        <v>9.5</v>
      </c>
      <c r="H91" s="772">
        <f>INSTANCE_p1.2xlarge.16d_SEK</f>
        <v>6840</v>
      </c>
      <c r="I91" s="500">
        <v>0</v>
      </c>
      <c r="J91" s="500">
        <v>0</v>
      </c>
      <c r="K91" s="500">
        <v>0</v>
      </c>
      <c r="L91" s="498" t="s">
        <v>335</v>
      </c>
      <c r="M91" s="762">
        <f>ROUNDUP(I91*H91,2)</f>
        <v>0</v>
      </c>
      <c r="N91" s="762">
        <f>J91*C91*SW_win.ser.201X_SEK+K91*C91*SW_ms.sql.ser_SEK</f>
        <v>0</v>
      </c>
      <c r="O91" s="486"/>
      <c r="P91" s="502"/>
    </row>
    <row r="92" spans="2:24" s="474" customFormat="1" ht="25.5" customHeight="1">
      <c r="B92" s="568" t="s">
        <v>336</v>
      </c>
      <c r="C92" s="160">
        <v>32</v>
      </c>
      <c r="D92" s="160">
        <v>256</v>
      </c>
      <c r="E92" s="88">
        <v>3800</v>
      </c>
      <c r="F92" s="569"/>
      <c r="G92" s="773">
        <f>H92/720</f>
        <v>19</v>
      </c>
      <c r="H92" s="774">
        <f>INSTANCE_p1.4xlarge.16d_SEK</f>
        <v>13680</v>
      </c>
      <c r="I92" s="500">
        <v>0</v>
      </c>
      <c r="J92" s="500">
        <v>0</v>
      </c>
      <c r="K92" s="500">
        <v>0</v>
      </c>
      <c r="L92" s="473" t="str">
        <f>L91</f>
        <v>Instanser</v>
      </c>
      <c r="M92" s="768">
        <f>ROUNDUP(I92*H92,2)</f>
        <v>0</v>
      </c>
      <c r="N92" s="768">
        <f>J92*C92*SW_win.ser.201X_SEK+K92*C92*SW_ms.sql.ser_SEK</f>
        <v>0</v>
      </c>
      <c r="O92" s="486"/>
      <c r="P92" s="502"/>
      <c r="X92" s="485"/>
    </row>
    <row r="93" spans="2:24" s="559" customFormat="1" ht="25.5" customHeight="1">
      <c r="B93" s="216" t="s">
        <v>337</v>
      </c>
      <c r="C93" s="165">
        <v>64</v>
      </c>
      <c r="D93" s="165">
        <v>512</v>
      </c>
      <c r="E93" s="819">
        <v>7600</v>
      </c>
      <c r="F93" s="570"/>
      <c r="G93" s="781">
        <f>H93/720</f>
        <v>38</v>
      </c>
      <c r="H93" s="782">
        <f>INSTANCE_p1.8xlarge.32d_SEK</f>
        <v>27360</v>
      </c>
      <c r="I93" s="500">
        <v>0</v>
      </c>
      <c r="J93" s="500">
        <v>0</v>
      </c>
      <c r="K93" s="500">
        <v>0</v>
      </c>
      <c r="L93" s="498" t="s">
        <v>335</v>
      </c>
      <c r="M93" s="762">
        <f>ROUNDUP(I93*H93,2)</f>
        <v>0</v>
      </c>
      <c r="N93" s="762">
        <f>J93*C93*SW_win.ser.201X_SEK+K93*C93*SW_ms.sql.ser_SEK</f>
        <v>0</v>
      </c>
      <c r="O93" s="573"/>
      <c r="P93" s="574"/>
    </row>
    <row r="94" spans="2:24" ht="25.5" customHeight="1">
      <c r="B94" s="99" t="s">
        <v>59</v>
      </c>
      <c r="C94" s="814"/>
      <c r="D94" s="139"/>
      <c r="E94" s="139"/>
      <c r="F94" s="559"/>
      <c r="G94" s="559"/>
      <c r="H94" s="559"/>
      <c r="I94" s="529" t="str">
        <f>SUM(I91:I93)&amp;" st"</f>
        <v>0 st</v>
      </c>
      <c r="J94" s="529" t="str">
        <f>SUM(J91:J93)&amp;" st"</f>
        <v>0 st</v>
      </c>
      <c r="K94" s="529" t="str">
        <f>SUM(K91:K93)&amp;" st"</f>
        <v>0 st</v>
      </c>
      <c r="L94" s="531"/>
      <c r="M94" s="770">
        <f>SUM(M91:M93)</f>
        <v>0</v>
      </c>
      <c r="N94" s="779">
        <f>SUM(N91:N93)</f>
        <v>0</v>
      </c>
      <c r="P94" s="452"/>
    </row>
    <row r="95" spans="2:24" ht="25.5" customHeight="1">
      <c r="B95" s="168"/>
      <c r="C95" s="820"/>
      <c r="D95" s="169"/>
      <c r="E95" s="169"/>
      <c r="F95" s="575"/>
      <c r="G95" s="575"/>
      <c r="H95" s="559"/>
      <c r="I95" s="576"/>
      <c r="J95" s="576"/>
      <c r="K95" s="576"/>
      <c r="L95" s="514"/>
      <c r="M95" s="513"/>
      <c r="N95" s="557"/>
      <c r="P95" s="452"/>
    </row>
    <row r="96" spans="2:24" s="474" customFormat="1" ht="25.5" customHeight="1">
      <c r="B96" s="170"/>
      <c r="C96" s="816"/>
      <c r="D96" s="153"/>
      <c r="E96" s="153"/>
      <c r="F96" s="562"/>
      <c r="G96" s="562"/>
      <c r="H96" s="486"/>
      <c r="I96" s="486"/>
      <c r="J96" s="486"/>
      <c r="K96" s="783"/>
      <c r="L96" s="486"/>
      <c r="M96" s="563"/>
      <c r="N96" s="563"/>
      <c r="P96" s="502"/>
      <c r="U96" s="485"/>
      <c r="W96" s="485"/>
    </row>
    <row r="97" spans="2:25" ht="25.5" customHeight="1">
      <c r="B97" s="214" t="s">
        <v>522</v>
      </c>
      <c r="C97" s="156"/>
      <c r="D97" s="156"/>
      <c r="E97" s="156"/>
      <c r="F97" s="565"/>
      <c r="G97" s="565"/>
      <c r="H97" s="486"/>
      <c r="I97" s="486"/>
      <c r="J97" s="486"/>
      <c r="K97" s="783"/>
      <c r="L97" s="486"/>
      <c r="M97" s="563"/>
      <c r="N97" s="563"/>
      <c r="P97" s="452"/>
      <c r="Q97" s="474"/>
      <c r="R97" s="474"/>
      <c r="S97" s="474"/>
      <c r="T97" s="474"/>
      <c r="U97" s="485"/>
      <c r="V97" s="474"/>
      <c r="W97" s="509"/>
    </row>
    <row r="98" spans="2:25" s="578" customFormat="1" ht="35.25" customHeight="1">
      <c r="B98" s="74" t="s">
        <v>22</v>
      </c>
      <c r="C98" s="172" t="s">
        <v>184</v>
      </c>
      <c r="D98" s="172"/>
      <c r="E98" s="2" t="s">
        <v>30</v>
      </c>
      <c r="F98" s="970" t="s">
        <v>523</v>
      </c>
      <c r="G98" s="970"/>
      <c r="H98" s="985"/>
      <c r="I98" s="985"/>
      <c r="J98" s="581" t="s">
        <v>185</v>
      </c>
      <c r="K98" s="580"/>
      <c r="L98" s="580"/>
      <c r="M98" s="580"/>
      <c r="N98" s="579"/>
      <c r="O98" s="497"/>
      <c r="P98" s="583"/>
      <c r="R98" s="497"/>
      <c r="S98" s="497"/>
      <c r="W98" s="584"/>
      <c r="X98" s="584"/>
      <c r="Y98" s="585"/>
    </row>
    <row r="99" spans="2:25" s="474" customFormat="1" ht="25.5" customHeight="1">
      <c r="B99" s="566" t="s">
        <v>340</v>
      </c>
      <c r="C99" s="179" t="s">
        <v>42</v>
      </c>
      <c r="D99" s="180"/>
      <c r="E99" s="203">
        <f>F99/720</f>
        <v>1.6666666666666666E-3</v>
      </c>
      <c r="F99" s="1029">
        <f>VOLUME_large_SEK</f>
        <v>1.2</v>
      </c>
      <c r="G99" s="1029"/>
      <c r="H99" s="1041"/>
      <c r="I99" s="1041"/>
      <c r="J99" s="588"/>
      <c r="K99" s="784" t="s">
        <v>84</v>
      </c>
      <c r="L99" s="589"/>
      <c r="M99" s="821"/>
      <c r="N99" s="735">
        <f>ROUNDUP(J99*F99,2)</f>
        <v>0</v>
      </c>
      <c r="O99" s="486"/>
      <c r="P99" s="502"/>
    </row>
    <row r="100" spans="2:25" s="474" customFormat="1" ht="25.5" customHeight="1">
      <c r="B100" s="568" t="s">
        <v>341</v>
      </c>
      <c r="C100" s="50" t="s">
        <v>40</v>
      </c>
      <c r="D100" s="167"/>
      <c r="E100" s="822">
        <f>F100/720</f>
        <v>5.0000000000000001E-3</v>
      </c>
      <c r="F100" s="1030">
        <f>VOLUME_fast_SEK</f>
        <v>3.6</v>
      </c>
      <c r="G100" s="1030"/>
      <c r="H100" s="1042"/>
      <c r="I100" s="1042"/>
      <c r="J100" s="593">
        <v>0</v>
      </c>
      <c r="K100" s="785" t="s">
        <v>84</v>
      </c>
      <c r="L100" s="594"/>
      <c r="N100" s="786">
        <f>ROUNDUP(J100*F100,2)</f>
        <v>0</v>
      </c>
      <c r="O100" s="486"/>
      <c r="P100" s="502"/>
      <c r="Y100" s="485"/>
    </row>
    <row r="101" spans="2:25" ht="25.5" customHeight="1">
      <c r="B101" s="506" t="s">
        <v>26</v>
      </c>
      <c r="C101" s="813"/>
      <c r="D101" s="552"/>
      <c r="E101" s="552"/>
      <c r="F101" s="554"/>
      <c r="G101" s="555"/>
      <c r="H101" s="555"/>
      <c r="I101" s="823"/>
      <c r="J101" s="596" t="str">
        <f>SUM(J99:J100)&amp;" GB"</f>
        <v>0 GB</v>
      </c>
      <c r="K101" s="597"/>
      <c r="L101" s="555"/>
      <c r="M101" s="555"/>
      <c r="N101" s="779">
        <f>SUM(N99:N100)</f>
        <v>0</v>
      </c>
      <c r="P101" s="452"/>
    </row>
    <row r="102" spans="2:25" ht="25.5" customHeight="1">
      <c r="B102" s="602"/>
      <c r="C102" s="820"/>
      <c r="D102" s="169"/>
      <c r="E102" s="169"/>
      <c r="F102" s="575"/>
      <c r="G102" s="575"/>
      <c r="H102" s="598"/>
      <c r="I102" s="598"/>
      <c r="J102" s="598"/>
      <c r="K102" s="599"/>
      <c r="L102" s="600"/>
      <c r="M102" s="638"/>
      <c r="N102" s="638"/>
      <c r="P102" s="452"/>
    </row>
    <row r="103" spans="2:25" ht="25.5" customHeight="1">
      <c r="B103" s="602"/>
      <c r="C103" s="820"/>
      <c r="D103" s="169"/>
      <c r="E103" s="169"/>
      <c r="F103" s="575"/>
      <c r="G103" s="575"/>
      <c r="H103" s="598"/>
      <c r="I103" s="598"/>
      <c r="J103" s="598"/>
      <c r="K103" s="599"/>
      <c r="L103" s="600"/>
      <c r="M103" s="638"/>
      <c r="N103" s="638"/>
      <c r="P103" s="452"/>
    </row>
    <row r="104" spans="2:25" s="462" customFormat="1" ht="25.5" customHeight="1">
      <c r="B104" s="602"/>
      <c r="C104" s="820"/>
      <c r="D104" s="169"/>
      <c r="E104" s="169"/>
      <c r="F104" s="575"/>
      <c r="G104" s="575"/>
      <c r="H104" s="598"/>
      <c r="I104" s="598"/>
      <c r="J104" s="598"/>
      <c r="K104" s="599"/>
      <c r="L104" s="600"/>
      <c r="M104" s="638"/>
      <c r="N104" s="638"/>
      <c r="P104" s="461"/>
    </row>
    <row r="105" spans="2:25" s="462" customFormat="1" ht="25.5" customHeight="1">
      <c r="B105" s="968" t="s">
        <v>524</v>
      </c>
      <c r="C105" s="968"/>
      <c r="D105" s="968"/>
      <c r="E105" s="968"/>
      <c r="F105" s="968"/>
      <c r="G105" s="968"/>
      <c r="H105" s="470"/>
      <c r="J105" s="473"/>
      <c r="K105" s="473"/>
      <c r="M105" s="471"/>
      <c r="N105" s="471"/>
      <c r="P105" s="461"/>
    </row>
    <row r="106" spans="2:25" s="462" customFormat="1" ht="25.5" customHeight="1">
      <c r="B106" s="968"/>
      <c r="C106" s="968"/>
      <c r="D106" s="968"/>
      <c r="E106" s="968"/>
      <c r="F106" s="968"/>
      <c r="G106" s="968"/>
      <c r="H106" s="470"/>
      <c r="J106" s="473"/>
      <c r="K106" s="473"/>
      <c r="M106" s="471"/>
      <c r="N106" s="471"/>
      <c r="P106" s="461"/>
    </row>
    <row r="107" spans="2:25" s="462" customFormat="1" ht="25.5" customHeight="1">
      <c r="B107" s="968"/>
      <c r="C107" s="968"/>
      <c r="D107" s="968"/>
      <c r="E107" s="968"/>
      <c r="F107" s="968"/>
      <c r="G107" s="968"/>
      <c r="H107" s="470"/>
      <c r="J107" s="473"/>
      <c r="K107" s="473"/>
      <c r="M107" s="471"/>
      <c r="N107" s="471"/>
      <c r="P107" s="461"/>
    </row>
    <row r="108" spans="2:25" s="462" customFormat="1" ht="25.5" customHeight="1">
      <c r="B108" s="973" t="s">
        <v>525</v>
      </c>
      <c r="C108" s="973"/>
      <c r="D108" s="973"/>
      <c r="E108" s="973"/>
      <c r="F108" s="973"/>
      <c r="H108" s="470"/>
      <c r="J108" s="473"/>
      <c r="K108" s="473"/>
      <c r="M108" s="471"/>
      <c r="N108" s="471"/>
      <c r="O108" s="478"/>
      <c r="P108" s="483"/>
    </row>
    <row r="109" spans="2:25" s="603" customFormat="1" ht="25.5" customHeight="1">
      <c r="B109" s="969" t="s">
        <v>526</v>
      </c>
      <c r="C109" s="969"/>
      <c r="D109" s="969"/>
      <c r="E109" s="969"/>
      <c r="F109" s="969"/>
      <c r="G109" s="604"/>
      <c r="H109" s="605"/>
      <c r="I109" s="604"/>
      <c r="J109" s="606"/>
      <c r="K109" s="607"/>
      <c r="L109" s="604"/>
      <c r="M109" s="787"/>
      <c r="N109" s="787"/>
      <c r="O109" s="604"/>
      <c r="P109" s="609"/>
    </row>
    <row r="110" spans="2:25" s="462" customFormat="1" ht="25.5" customHeight="1">
      <c r="B110" s="610" t="s">
        <v>491</v>
      </c>
      <c r="C110" s="811"/>
      <c r="D110" s="59"/>
      <c r="E110" s="59"/>
      <c r="F110" s="484"/>
      <c r="G110" s="478"/>
      <c r="H110" s="479"/>
      <c r="I110" s="478"/>
      <c r="J110" s="480"/>
      <c r="K110" s="611"/>
      <c r="L110" s="611"/>
      <c r="M110" s="478"/>
      <c r="N110" s="481"/>
      <c r="O110" s="481"/>
      <c r="P110" s="502"/>
      <c r="R110" s="474"/>
      <c r="S110" s="474"/>
    </row>
    <row r="111" spans="2:25" s="462" customFormat="1" ht="25.5" customHeight="1">
      <c r="B111" s="34"/>
      <c r="C111" s="34"/>
      <c r="D111" s="34"/>
      <c r="E111" s="34"/>
      <c r="F111" s="484"/>
      <c r="G111" s="478"/>
      <c r="H111" s="479"/>
      <c r="I111" s="478"/>
      <c r="J111" s="480"/>
      <c r="K111" s="611"/>
      <c r="L111" s="611"/>
      <c r="M111" s="478"/>
      <c r="N111" s="481"/>
      <c r="O111" s="481"/>
      <c r="P111" s="502"/>
      <c r="R111" s="474"/>
      <c r="S111" s="474"/>
    </row>
    <row r="112" spans="2:25" s="462" customFormat="1" ht="25.5" customHeight="1">
      <c r="B112" s="74" t="s">
        <v>22</v>
      </c>
      <c r="C112" s="812" t="s">
        <v>51</v>
      </c>
      <c r="D112" s="970" t="s">
        <v>527</v>
      </c>
      <c r="E112" s="970"/>
      <c r="F112" s="970"/>
      <c r="G112" s="970"/>
      <c r="H112" s="970"/>
      <c r="I112" s="970"/>
      <c r="J112" s="970"/>
      <c r="K112" s="970"/>
      <c r="L112" s="579"/>
      <c r="M112" s="580"/>
      <c r="N112" s="580"/>
      <c r="O112" s="481"/>
      <c r="P112" s="502"/>
      <c r="R112" s="474"/>
      <c r="S112" s="474"/>
    </row>
    <row r="113" spans="2:24" s="462" customFormat="1" ht="25.5" customHeight="1">
      <c r="B113" s="80" t="s">
        <v>347</v>
      </c>
      <c r="C113" s="29" t="s">
        <v>528</v>
      </c>
      <c r="D113" s="1043">
        <f>S3_storage.50_SUNET</f>
        <v>0.35</v>
      </c>
      <c r="E113" s="1043"/>
      <c r="F113" s="1032"/>
      <c r="G113" s="1032"/>
      <c r="H113" s="1032"/>
      <c r="I113" s="1032"/>
      <c r="J113" s="1032"/>
      <c r="K113" s="1032"/>
      <c r="L113" s="789"/>
      <c r="M113" s="790"/>
      <c r="N113" s="790"/>
      <c r="O113" s="481"/>
      <c r="P113" s="502"/>
      <c r="R113" s="474"/>
      <c r="S113" s="474"/>
    </row>
    <row r="114" spans="2:24" s="462" customFormat="1" ht="25.5" customHeight="1">
      <c r="B114" s="86" t="s">
        <v>347</v>
      </c>
      <c r="C114" s="34" t="s">
        <v>529</v>
      </c>
      <c r="D114" s="1044">
        <f>S3_storage.100_SUNET</f>
        <v>0.19</v>
      </c>
      <c r="E114" s="1044"/>
      <c r="F114" s="1033"/>
      <c r="G114" s="1033"/>
      <c r="H114" s="1033"/>
      <c r="I114" s="1033"/>
      <c r="J114" s="1033"/>
      <c r="K114" s="1033"/>
      <c r="L114" s="791"/>
      <c r="M114" s="792"/>
      <c r="N114" s="792"/>
      <c r="O114" s="481"/>
      <c r="P114" s="502"/>
      <c r="R114" s="474"/>
      <c r="S114" s="474"/>
    </row>
    <row r="115" spans="2:24" s="462" customFormat="1" ht="25.5" customHeight="1">
      <c r="B115" s="80" t="s">
        <v>347</v>
      </c>
      <c r="C115" s="29" t="s">
        <v>530</v>
      </c>
      <c r="D115" s="1045">
        <f>S3_storage.500_SUNET</f>
        <v>0.1</v>
      </c>
      <c r="E115" s="1045"/>
      <c r="F115" s="1034"/>
      <c r="G115" s="1034"/>
      <c r="H115" s="1034"/>
      <c r="I115" s="1034"/>
      <c r="J115" s="1034"/>
      <c r="K115" s="1034"/>
      <c r="L115" s="793"/>
      <c r="M115" s="794"/>
      <c r="N115" s="794"/>
      <c r="O115" s="481"/>
      <c r="P115" s="502"/>
      <c r="R115" s="474"/>
      <c r="S115" s="474"/>
    </row>
    <row r="116" spans="2:24" s="462" customFormat="1" ht="25.5" customHeight="1">
      <c r="B116" s="86" t="s">
        <v>347</v>
      </c>
      <c r="C116" s="34" t="s">
        <v>531</v>
      </c>
      <c r="D116" s="1044">
        <f>S3_storage.1000_SUNET</f>
        <v>0.06</v>
      </c>
      <c r="E116" s="1044"/>
      <c r="F116" s="1033"/>
      <c r="G116" s="1033"/>
      <c r="H116" s="1033"/>
      <c r="I116" s="1033"/>
      <c r="J116" s="1033"/>
      <c r="K116" s="1033"/>
      <c r="L116" s="791"/>
      <c r="M116" s="792"/>
      <c r="N116" s="792"/>
      <c r="O116" s="481"/>
      <c r="P116" s="502"/>
      <c r="R116" s="474"/>
      <c r="S116" s="474"/>
    </row>
    <row r="117" spans="2:24" s="462" customFormat="1" ht="25.5" customHeight="1">
      <c r="B117" s="80" t="s">
        <v>347</v>
      </c>
      <c r="C117" s="29" t="s">
        <v>457</v>
      </c>
      <c r="D117" s="1046" t="str">
        <f>S3_storage.quote_SUNET</f>
        <v>Be om offert</v>
      </c>
      <c r="E117" s="1046"/>
      <c r="F117" s="1035"/>
      <c r="G117" s="1035"/>
      <c r="H117" s="1035"/>
      <c r="I117" s="1035"/>
      <c r="J117" s="1035"/>
      <c r="K117" s="1035"/>
      <c r="L117" s="466"/>
      <c r="M117" s="463"/>
      <c r="N117" s="463"/>
      <c r="O117" s="481"/>
      <c r="P117" s="502"/>
      <c r="R117" s="474"/>
      <c r="S117" s="474"/>
    </row>
    <row r="118" spans="2:24" s="462" customFormat="1" ht="25.5" customHeight="1">
      <c r="B118" s="795"/>
      <c r="C118" s="824"/>
      <c r="D118" s="796"/>
      <c r="E118" s="796"/>
      <c r="F118" s="481"/>
      <c r="G118" s="481"/>
      <c r="H118" s="481"/>
      <c r="I118" s="481"/>
      <c r="J118" s="481"/>
      <c r="K118" s="481"/>
      <c r="L118" s="481"/>
      <c r="M118" s="481"/>
      <c r="N118" s="481"/>
      <c r="O118" s="481"/>
      <c r="P118" s="502"/>
      <c r="R118" s="474"/>
      <c r="S118" s="474"/>
    </row>
    <row r="119" spans="2:24" s="543" customFormat="1" ht="25.5" customHeight="1">
      <c r="B119" s="4"/>
      <c r="C119" s="200"/>
      <c r="D119" s="60"/>
      <c r="E119" s="60"/>
      <c r="F119" s="484"/>
      <c r="G119" s="478"/>
      <c r="H119" s="479"/>
      <c r="I119" s="478"/>
      <c r="J119" s="480"/>
      <c r="K119" s="611"/>
      <c r="L119" s="611"/>
      <c r="M119" s="478"/>
      <c r="N119" s="481"/>
      <c r="O119" s="481"/>
      <c r="P119" s="635"/>
      <c r="R119" s="578"/>
      <c r="S119" s="578"/>
      <c r="T119" s="578"/>
      <c r="U119" s="578"/>
      <c r="V119" s="578"/>
      <c r="W119" s="578"/>
      <c r="X119" s="578"/>
    </row>
    <row r="120" spans="2:24" ht="25.5" customHeight="1">
      <c r="B120" s="74" t="s">
        <v>22</v>
      </c>
      <c r="C120" s="172"/>
      <c r="D120" s="172"/>
      <c r="E120" s="2" t="s">
        <v>30</v>
      </c>
      <c r="F120" s="970" t="s">
        <v>523</v>
      </c>
      <c r="G120" s="970"/>
      <c r="H120" s="581" t="s">
        <v>51</v>
      </c>
      <c r="I120" s="580"/>
      <c r="J120" s="580"/>
      <c r="K120" s="172" t="s">
        <v>532</v>
      </c>
      <c r="L120" s="580"/>
      <c r="M120" s="580"/>
      <c r="N120" s="579" t="s">
        <v>38</v>
      </c>
      <c r="O120" s="620"/>
      <c r="P120" s="502"/>
      <c r="R120" s="474"/>
      <c r="S120" s="474"/>
    </row>
    <row r="121" spans="2:24" s="551" customFormat="1" ht="25.5" customHeight="1">
      <c r="B121" s="216" t="s">
        <v>347</v>
      </c>
      <c r="C121" s="217"/>
      <c r="D121" s="217"/>
      <c r="E121" s="218">
        <f>F121/720</f>
        <v>4.861111111111111E-4</v>
      </c>
      <c r="F121" s="1047">
        <f t="array" ref="F121">_xlfn.IFS(H121&lt;=299,D113,H121&lt;1000,D114,H121&lt;2000,D115,H121&gt;=2000,D116)</f>
        <v>0.35</v>
      </c>
      <c r="G121" s="1047"/>
      <c r="H121" s="616">
        <v>0</v>
      </c>
      <c r="I121" s="617" t="s">
        <v>53</v>
      </c>
      <c r="J121" s="618"/>
      <c r="K121" s="618" t="str">
        <f t="array" ref="K121">_xlfn.IFS(H121&lt;=299,"6 månader",H121&lt;1000,"12 månader",H121&lt;2000,"12 månader",H121&gt;=2000,"36 månader")</f>
        <v>6 månader</v>
      </c>
      <c r="L121" s="618"/>
      <c r="M121" s="1048">
        <f>ROUNDUP((H121*1000)*F121,2)</f>
        <v>0</v>
      </c>
      <c r="N121" s="1048"/>
      <c r="O121" s="620"/>
      <c r="P121" s="574"/>
      <c r="R121" s="559"/>
      <c r="S121" s="559"/>
    </row>
    <row r="122" spans="2:24" ht="25.5" customHeight="1">
      <c r="B122" s="629" t="s">
        <v>59</v>
      </c>
      <c r="C122" s="814"/>
      <c r="D122" s="139"/>
      <c r="E122" s="139"/>
      <c r="F122" s="511"/>
      <c r="G122" s="512"/>
      <c r="H122" s="512"/>
      <c r="I122" s="512"/>
      <c r="J122" s="512"/>
      <c r="K122" s="631"/>
      <c r="L122" s="631"/>
      <c r="M122" s="1049">
        <f>SUM(M121)</f>
        <v>0</v>
      </c>
      <c r="N122" s="1049"/>
      <c r="O122" s="620"/>
      <c r="P122" s="502"/>
      <c r="R122" s="474"/>
      <c r="S122" s="474"/>
    </row>
    <row r="123" spans="2:24" ht="25.5" customHeight="1">
      <c r="B123" s="228"/>
      <c r="C123" s="825"/>
      <c r="D123" s="228"/>
      <c r="E123" s="228"/>
      <c r="F123" s="636"/>
      <c r="G123" s="637"/>
      <c r="H123" s="598"/>
      <c r="I123" s="598"/>
      <c r="J123" s="598"/>
      <c r="K123" s="598"/>
      <c r="L123" s="598"/>
      <c r="M123" s="638"/>
      <c r="N123" s="638"/>
      <c r="O123" s="620"/>
      <c r="P123" s="502"/>
      <c r="R123" s="474"/>
      <c r="S123" s="474"/>
    </row>
    <row r="124" spans="2:24" ht="25.5" customHeight="1">
      <c r="B124" s="228"/>
      <c r="C124" s="825"/>
      <c r="D124" s="228"/>
      <c r="E124" s="228"/>
      <c r="F124" s="636"/>
      <c r="G124" s="637"/>
      <c r="H124" s="598"/>
      <c r="I124" s="598"/>
      <c r="J124" s="598"/>
      <c r="K124" s="598"/>
      <c r="L124" s="598"/>
      <c r="M124" s="638"/>
      <c r="N124" s="638"/>
      <c r="O124" s="638"/>
      <c r="P124" s="502"/>
      <c r="R124" s="474"/>
      <c r="S124" s="474"/>
      <c r="V124" s="462"/>
    </row>
    <row r="125" spans="2:24" s="462" customFormat="1" ht="25.5" customHeight="1">
      <c r="B125" s="228"/>
      <c r="C125" s="825"/>
      <c r="D125" s="228"/>
      <c r="E125" s="228"/>
      <c r="F125" s="636"/>
      <c r="G125" s="637"/>
      <c r="H125" s="598"/>
      <c r="I125" s="598"/>
      <c r="J125" s="598"/>
      <c r="K125" s="598"/>
      <c r="L125" s="598"/>
      <c r="M125" s="638"/>
      <c r="N125" s="638"/>
      <c r="O125" s="638"/>
      <c r="P125" s="461"/>
    </row>
    <row r="126" spans="2:24" s="462" customFormat="1" ht="25.5" customHeight="1">
      <c r="B126" s="968" t="s">
        <v>142</v>
      </c>
      <c r="C126" s="968"/>
      <c r="D126" s="968"/>
      <c r="E126" s="968"/>
      <c r="F126" s="968"/>
      <c r="G126" s="968"/>
      <c r="H126" s="470"/>
      <c r="J126" s="473"/>
      <c r="K126" s="473"/>
      <c r="L126" s="473"/>
      <c r="N126" s="471"/>
      <c r="O126" s="471"/>
      <c r="P126" s="461"/>
    </row>
    <row r="127" spans="2:24" s="462" customFormat="1" ht="25.5" customHeight="1">
      <c r="B127" s="968"/>
      <c r="C127" s="968"/>
      <c r="D127" s="968"/>
      <c r="E127" s="968"/>
      <c r="F127" s="968"/>
      <c r="G127" s="968"/>
      <c r="H127" s="470"/>
      <c r="J127" s="473"/>
      <c r="K127" s="473"/>
      <c r="L127" s="473"/>
      <c r="N127" s="471"/>
      <c r="O127" s="471"/>
      <c r="P127" s="461"/>
    </row>
    <row r="128" spans="2:24" s="462" customFormat="1" ht="25.5" customHeight="1">
      <c r="B128" s="968"/>
      <c r="C128" s="968"/>
      <c r="D128" s="968"/>
      <c r="E128" s="968"/>
      <c r="F128" s="968"/>
      <c r="G128" s="968"/>
      <c r="H128" s="470"/>
      <c r="J128" s="473"/>
      <c r="K128" s="473"/>
      <c r="L128" s="473"/>
      <c r="N128" s="471"/>
      <c r="O128" s="471"/>
      <c r="P128" s="461"/>
    </row>
    <row r="129" spans="2:35" s="462" customFormat="1" ht="25.5" customHeight="1">
      <c r="B129" s="983" t="s">
        <v>349</v>
      </c>
      <c r="C129" s="983"/>
      <c r="D129" s="983"/>
      <c r="E129" s="983"/>
      <c r="F129" s="983"/>
      <c r="H129" s="470"/>
      <c r="J129" s="473"/>
      <c r="K129" s="473"/>
      <c r="L129" s="473"/>
      <c r="N129" s="471"/>
      <c r="O129" s="471"/>
      <c r="P129" s="483"/>
    </row>
    <row r="130" spans="2:35" s="462" customFormat="1" ht="25.5" customHeight="1">
      <c r="B130" s="996" t="s">
        <v>533</v>
      </c>
      <c r="C130" s="996"/>
      <c r="D130" s="996"/>
      <c r="E130" s="996"/>
      <c r="F130" s="996"/>
      <c r="G130" s="478"/>
      <c r="H130" s="479"/>
      <c r="I130" s="478"/>
      <c r="J130" s="480"/>
      <c r="K130" s="611"/>
      <c r="L130" s="611"/>
      <c r="M130" s="478"/>
      <c r="N130" s="481"/>
      <c r="O130" s="481"/>
      <c r="P130" s="483"/>
    </row>
    <row r="131" spans="2:35" s="486" customFormat="1" ht="25.5" customHeight="1">
      <c r="B131" s="610" t="s">
        <v>534</v>
      </c>
      <c r="C131" s="811"/>
      <c r="D131" s="59"/>
      <c r="E131" s="59"/>
      <c r="F131" s="484"/>
      <c r="G131" s="478"/>
      <c r="H131" s="479"/>
      <c r="I131" s="478"/>
      <c r="J131" s="480"/>
      <c r="K131" s="611"/>
      <c r="L131" s="611"/>
      <c r="M131" s="462"/>
      <c r="N131" s="481"/>
      <c r="O131" s="481"/>
      <c r="P131" s="502"/>
      <c r="R131" s="474"/>
      <c r="S131" s="474"/>
      <c r="T131" s="474"/>
      <c r="U131" s="474"/>
      <c r="V131" s="474"/>
      <c r="W131" s="474"/>
      <c r="X131" s="474"/>
      <c r="AA131" s="446"/>
      <c r="AB131" s="446"/>
      <c r="AC131" s="446"/>
    </row>
    <row r="132" spans="2:35" s="543" customFormat="1" ht="25.5" customHeight="1">
      <c r="B132" s="215"/>
      <c r="C132" s="154"/>
      <c r="D132" s="154"/>
      <c r="E132" s="154"/>
      <c r="F132" s="486"/>
      <c r="G132" s="486"/>
      <c r="H132" s="486"/>
      <c r="I132" s="486"/>
      <c r="J132" s="486"/>
      <c r="K132" s="486"/>
      <c r="L132" s="486"/>
      <c r="M132" s="446"/>
      <c r="N132" s="563"/>
      <c r="O132" s="563"/>
      <c r="P132" s="635"/>
      <c r="S132" s="578"/>
      <c r="T132" s="578"/>
      <c r="U132" s="578"/>
      <c r="V132" s="578"/>
      <c r="W132" s="578"/>
      <c r="X132" s="578"/>
    </row>
    <row r="133" spans="2:35" ht="25">
      <c r="B133" s="74" t="s">
        <v>22</v>
      </c>
      <c r="C133" s="970" t="s">
        <v>195</v>
      </c>
      <c r="D133" s="970"/>
      <c r="E133" s="2" t="s">
        <v>30</v>
      </c>
      <c r="F133" s="970" t="s">
        <v>523</v>
      </c>
      <c r="G133" s="970"/>
      <c r="H133" s="581" t="s">
        <v>197</v>
      </c>
      <c r="I133" s="580"/>
      <c r="J133" s="985" t="s">
        <v>535</v>
      </c>
      <c r="K133" s="985"/>
      <c r="L133" s="639"/>
      <c r="M133" s="580"/>
      <c r="N133" s="579" t="s">
        <v>69</v>
      </c>
      <c r="O133" s="563"/>
      <c r="P133" s="452"/>
    </row>
    <row r="134" spans="2:35" ht="25.5" customHeight="1">
      <c r="B134" s="640" t="s">
        <v>353</v>
      </c>
      <c r="C134" s="798"/>
      <c r="D134" s="235" t="s">
        <v>19</v>
      </c>
      <c r="E134" s="235" t="s">
        <v>19</v>
      </c>
      <c r="F134" s="1036">
        <f>BAAS_on.demand_SEK</f>
        <v>2.4500000000000002</v>
      </c>
      <c r="G134" s="1036"/>
      <c r="H134" s="642">
        <v>0</v>
      </c>
      <c r="I134" s="784" t="s">
        <v>84</v>
      </c>
      <c r="J134" s="988" t="s">
        <v>19</v>
      </c>
      <c r="K134" s="988"/>
      <c r="L134" s="643"/>
      <c r="M134" s="589"/>
      <c r="N134" s="735">
        <f>ROUNDUP(H134*F134,2)</f>
        <v>0</v>
      </c>
      <c r="O134" s="563"/>
      <c r="P134" s="452"/>
    </row>
    <row r="135" spans="2:35" ht="25.5" customHeight="1">
      <c r="B135" s="644" t="s">
        <v>354</v>
      </c>
      <c r="C135" s="559"/>
      <c r="D135" s="277">
        <v>5500</v>
      </c>
      <c r="E135" s="646" t="s">
        <v>19</v>
      </c>
      <c r="F135" s="1037">
        <f>BAAS_small_SEK</f>
        <v>1.75</v>
      </c>
      <c r="G135" s="1037"/>
      <c r="H135" s="647">
        <v>0</v>
      </c>
      <c r="I135" s="785" t="s">
        <v>84</v>
      </c>
      <c r="J135" s="991">
        <v>0.75</v>
      </c>
      <c r="K135" s="991"/>
      <c r="L135" s="594"/>
      <c r="M135" s="594"/>
      <c r="N135" s="786">
        <f>IF(H135&gt;0,IF(SUM($D$135+($F$135*((H135*(1-$J$135))-1000)))&lt;=D135,$D$135,$D$135+($F$135*((H135*(1-$J$135))-1000))),0)</f>
        <v>0</v>
      </c>
      <c r="O135" s="563"/>
      <c r="P135" s="452"/>
    </row>
    <row r="136" spans="2:35" s="648" customFormat="1" ht="25.5" customHeight="1">
      <c r="B136" s="649" t="s">
        <v>355</v>
      </c>
      <c r="C136" s="721"/>
      <c r="D136" s="362">
        <v>9500</v>
      </c>
      <c r="E136" s="651" t="s">
        <v>19</v>
      </c>
      <c r="F136" s="1038">
        <f>BAAS_large_SEK</f>
        <v>0.92</v>
      </c>
      <c r="G136" s="1038"/>
      <c r="H136" s="616">
        <v>0</v>
      </c>
      <c r="I136" s="617" t="s">
        <v>84</v>
      </c>
      <c r="J136" s="994">
        <v>0.75</v>
      </c>
      <c r="K136" s="994"/>
      <c r="L136" s="652"/>
      <c r="M136" s="652"/>
      <c r="N136" s="739">
        <f>IF(H136&gt;0,$D$136+($F$136*(H136*(1-$J$136))),0)</f>
        <v>0</v>
      </c>
      <c r="O136" s="563"/>
      <c r="P136" s="654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</row>
    <row r="137" spans="2:35" s="648" customFormat="1" ht="25.5" customHeight="1">
      <c r="B137" s="629" t="s">
        <v>59</v>
      </c>
      <c r="C137" s="814"/>
      <c r="D137" s="139"/>
      <c r="E137" s="139"/>
      <c r="F137" s="511"/>
      <c r="G137" s="512"/>
      <c r="H137" s="596" t="str">
        <f>SUM(H134:H136)&amp;" GB"</f>
        <v>0 GB</v>
      </c>
      <c r="I137" s="512"/>
      <c r="J137" s="512"/>
      <c r="K137" s="631"/>
      <c r="L137" s="631"/>
      <c r="N137" s="779">
        <f>SUM(N134:N136)</f>
        <v>0</v>
      </c>
      <c r="O137" s="563"/>
      <c r="P137" s="654"/>
      <c r="R137" s="655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</row>
    <row r="138" spans="2:35" s="648" customFormat="1" ht="25.5" customHeight="1">
      <c r="B138" s="629"/>
      <c r="C138" s="814"/>
      <c r="D138" s="139"/>
      <c r="E138" s="139"/>
      <c r="F138" s="511"/>
      <c r="G138" s="512"/>
      <c r="H138" s="512"/>
      <c r="I138" s="512"/>
      <c r="J138" s="512"/>
      <c r="K138" s="631"/>
      <c r="L138" s="631"/>
      <c r="M138" s="513"/>
      <c r="N138" s="513"/>
      <c r="O138" s="563"/>
      <c r="P138" s="654"/>
      <c r="R138" s="655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</row>
    <row r="139" spans="2:35" s="648" customFormat="1" ht="25.5" customHeight="1">
      <c r="B139" s="656" t="s">
        <v>536</v>
      </c>
      <c r="C139" s="814"/>
      <c r="D139" s="139"/>
      <c r="E139" s="139"/>
      <c r="F139" s="511"/>
      <c r="G139" s="512"/>
      <c r="H139" s="512"/>
      <c r="I139" s="512"/>
      <c r="J139" s="512"/>
      <c r="K139" s="631"/>
      <c r="L139" s="631"/>
      <c r="M139" s="513"/>
      <c r="N139" s="513"/>
      <c r="O139" s="513"/>
      <c r="P139" s="654"/>
      <c r="R139" s="655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</row>
    <row r="140" spans="2:35" ht="25.5" customHeight="1">
      <c r="B140" s="656" t="s">
        <v>537</v>
      </c>
      <c r="C140" s="814"/>
      <c r="D140" s="139"/>
      <c r="E140" s="139"/>
      <c r="F140" s="511"/>
      <c r="G140" s="512"/>
      <c r="H140" s="512"/>
      <c r="I140" s="512"/>
      <c r="J140" s="512"/>
      <c r="K140" s="631"/>
      <c r="L140" s="631"/>
      <c r="M140" s="513"/>
      <c r="N140" s="513"/>
      <c r="O140" s="513"/>
      <c r="P140" s="502"/>
      <c r="R140" s="474"/>
      <c r="S140" s="474"/>
    </row>
    <row r="141" spans="2:35" ht="25.5" customHeight="1">
      <c r="B141" s="656" t="s">
        <v>538</v>
      </c>
      <c r="C141" s="825"/>
      <c r="D141" s="228"/>
      <c r="E141" s="228"/>
      <c r="F141" s="636"/>
      <c r="G141" s="637"/>
      <c r="H141" s="598"/>
      <c r="I141" s="598"/>
      <c r="J141" s="598"/>
      <c r="K141" s="598"/>
      <c r="L141" s="598"/>
      <c r="M141" s="638"/>
      <c r="N141" s="638"/>
      <c r="O141" s="638"/>
      <c r="P141" s="502"/>
      <c r="R141" s="474"/>
      <c r="S141" s="474"/>
    </row>
    <row r="142" spans="2:35" ht="25.5" customHeight="1">
      <c r="B142" s="656" t="s">
        <v>539</v>
      </c>
      <c r="C142" s="825"/>
      <c r="D142" s="228"/>
      <c r="E142" s="228"/>
      <c r="F142" s="636"/>
      <c r="G142" s="637"/>
      <c r="H142" s="598"/>
      <c r="I142" s="598"/>
      <c r="J142" s="598"/>
      <c r="K142" s="598"/>
      <c r="L142" s="638"/>
      <c r="M142" s="638"/>
      <c r="N142" s="638"/>
      <c r="O142" s="486"/>
      <c r="P142" s="502"/>
      <c r="Q142" s="474"/>
      <c r="R142" s="474"/>
    </row>
    <row r="143" spans="2:35" ht="25.5" customHeight="1">
      <c r="B143" s="249"/>
      <c r="C143" s="825"/>
      <c r="D143" s="228"/>
      <c r="E143" s="228"/>
      <c r="F143" s="636"/>
      <c r="G143" s="637"/>
      <c r="H143" s="598"/>
      <c r="I143" s="598"/>
      <c r="J143" s="598"/>
      <c r="K143" s="598"/>
      <c r="L143" s="638"/>
      <c r="M143" s="638"/>
      <c r="N143" s="638"/>
      <c r="O143" s="486"/>
      <c r="P143" s="502"/>
      <c r="Q143" s="474"/>
      <c r="R143" s="474"/>
    </row>
    <row r="144" spans="2:35" ht="25.5" customHeight="1">
      <c r="B144" s="249"/>
      <c r="C144" s="825"/>
      <c r="D144" s="228"/>
      <c r="E144" s="228"/>
      <c r="F144" s="636"/>
      <c r="G144" s="637"/>
      <c r="H144" s="598"/>
      <c r="I144" s="598"/>
      <c r="J144" s="598"/>
      <c r="K144" s="598"/>
      <c r="L144" s="638"/>
      <c r="M144" s="638"/>
      <c r="N144" s="638"/>
      <c r="O144" s="486"/>
      <c r="P144" s="502"/>
      <c r="Q144" s="474"/>
      <c r="R144" s="474"/>
    </row>
    <row r="145" spans="1:23" ht="25.5" customHeight="1">
      <c r="B145" s="249"/>
      <c r="C145" s="825"/>
      <c r="D145" s="228"/>
      <c r="E145" s="228"/>
      <c r="F145" s="636"/>
      <c r="G145" s="637"/>
      <c r="H145" s="598"/>
      <c r="I145" s="598"/>
      <c r="J145" s="598"/>
      <c r="K145" s="598"/>
      <c r="L145" s="638"/>
      <c r="M145" s="638"/>
      <c r="N145" s="638"/>
      <c r="O145" s="486"/>
      <c r="P145" s="502"/>
      <c r="Q145" s="474"/>
      <c r="R145" s="474"/>
    </row>
    <row r="146" spans="1:23" ht="25.5" customHeight="1">
      <c r="A146" s="680"/>
      <c r="B146" s="681"/>
      <c r="C146" s="826"/>
      <c r="D146" s="297"/>
      <c r="E146" s="297"/>
      <c r="F146" s="682"/>
      <c r="G146" s="683"/>
      <c r="H146" s="684"/>
      <c r="I146" s="684"/>
      <c r="J146" s="684"/>
      <c r="K146" s="684"/>
      <c r="L146" s="685"/>
      <c r="M146" s="685"/>
      <c r="N146" s="685"/>
      <c r="O146" s="687"/>
      <c r="P146" s="502"/>
      <c r="Q146" s="474"/>
      <c r="R146" s="474"/>
    </row>
    <row r="147" spans="1:23" s="462" customFormat="1" ht="25.5" customHeight="1">
      <c r="A147" s="456"/>
      <c r="B147" s="305"/>
      <c r="C147" s="827"/>
      <c r="D147" s="305"/>
      <c r="E147" s="305"/>
      <c r="F147" s="688"/>
      <c r="G147" s="689"/>
      <c r="H147" s="690"/>
      <c r="I147" s="690"/>
      <c r="J147" s="690"/>
      <c r="K147" s="690"/>
      <c r="L147" s="691"/>
      <c r="M147" s="691"/>
      <c r="N147" s="691"/>
      <c r="O147" s="456"/>
      <c r="P147" s="461"/>
    </row>
    <row r="148" spans="1:23" s="462" customFormat="1" ht="25.5" customHeight="1">
      <c r="A148" s="456"/>
      <c r="B148" s="305"/>
      <c r="C148" s="827"/>
      <c r="D148" s="305"/>
      <c r="E148" s="305"/>
      <c r="F148" s="688"/>
      <c r="G148" s="689"/>
      <c r="H148" s="690"/>
      <c r="I148" s="690"/>
      <c r="J148" s="690"/>
      <c r="K148" s="690"/>
      <c r="L148" s="691"/>
      <c r="M148" s="691"/>
      <c r="N148" s="691"/>
      <c r="O148" s="456"/>
      <c r="P148" s="461"/>
    </row>
    <row r="149" spans="1:23" s="462" customFormat="1" ht="25.5" customHeight="1">
      <c r="A149" s="456"/>
      <c r="B149" s="305"/>
      <c r="C149" s="827"/>
      <c r="D149" s="305"/>
      <c r="E149" s="305"/>
      <c r="F149" s="688"/>
      <c r="G149" s="689"/>
      <c r="H149" s="690"/>
      <c r="I149" s="690"/>
      <c r="J149" s="690"/>
      <c r="K149" s="690"/>
      <c r="L149" s="691"/>
      <c r="M149" s="691"/>
      <c r="N149" s="691"/>
      <c r="O149" s="456"/>
      <c r="P149" s="461"/>
    </row>
    <row r="150" spans="1:23" s="462" customFormat="1" ht="25.5" customHeight="1">
      <c r="A150" s="456"/>
      <c r="B150" s="1024" t="s">
        <v>225</v>
      </c>
      <c r="C150" s="1024"/>
      <c r="D150" s="1024"/>
      <c r="E150" s="1024"/>
      <c r="F150" s="1024"/>
      <c r="G150" s="1024"/>
      <c r="H150" s="458"/>
      <c r="I150" s="456"/>
      <c r="J150" s="498"/>
      <c r="K150" s="498"/>
      <c r="L150" s="456"/>
      <c r="M150" s="459"/>
      <c r="N150" s="459"/>
      <c r="O150" s="456"/>
      <c r="P150" s="461"/>
    </row>
    <row r="151" spans="1:23" s="462" customFormat="1" ht="25.5" customHeight="1">
      <c r="A151" s="456"/>
      <c r="B151" s="1024"/>
      <c r="C151" s="1024"/>
      <c r="D151" s="1024"/>
      <c r="E151" s="1024"/>
      <c r="F151" s="1024"/>
      <c r="G151" s="1024"/>
      <c r="H151" s="458"/>
      <c r="I151" s="456"/>
      <c r="J151" s="498"/>
      <c r="K151" s="498"/>
      <c r="L151" s="456"/>
      <c r="M151" s="459"/>
      <c r="N151" s="459"/>
      <c r="O151" s="456"/>
      <c r="P151" s="461"/>
    </row>
    <row r="152" spans="1:23" s="462" customFormat="1" ht="25.5" customHeight="1">
      <c r="A152" s="456"/>
      <c r="B152" s="1024"/>
      <c r="C152" s="1024"/>
      <c r="D152" s="1024"/>
      <c r="E152" s="1024"/>
      <c r="F152" s="1024"/>
      <c r="G152" s="1024"/>
      <c r="H152" s="458"/>
      <c r="I152" s="456"/>
      <c r="J152" s="498"/>
      <c r="K152" s="498"/>
      <c r="L152" s="456"/>
      <c r="M152" s="459"/>
      <c r="N152" s="459"/>
      <c r="O152" s="456"/>
      <c r="P152" s="461"/>
    </row>
    <row r="153" spans="1:23" s="462" customFormat="1" ht="25.5" customHeight="1">
      <c r="A153" s="456"/>
      <c r="B153" s="1040" t="s">
        <v>533</v>
      </c>
      <c r="C153" s="1040"/>
      <c r="D153" s="1040"/>
      <c r="E153" s="1040"/>
      <c r="F153" s="1040"/>
      <c r="G153" s="456"/>
      <c r="H153" s="458"/>
      <c r="I153" s="456"/>
      <c r="J153" s="498"/>
      <c r="K153" s="498"/>
      <c r="L153" s="456"/>
      <c r="M153" s="459"/>
      <c r="N153" s="459"/>
      <c r="O153" s="693"/>
      <c r="P153" s="483"/>
    </row>
    <row r="154" spans="1:23" s="462" customFormat="1" ht="25.5" customHeight="1">
      <c r="A154" s="456"/>
      <c r="B154" s="28"/>
      <c r="C154" s="29"/>
      <c r="D154" s="28"/>
      <c r="E154" s="28"/>
      <c r="F154" s="694"/>
      <c r="G154" s="456"/>
      <c r="H154" s="458"/>
      <c r="I154" s="456"/>
      <c r="J154" s="498"/>
      <c r="K154" s="498"/>
      <c r="L154" s="456"/>
      <c r="M154" s="459"/>
      <c r="N154" s="459"/>
      <c r="O154" s="693"/>
      <c r="P154" s="483"/>
    </row>
    <row r="155" spans="1:23" s="462" customFormat="1" ht="25.5" customHeight="1">
      <c r="A155" s="456"/>
      <c r="B155" s="22" t="s">
        <v>540</v>
      </c>
      <c r="C155" s="29"/>
      <c r="D155" s="28"/>
      <c r="E155" s="28"/>
      <c r="F155" s="694"/>
      <c r="G155" s="456"/>
      <c r="H155" s="458"/>
      <c r="I155" s="456"/>
      <c r="J155" s="498"/>
      <c r="K155" s="498"/>
      <c r="L155" s="456"/>
      <c r="M155" s="459"/>
      <c r="N155" s="459"/>
      <c r="O155" s="693"/>
      <c r="P155" s="483"/>
    </row>
    <row r="156" spans="1:23" s="462" customFormat="1" ht="25.5" customHeight="1">
      <c r="A156" s="456"/>
      <c r="B156" s="23" t="s">
        <v>147</v>
      </c>
      <c r="C156" s="29"/>
      <c r="D156" s="28"/>
      <c r="E156" s="28"/>
      <c r="F156" s="694"/>
      <c r="G156" s="456"/>
      <c r="H156" s="458"/>
      <c r="I156" s="456"/>
      <c r="J156" s="498"/>
      <c r="K156" s="498"/>
      <c r="L156" s="456"/>
      <c r="M156" s="459"/>
      <c r="N156" s="459"/>
      <c r="O156" s="693"/>
      <c r="P156" s="483"/>
    </row>
    <row r="157" spans="1:23" s="462" customFormat="1" ht="25.5" customHeight="1">
      <c r="A157" s="456"/>
      <c r="B157" s="695" t="s">
        <v>427</v>
      </c>
      <c r="C157" s="313"/>
      <c r="D157" s="313"/>
      <c r="E157" s="313"/>
      <c r="F157" s="696"/>
      <c r="G157" s="693"/>
      <c r="H157" s="697"/>
      <c r="I157" s="693"/>
      <c r="J157" s="828"/>
      <c r="K157" s="698"/>
      <c r="L157" s="693"/>
      <c r="M157" s="699"/>
      <c r="N157" s="699"/>
      <c r="O157" s="693"/>
      <c r="P157" s="483"/>
    </row>
    <row r="158" spans="1:23" s="543" customFormat="1" ht="25.5" customHeight="1">
      <c r="A158" s="701"/>
      <c r="B158" s="318"/>
      <c r="C158" s="313"/>
      <c r="D158" s="318"/>
      <c r="E158" s="318"/>
      <c r="F158" s="702"/>
      <c r="G158" s="693"/>
      <c r="H158" s="697"/>
      <c r="I158" s="693"/>
      <c r="J158" s="828"/>
      <c r="K158" s="698"/>
      <c r="L158" s="693"/>
      <c r="M158" s="699"/>
      <c r="N158" s="699"/>
      <c r="O158" s="701"/>
      <c r="P158" s="635"/>
      <c r="Q158" s="703"/>
      <c r="R158" s="578"/>
      <c r="S158" s="578"/>
      <c r="T158" s="578"/>
      <c r="U158" s="578"/>
      <c r="V158" s="578"/>
      <c r="W158" s="578"/>
    </row>
    <row r="159" spans="1:23" ht="25.5" customHeight="1">
      <c r="A159" s="449"/>
      <c r="B159" s="704" t="s">
        <v>541</v>
      </c>
      <c r="C159" s="322"/>
      <c r="D159" s="323"/>
      <c r="E159" s="322"/>
      <c r="F159" s="705"/>
      <c r="G159" s="705"/>
      <c r="H159" s="705"/>
      <c r="I159" s="705"/>
      <c r="J159" s="705"/>
      <c r="K159" s="706"/>
      <c r="L159" s="706"/>
      <c r="M159" s="705" t="s">
        <v>225</v>
      </c>
      <c r="N159" s="803"/>
      <c r="O159" s="708"/>
      <c r="P159" s="452"/>
      <c r="Q159" s="655"/>
    </row>
    <row r="160" spans="1:23" ht="25.5" customHeight="1">
      <c r="A160" s="449"/>
      <c r="B160" s="1051" t="s">
        <v>430</v>
      </c>
      <c r="C160" s="1051"/>
      <c r="D160" s="829"/>
      <c r="E160" s="329"/>
      <c r="F160" s="830"/>
      <c r="G160" s="711"/>
      <c r="H160" s="711"/>
      <c r="I160" s="711"/>
      <c r="J160" s="711"/>
      <c r="K160" s="831"/>
      <c r="L160" s="831"/>
      <c r="M160" s="711">
        <f>M86+M94+M60+M36+N101</f>
        <v>0</v>
      </c>
      <c r="N160" s="735"/>
      <c r="O160" s="449"/>
      <c r="P160" s="452"/>
      <c r="Q160" s="655"/>
    </row>
    <row r="161" spans="1:17" ht="25.5" customHeight="1">
      <c r="A161" s="449"/>
      <c r="B161" s="1052" t="s">
        <v>431</v>
      </c>
      <c r="C161" s="1052"/>
      <c r="D161" s="341"/>
      <c r="E161" s="342"/>
      <c r="F161" s="716"/>
      <c r="G161" s="717"/>
      <c r="H161" s="717"/>
      <c r="I161" s="717"/>
      <c r="J161" s="717"/>
      <c r="K161" s="832"/>
      <c r="L161" s="832"/>
      <c r="M161" s="717">
        <f>M122</f>
        <v>0</v>
      </c>
      <c r="N161" s="735"/>
      <c r="O161" s="449"/>
      <c r="P161" s="452"/>
      <c r="Q161" s="655"/>
    </row>
    <row r="162" spans="1:17" ht="25.5" customHeight="1">
      <c r="A162" s="449"/>
      <c r="B162" s="340" t="s">
        <v>432</v>
      </c>
      <c r="C162" s="833"/>
      <c r="D162" s="341"/>
      <c r="E162" s="342"/>
      <c r="F162" s="716"/>
      <c r="G162" s="717"/>
      <c r="H162" s="717"/>
      <c r="I162" s="717"/>
      <c r="J162" s="717"/>
      <c r="K162" s="832"/>
      <c r="L162" s="832"/>
      <c r="M162" s="717">
        <f>N137</f>
        <v>0</v>
      </c>
      <c r="N162" s="735"/>
      <c r="O162" s="449"/>
      <c r="P162" s="452"/>
      <c r="Q162" s="655"/>
    </row>
    <row r="163" spans="1:17" s="726" customFormat="1" ht="25.5" customHeight="1">
      <c r="A163" s="720"/>
      <c r="B163" s="1053" t="s">
        <v>542</v>
      </c>
      <c r="C163" s="1053"/>
      <c r="D163" s="362"/>
      <c r="E163" s="363"/>
      <c r="F163" s="722"/>
      <c r="G163" s="723"/>
      <c r="H163" s="723"/>
      <c r="I163" s="723"/>
      <c r="J163" s="723"/>
      <c r="K163" s="738"/>
      <c r="L163" s="738"/>
      <c r="M163" s="723">
        <f>N86+N94+N60+N36</f>
        <v>0</v>
      </c>
      <c r="N163" s="735"/>
      <c r="O163" s="720"/>
      <c r="P163" s="725"/>
    </row>
    <row r="164" spans="1:17" ht="25.5" customHeight="1">
      <c r="A164" s="449"/>
      <c r="B164" s="731" t="s">
        <v>59</v>
      </c>
      <c r="C164" s="834"/>
      <c r="D164" s="351"/>
      <c r="E164" s="351"/>
      <c r="F164" s="727"/>
      <c r="G164" s="728"/>
      <c r="H164" s="728"/>
      <c r="I164" s="728"/>
      <c r="J164" s="1050">
        <f>SUM(M160:M163)</f>
        <v>0</v>
      </c>
      <c r="K164" s="1050"/>
      <c r="L164" s="1050"/>
      <c r="M164" s="1050"/>
      <c r="N164" s="732"/>
      <c r="O164" s="449"/>
      <c r="P164" s="452"/>
    </row>
    <row r="165" spans="1:17" ht="25.5" customHeight="1">
      <c r="A165" s="449"/>
      <c r="B165" s="731"/>
      <c r="C165" s="834"/>
      <c r="D165" s="351"/>
      <c r="E165" s="351"/>
      <c r="F165" s="727"/>
      <c r="G165" s="728"/>
      <c r="H165" s="728"/>
      <c r="I165" s="728"/>
      <c r="J165" s="732"/>
      <c r="K165" s="732"/>
      <c r="L165" s="732"/>
      <c r="M165" s="732"/>
      <c r="N165" s="732"/>
      <c r="O165" s="449"/>
      <c r="P165" s="452"/>
    </row>
    <row r="166" spans="1:17" ht="25.5" customHeight="1">
      <c r="A166" s="449"/>
      <c r="B166" s="333" t="s">
        <v>543</v>
      </c>
      <c r="C166" s="833"/>
      <c r="D166" s="833"/>
      <c r="E166" s="342"/>
      <c r="F166" s="716"/>
      <c r="G166" s="717"/>
      <c r="H166" s="717"/>
      <c r="I166" s="717"/>
      <c r="J166" s="717"/>
      <c r="K166" s="718"/>
      <c r="L166" s="718"/>
      <c r="M166" s="717">
        <f>M160*0.88+M161+M162+M163</f>
        <v>0</v>
      </c>
      <c r="N166" s="735"/>
      <c r="O166" s="449"/>
      <c r="P166" s="452"/>
      <c r="Q166" s="655"/>
    </row>
    <row r="167" spans="1:17" ht="25.5" customHeight="1">
      <c r="A167" s="449"/>
      <c r="B167" s="333" t="s">
        <v>544</v>
      </c>
      <c r="C167" s="833"/>
      <c r="D167" s="833"/>
      <c r="E167" s="342"/>
      <c r="F167" s="716"/>
      <c r="G167" s="717"/>
      <c r="H167" s="717"/>
      <c r="I167" s="717"/>
      <c r="J167" s="717"/>
      <c r="K167" s="718"/>
      <c r="L167" s="718"/>
      <c r="M167" s="717">
        <f>M160*0.76+M161+M162+M163</f>
        <v>0</v>
      </c>
      <c r="N167" s="735"/>
      <c r="O167" s="449"/>
      <c r="P167" s="452"/>
      <c r="Q167" s="655"/>
    </row>
    <row r="168" spans="1:17" ht="25.5" customHeight="1">
      <c r="A168" s="449"/>
      <c r="B168" s="184"/>
      <c r="C168" s="179"/>
      <c r="D168" s="356"/>
      <c r="E168" s="261"/>
      <c r="F168" s="659"/>
      <c r="G168" s="733"/>
      <c r="H168" s="589"/>
      <c r="I168" s="589"/>
      <c r="J168" s="835"/>
      <c r="K168" s="589"/>
      <c r="L168" s="734"/>
      <c r="M168" s="735"/>
      <c r="N168" s="735"/>
      <c r="O168" s="449"/>
      <c r="P168" s="452"/>
    </row>
    <row r="169" spans="1:17" ht="25.5" customHeight="1">
      <c r="A169" s="736"/>
      <c r="B169" s="219"/>
      <c r="C169" s="836"/>
      <c r="D169" s="362"/>
      <c r="E169" s="363"/>
      <c r="F169" s="737"/>
      <c r="G169" s="723"/>
      <c r="H169" s="652"/>
      <c r="I169" s="652"/>
      <c r="J169" s="837"/>
      <c r="K169" s="652"/>
      <c r="L169" s="738"/>
      <c r="M169" s="739"/>
      <c r="N169" s="739"/>
      <c r="O169" s="741"/>
      <c r="P169" s="452"/>
    </row>
    <row r="170" spans="1:17" s="742" customFormat="1" ht="24" customHeight="1">
      <c r="B170" s="371"/>
      <c r="C170" s="379"/>
      <c r="D170" s="372"/>
      <c r="E170" s="373"/>
      <c r="F170" s="743"/>
      <c r="G170" s="744"/>
      <c r="H170" s="745"/>
      <c r="I170" s="745"/>
      <c r="J170" s="838"/>
      <c r="K170" s="745"/>
      <c r="L170" s="746"/>
      <c r="M170" s="747"/>
      <c r="N170" s="747"/>
    </row>
    <row r="171" spans="1:17" s="742" customFormat="1" ht="24" customHeight="1">
      <c r="B171" s="371"/>
      <c r="C171" s="379"/>
      <c r="D171" s="371"/>
      <c r="E171" s="371"/>
      <c r="F171" s="749"/>
      <c r="G171" s="750"/>
      <c r="H171" s="751"/>
      <c r="I171" s="751"/>
      <c r="J171" s="751"/>
      <c r="K171" s="751"/>
      <c r="L171" s="747"/>
      <c r="M171" s="747"/>
      <c r="N171" s="747"/>
    </row>
    <row r="172" spans="1:17" s="742" customFormat="1" ht="24" customHeight="1">
      <c r="B172" s="371"/>
      <c r="C172" s="379"/>
      <c r="D172" s="371"/>
      <c r="E172" s="371"/>
      <c r="F172" s="749"/>
      <c r="G172" s="750"/>
      <c r="H172" s="751"/>
      <c r="I172" s="751"/>
      <c r="J172" s="751"/>
      <c r="K172" s="751"/>
      <c r="L172" s="747"/>
      <c r="M172" s="747"/>
      <c r="N172" s="747"/>
    </row>
    <row r="173" spans="1:17" s="742" customFormat="1" ht="24" customHeight="1">
      <c r="B173" s="371"/>
      <c r="C173" s="379"/>
      <c r="D173" s="371"/>
      <c r="E173" s="371"/>
      <c r="F173" s="749"/>
      <c r="G173" s="750"/>
      <c r="H173" s="751"/>
      <c r="I173" s="751"/>
      <c r="J173" s="751"/>
      <c r="K173" s="751"/>
      <c r="L173" s="747"/>
      <c r="M173" s="747"/>
      <c r="N173" s="747"/>
    </row>
    <row r="174" spans="1:17" s="742" customFormat="1" ht="24" customHeight="1">
      <c r="B174" s="371"/>
      <c r="C174" s="379"/>
      <c r="D174" s="371"/>
      <c r="E174" s="371"/>
      <c r="F174" s="749"/>
      <c r="G174" s="750"/>
      <c r="H174" s="751"/>
      <c r="I174" s="751"/>
      <c r="J174" s="751"/>
      <c r="K174" s="751"/>
      <c r="L174" s="747"/>
      <c r="M174" s="747"/>
      <c r="N174" s="747"/>
    </row>
    <row r="175" spans="1:17" s="742" customFormat="1" ht="24" customHeight="1">
      <c r="B175" s="371"/>
      <c r="C175" s="379"/>
      <c r="D175" s="371"/>
      <c r="E175" s="371"/>
      <c r="F175" s="749"/>
      <c r="G175" s="750"/>
      <c r="H175" s="751"/>
      <c r="I175" s="751"/>
      <c r="J175" s="751"/>
      <c r="K175" s="751"/>
      <c r="L175" s="747"/>
      <c r="M175" s="747"/>
      <c r="N175" s="747"/>
    </row>
    <row r="176" spans="1:17" s="742" customFormat="1" ht="24" customHeight="1">
      <c r="B176" s="371"/>
      <c r="C176" s="379"/>
      <c r="D176" s="371"/>
      <c r="E176" s="371"/>
      <c r="F176" s="749"/>
      <c r="G176" s="750"/>
      <c r="H176" s="751"/>
      <c r="I176" s="751"/>
      <c r="J176" s="751"/>
      <c r="K176" s="751"/>
      <c r="L176" s="747"/>
      <c r="M176" s="747"/>
      <c r="N176" s="747"/>
    </row>
    <row r="177" spans="1:23" s="742" customFormat="1" ht="24" customHeight="1">
      <c r="B177" s="371"/>
      <c r="C177" s="379"/>
      <c r="D177" s="371"/>
      <c r="E177" s="371"/>
      <c r="F177" s="749"/>
      <c r="G177" s="750"/>
      <c r="H177" s="751"/>
      <c r="I177" s="751"/>
      <c r="J177" s="751"/>
      <c r="K177" s="751"/>
      <c r="L177" s="747"/>
      <c r="M177" s="747"/>
      <c r="N177" s="747"/>
    </row>
    <row r="178" spans="1:23" s="742" customFormat="1" ht="24" customHeight="1">
      <c r="B178" s="371"/>
      <c r="C178" s="379"/>
      <c r="D178" s="371"/>
      <c r="E178" s="371"/>
      <c r="F178" s="749"/>
      <c r="G178" s="750"/>
      <c r="H178" s="751"/>
      <c r="I178" s="751"/>
      <c r="J178" s="751"/>
      <c r="K178" s="751"/>
      <c r="L178" s="747"/>
      <c r="M178" s="747"/>
      <c r="N178" s="747"/>
    </row>
    <row r="179" spans="1:23" s="742" customFormat="1" ht="24" customHeight="1">
      <c r="B179" s="371"/>
      <c r="C179" s="379"/>
      <c r="D179" s="371"/>
      <c r="E179" s="371"/>
      <c r="F179" s="749"/>
      <c r="G179" s="750"/>
      <c r="H179" s="751"/>
      <c r="I179" s="751"/>
      <c r="J179" s="751"/>
      <c r="K179" s="751"/>
      <c r="L179" s="747"/>
      <c r="M179" s="747"/>
      <c r="N179" s="747"/>
    </row>
    <row r="180" spans="1:23" s="752" customFormat="1" ht="24" customHeight="1">
      <c r="A180" s="742"/>
      <c r="B180" s="371"/>
      <c r="C180" s="379"/>
      <c r="D180" s="371"/>
      <c r="E180" s="371"/>
      <c r="F180" s="749"/>
      <c r="G180" s="750"/>
      <c r="H180" s="751"/>
      <c r="I180" s="751"/>
      <c r="J180" s="751"/>
      <c r="K180" s="751"/>
      <c r="L180" s="747"/>
      <c r="M180" s="747"/>
      <c r="N180" s="747"/>
      <c r="O180" s="742"/>
      <c r="P180" s="742"/>
      <c r="Q180" s="742"/>
      <c r="R180" s="742"/>
      <c r="S180" s="742"/>
      <c r="T180" s="742"/>
      <c r="U180" s="742"/>
      <c r="V180" s="742"/>
      <c r="W180" s="742"/>
    </row>
    <row r="181" spans="1:23" s="742" customFormat="1" ht="24" customHeight="1">
      <c r="B181" s="371"/>
      <c r="C181" s="379"/>
      <c r="D181" s="371"/>
      <c r="E181" s="371"/>
      <c r="F181" s="749"/>
      <c r="G181" s="750"/>
      <c r="H181" s="751"/>
      <c r="I181" s="751"/>
      <c r="J181" s="751"/>
      <c r="K181" s="751"/>
      <c r="L181" s="747"/>
      <c r="M181" s="747"/>
      <c r="N181" s="747"/>
    </row>
    <row r="182" spans="1:23" s="742" customFormat="1" ht="24" customHeight="1">
      <c r="B182" s="371"/>
      <c r="C182" s="379"/>
      <c r="D182" s="371"/>
      <c r="E182" s="371"/>
      <c r="F182" s="749"/>
      <c r="G182" s="750"/>
      <c r="H182" s="751"/>
      <c r="I182" s="751"/>
      <c r="J182" s="751"/>
      <c r="K182" s="751"/>
      <c r="L182" s="747"/>
      <c r="M182" s="747"/>
      <c r="N182" s="747"/>
    </row>
    <row r="183" spans="1:23" s="742" customFormat="1" ht="24" customHeight="1">
      <c r="B183" s="371"/>
      <c r="C183" s="379"/>
      <c r="D183" s="371"/>
      <c r="E183" s="371"/>
      <c r="F183" s="749"/>
      <c r="G183" s="750"/>
      <c r="H183" s="751"/>
      <c r="I183" s="751"/>
      <c r="J183" s="751"/>
      <c r="K183" s="751"/>
      <c r="L183" s="747"/>
      <c r="M183" s="747"/>
      <c r="N183" s="747"/>
    </row>
    <row r="184" spans="1:23" s="742" customFormat="1" ht="24" customHeight="1">
      <c r="B184" s="371"/>
      <c r="C184" s="379"/>
      <c r="D184" s="371"/>
      <c r="E184" s="371"/>
      <c r="F184" s="749"/>
      <c r="G184" s="750"/>
      <c r="H184" s="751"/>
      <c r="I184" s="751"/>
      <c r="J184" s="751"/>
      <c r="K184" s="751"/>
      <c r="L184" s="747"/>
      <c r="M184" s="747"/>
      <c r="N184" s="747"/>
    </row>
    <row r="185" spans="1:23" s="742" customFormat="1" ht="24" customHeight="1">
      <c r="B185" s="371"/>
      <c r="C185" s="379"/>
      <c r="D185" s="371"/>
      <c r="E185" s="371"/>
      <c r="F185" s="749"/>
      <c r="G185" s="750"/>
      <c r="H185" s="751"/>
      <c r="I185" s="751"/>
      <c r="J185" s="751"/>
      <c r="K185" s="751"/>
      <c r="L185" s="747"/>
      <c r="M185" s="747"/>
      <c r="N185" s="747"/>
    </row>
    <row r="186" spans="1:23" s="742" customFormat="1" ht="24" customHeight="1">
      <c r="B186" s="371"/>
      <c r="C186" s="379"/>
      <c r="D186" s="371"/>
      <c r="E186" s="371"/>
      <c r="F186" s="749"/>
      <c r="G186" s="750"/>
      <c r="H186" s="751"/>
      <c r="I186" s="751"/>
      <c r="J186" s="751"/>
      <c r="K186" s="751"/>
      <c r="L186" s="747"/>
      <c r="M186" s="747"/>
      <c r="N186" s="747"/>
    </row>
    <row r="187" spans="1:23" s="742" customFormat="1" ht="24" customHeight="1">
      <c r="B187" s="371"/>
      <c r="C187" s="379"/>
      <c r="D187" s="371"/>
      <c r="E187" s="371"/>
      <c r="F187" s="749"/>
      <c r="G187" s="750"/>
      <c r="H187" s="751"/>
      <c r="I187" s="751"/>
      <c r="J187" s="751"/>
      <c r="K187" s="751"/>
      <c r="L187" s="747"/>
      <c r="M187" s="747"/>
      <c r="N187" s="747"/>
    </row>
    <row r="188" spans="1:23" s="742" customFormat="1" ht="24" customHeight="1">
      <c r="B188" s="371"/>
      <c r="C188" s="379"/>
      <c r="D188" s="371"/>
      <c r="E188" s="371"/>
      <c r="F188" s="749"/>
      <c r="G188" s="750"/>
      <c r="H188" s="751"/>
      <c r="I188" s="751"/>
      <c r="J188" s="751"/>
      <c r="K188" s="751"/>
      <c r="L188" s="747"/>
      <c r="M188" s="747"/>
      <c r="N188" s="747"/>
    </row>
    <row r="189" spans="1:23" s="742" customFormat="1" ht="24" customHeight="1">
      <c r="B189" s="371"/>
      <c r="C189" s="379"/>
      <c r="D189" s="371"/>
      <c r="E189" s="371"/>
      <c r="F189" s="749"/>
      <c r="G189" s="750"/>
      <c r="H189" s="751"/>
      <c r="I189" s="751"/>
      <c r="J189" s="751"/>
      <c r="K189" s="751"/>
      <c r="L189" s="747"/>
      <c r="M189" s="747"/>
      <c r="N189" s="747"/>
    </row>
    <row r="190" spans="1:23" s="742" customFormat="1" ht="24" customHeight="1">
      <c r="B190" s="371"/>
      <c r="C190" s="379"/>
      <c r="D190" s="371"/>
      <c r="E190" s="371"/>
      <c r="F190" s="749"/>
      <c r="G190" s="750"/>
      <c r="H190" s="751"/>
      <c r="I190" s="751"/>
      <c r="J190" s="751"/>
      <c r="K190" s="751"/>
      <c r="L190" s="747"/>
      <c r="M190" s="747"/>
      <c r="N190" s="747"/>
    </row>
    <row r="191" spans="1:23" s="742" customFormat="1" ht="24" customHeight="1">
      <c r="B191" s="371"/>
      <c r="C191" s="379"/>
      <c r="D191" s="371"/>
      <c r="E191" s="371"/>
      <c r="F191" s="749"/>
      <c r="G191" s="750"/>
      <c r="H191" s="751"/>
      <c r="I191" s="751"/>
      <c r="J191" s="751"/>
      <c r="K191" s="751"/>
      <c r="L191" s="747"/>
      <c r="M191" s="747"/>
      <c r="N191" s="747"/>
    </row>
    <row r="192" spans="1:23" s="742" customFormat="1" ht="24" customHeight="1">
      <c r="B192" s="371"/>
      <c r="C192" s="379"/>
      <c r="D192" s="371"/>
      <c r="E192" s="371"/>
      <c r="F192" s="749"/>
      <c r="G192" s="750"/>
      <c r="H192" s="751"/>
      <c r="I192" s="751"/>
      <c r="J192" s="751"/>
      <c r="K192" s="751"/>
      <c r="L192" s="747"/>
      <c r="M192" s="747"/>
      <c r="N192" s="747"/>
    </row>
    <row r="193" spans="2:14" s="742" customFormat="1" ht="24" customHeight="1">
      <c r="B193" s="371"/>
      <c r="C193" s="379"/>
      <c r="D193" s="371"/>
      <c r="E193" s="371"/>
      <c r="F193" s="749"/>
      <c r="G193" s="750"/>
      <c r="H193" s="751"/>
      <c r="I193" s="751"/>
      <c r="J193" s="751"/>
      <c r="K193" s="751"/>
      <c r="L193" s="747"/>
      <c r="M193" s="747"/>
      <c r="N193" s="747"/>
    </row>
    <row r="194" spans="2:14" s="742" customFormat="1" ht="24" customHeight="1">
      <c r="B194" s="371"/>
      <c r="C194" s="379"/>
      <c r="D194" s="371"/>
      <c r="E194" s="371"/>
      <c r="F194" s="749"/>
      <c r="G194" s="750"/>
      <c r="H194" s="751"/>
      <c r="I194" s="751"/>
      <c r="J194" s="751"/>
      <c r="K194" s="751"/>
      <c r="L194" s="747"/>
      <c r="M194" s="747"/>
      <c r="N194" s="747"/>
    </row>
    <row r="195" spans="2:14" s="742" customFormat="1" ht="25.5" customHeight="1">
      <c r="B195" s="371"/>
      <c r="C195" s="379"/>
      <c r="D195" s="371"/>
      <c r="E195" s="371"/>
      <c r="F195" s="749"/>
      <c r="G195" s="750"/>
      <c r="H195" s="751"/>
      <c r="I195" s="751"/>
      <c r="J195" s="751"/>
      <c r="K195" s="751"/>
      <c r="L195" s="747"/>
      <c r="M195" s="747"/>
      <c r="N195" s="747"/>
    </row>
    <row r="196" spans="2:14" s="742" customFormat="1" ht="25.5" customHeight="1">
      <c r="B196" s="371"/>
      <c r="C196" s="379"/>
      <c r="D196" s="371"/>
      <c r="E196" s="371"/>
      <c r="F196" s="749"/>
      <c r="G196" s="750"/>
      <c r="H196" s="751"/>
      <c r="I196" s="751"/>
      <c r="J196" s="751"/>
      <c r="K196" s="751"/>
      <c r="L196" s="747"/>
      <c r="M196" s="747"/>
      <c r="N196" s="747"/>
    </row>
    <row r="197" spans="2:14" s="742" customFormat="1" ht="25.5" customHeight="1">
      <c r="B197" s="371"/>
      <c r="C197" s="379"/>
      <c r="D197" s="371"/>
      <c r="E197" s="371"/>
      <c r="F197" s="749"/>
      <c r="G197" s="750"/>
      <c r="H197" s="751"/>
      <c r="I197" s="751"/>
      <c r="J197" s="751"/>
      <c r="K197" s="751"/>
      <c r="L197" s="747"/>
      <c r="M197" s="747"/>
      <c r="N197" s="747"/>
    </row>
    <row r="198" spans="2:14" s="742" customFormat="1" ht="25.5" customHeight="1">
      <c r="B198" s="371"/>
      <c r="C198" s="379"/>
      <c r="D198" s="371"/>
      <c r="E198" s="371"/>
      <c r="F198" s="749"/>
      <c r="G198" s="750"/>
      <c r="H198" s="751"/>
      <c r="I198" s="751"/>
      <c r="J198" s="751"/>
      <c r="K198" s="751"/>
      <c r="L198" s="747"/>
      <c r="M198" s="747"/>
      <c r="N198" s="747"/>
    </row>
    <row r="199" spans="2:14" s="742" customFormat="1" ht="25.5" customHeight="1">
      <c r="B199" s="371"/>
      <c r="C199" s="379"/>
      <c r="D199" s="371"/>
      <c r="E199" s="371"/>
      <c r="F199" s="749"/>
      <c r="G199" s="750"/>
      <c r="H199" s="751"/>
      <c r="I199" s="751"/>
      <c r="J199" s="751"/>
      <c r="K199" s="751"/>
      <c r="L199" s="747"/>
      <c r="M199" s="747"/>
      <c r="N199" s="747"/>
    </row>
    <row r="200" spans="2:14" s="742" customFormat="1" ht="25.5" customHeight="1">
      <c r="B200" s="371"/>
      <c r="C200" s="379"/>
      <c r="D200" s="379"/>
      <c r="E200" s="379"/>
      <c r="K200" s="751"/>
      <c r="M200" s="807"/>
    </row>
    <row r="201" spans="2:14" s="742" customFormat="1" ht="25.5" customHeight="1">
      <c r="B201" s="371"/>
      <c r="C201" s="379"/>
      <c r="D201" s="379"/>
      <c r="E201" s="379"/>
      <c r="K201" s="751"/>
      <c r="M201" s="807"/>
    </row>
    <row r="202" spans="2:14" s="742" customFormat="1" ht="25.5" customHeight="1">
      <c r="B202" s="371"/>
      <c r="C202" s="379"/>
      <c r="D202" s="379"/>
      <c r="E202" s="379"/>
      <c r="K202" s="751"/>
      <c r="M202" s="807"/>
    </row>
    <row r="203" spans="2:14" s="742" customFormat="1" ht="25.5" customHeight="1">
      <c r="B203" s="371"/>
      <c r="C203" s="379"/>
      <c r="D203" s="379"/>
      <c r="E203" s="379"/>
      <c r="K203" s="751"/>
      <c r="M203" s="807"/>
    </row>
    <row r="204" spans="2:14" s="742" customFormat="1" ht="25.5" customHeight="1">
      <c r="B204" s="371"/>
      <c r="C204" s="379"/>
      <c r="D204" s="379"/>
      <c r="E204" s="379"/>
      <c r="K204" s="751"/>
      <c r="M204" s="807"/>
    </row>
    <row r="205" spans="2:14" s="742" customFormat="1" ht="25.5" customHeight="1">
      <c r="B205" s="371"/>
      <c r="C205" s="379"/>
      <c r="D205" s="379"/>
      <c r="E205" s="379"/>
      <c r="K205" s="751"/>
      <c r="M205" s="807"/>
    </row>
    <row r="206" spans="2:14" s="742" customFormat="1" ht="25.5" customHeight="1">
      <c r="B206" s="371"/>
      <c r="C206" s="379"/>
      <c r="D206" s="379"/>
      <c r="E206" s="379"/>
      <c r="K206" s="751"/>
      <c r="M206" s="807"/>
    </row>
    <row r="207" spans="2:14" s="742" customFormat="1" ht="25.5" customHeight="1">
      <c r="B207" s="371"/>
      <c r="C207" s="379"/>
      <c r="D207" s="379"/>
      <c r="E207" s="379"/>
      <c r="K207" s="751"/>
      <c r="M207" s="807"/>
    </row>
    <row r="208" spans="2:14" s="742" customFormat="1" ht="25.5" customHeight="1">
      <c r="B208" s="371"/>
      <c r="C208" s="379"/>
      <c r="D208" s="379"/>
      <c r="E208" s="379"/>
      <c r="K208" s="751"/>
      <c r="M208" s="807"/>
    </row>
    <row r="209" spans="2:13" s="742" customFormat="1" ht="25.5" customHeight="1">
      <c r="B209" s="371"/>
      <c r="C209" s="379"/>
      <c r="D209" s="379"/>
      <c r="E209" s="379"/>
      <c r="K209" s="751"/>
      <c r="M209" s="807"/>
    </row>
    <row r="210" spans="2:13" s="742" customFormat="1" ht="25.5" customHeight="1">
      <c r="B210" s="371"/>
      <c r="C210" s="379"/>
      <c r="D210" s="379"/>
      <c r="E210" s="379"/>
      <c r="K210" s="751"/>
      <c r="M210" s="807"/>
    </row>
    <row r="211" spans="2:13" s="742" customFormat="1" ht="25.5" customHeight="1">
      <c r="B211" s="371"/>
      <c r="C211" s="379"/>
      <c r="D211" s="379"/>
      <c r="E211" s="379"/>
      <c r="K211" s="751"/>
      <c r="M211" s="807"/>
    </row>
    <row r="212" spans="2:13" s="742" customFormat="1" ht="25.5" customHeight="1">
      <c r="B212" s="371"/>
      <c r="C212" s="379"/>
      <c r="D212" s="379"/>
      <c r="E212" s="379"/>
      <c r="K212" s="751"/>
      <c r="M212" s="807"/>
    </row>
    <row r="213" spans="2:13" s="742" customFormat="1" ht="25.5" customHeight="1">
      <c r="B213" s="371"/>
      <c r="C213" s="379"/>
      <c r="D213" s="379"/>
      <c r="E213" s="379"/>
      <c r="K213" s="751"/>
      <c r="M213" s="807"/>
    </row>
    <row r="214" spans="2:13" s="742" customFormat="1" ht="25.5" customHeight="1">
      <c r="B214" s="371"/>
      <c r="C214" s="379"/>
      <c r="D214" s="379"/>
      <c r="E214" s="379"/>
      <c r="K214" s="751"/>
      <c r="M214" s="807"/>
    </row>
    <row r="215" spans="2:13" s="742" customFormat="1" ht="25.5" customHeight="1">
      <c r="B215" s="371"/>
      <c r="C215" s="379"/>
      <c r="D215" s="379"/>
      <c r="E215" s="379"/>
      <c r="K215" s="751"/>
      <c r="M215" s="807"/>
    </row>
    <row r="216" spans="2:13" s="742" customFormat="1" ht="25.5" customHeight="1">
      <c r="B216" s="371"/>
      <c r="C216" s="379"/>
      <c r="D216" s="379"/>
      <c r="E216" s="379"/>
      <c r="K216" s="751"/>
      <c r="M216" s="807"/>
    </row>
    <row r="217" spans="2:13" s="742" customFormat="1" ht="25.5" customHeight="1">
      <c r="B217" s="371"/>
      <c r="C217" s="379"/>
      <c r="D217" s="379"/>
      <c r="E217" s="379"/>
      <c r="K217" s="751"/>
      <c r="M217" s="807"/>
    </row>
    <row r="218" spans="2:13" s="742" customFormat="1" ht="25.5" customHeight="1">
      <c r="B218" s="371"/>
      <c r="C218" s="379"/>
      <c r="D218" s="379"/>
      <c r="E218" s="379"/>
      <c r="K218" s="751"/>
      <c r="M218" s="807"/>
    </row>
    <row r="219" spans="2:13" s="742" customFormat="1" ht="25.5" customHeight="1">
      <c r="B219" s="371"/>
      <c r="C219" s="379"/>
      <c r="D219" s="379"/>
      <c r="E219" s="379"/>
      <c r="K219" s="751"/>
      <c r="M219" s="807"/>
    </row>
    <row r="220" spans="2:13" s="742" customFormat="1" ht="25.5" customHeight="1">
      <c r="B220" s="371"/>
      <c r="C220" s="379"/>
      <c r="D220" s="379"/>
      <c r="E220" s="379"/>
      <c r="K220" s="751"/>
      <c r="M220" s="807"/>
    </row>
    <row r="221" spans="2:13" s="742" customFormat="1" ht="25.5" customHeight="1">
      <c r="B221" s="371"/>
      <c r="C221" s="379"/>
      <c r="D221" s="379"/>
      <c r="E221" s="379"/>
      <c r="K221" s="751"/>
      <c r="M221" s="807"/>
    </row>
    <row r="222" spans="2:13" s="742" customFormat="1" ht="25.5" customHeight="1">
      <c r="B222" s="371"/>
      <c r="C222" s="379"/>
      <c r="D222" s="379"/>
      <c r="E222" s="379"/>
      <c r="K222" s="751"/>
      <c r="M222" s="807"/>
    </row>
    <row r="223" spans="2:13" s="742" customFormat="1" ht="25.5" customHeight="1">
      <c r="B223" s="371"/>
      <c r="C223" s="379"/>
      <c r="D223" s="379"/>
      <c r="E223" s="379"/>
      <c r="K223" s="751"/>
      <c r="M223" s="807"/>
    </row>
    <row r="224" spans="2:13" s="742" customFormat="1" ht="25.5" customHeight="1">
      <c r="B224" s="371"/>
      <c r="C224" s="379"/>
      <c r="D224" s="379"/>
      <c r="E224" s="379"/>
      <c r="K224" s="751"/>
      <c r="M224" s="807"/>
    </row>
    <row r="225" spans="2:13" s="742" customFormat="1" ht="25.5" customHeight="1">
      <c r="B225" s="371"/>
      <c r="C225" s="379"/>
      <c r="D225" s="379"/>
      <c r="E225" s="379"/>
      <c r="K225" s="751"/>
      <c r="M225" s="807"/>
    </row>
    <row r="226" spans="2:13" s="742" customFormat="1" ht="25.5" customHeight="1">
      <c r="B226" s="371"/>
      <c r="C226" s="379"/>
      <c r="D226" s="379"/>
      <c r="E226" s="379"/>
      <c r="K226" s="751"/>
      <c r="M226" s="807"/>
    </row>
    <row r="227" spans="2:13" s="742" customFormat="1" ht="25.5" customHeight="1">
      <c r="B227" s="371"/>
      <c r="C227" s="379"/>
      <c r="D227" s="379"/>
      <c r="E227" s="379"/>
      <c r="K227" s="751"/>
      <c r="M227" s="807"/>
    </row>
    <row r="228" spans="2:13" s="742" customFormat="1" ht="25.5" customHeight="1">
      <c r="B228" s="371"/>
      <c r="C228" s="379"/>
      <c r="D228" s="379"/>
      <c r="E228" s="379"/>
      <c r="K228" s="751"/>
      <c r="M228" s="807"/>
    </row>
    <row r="229" spans="2:13" s="742" customFormat="1" ht="25.5" customHeight="1">
      <c r="B229" s="371"/>
      <c r="C229" s="379"/>
      <c r="D229" s="379"/>
      <c r="E229" s="379"/>
      <c r="K229" s="751"/>
      <c r="M229" s="807"/>
    </row>
    <row r="230" spans="2:13" s="742" customFormat="1" ht="25.5" customHeight="1">
      <c r="B230" s="371"/>
      <c r="C230" s="379"/>
      <c r="D230" s="379"/>
      <c r="E230" s="379"/>
      <c r="K230" s="751"/>
      <c r="M230" s="807"/>
    </row>
    <row r="231" spans="2:13" s="742" customFormat="1" ht="25.5" customHeight="1">
      <c r="B231" s="371"/>
      <c r="C231" s="379"/>
      <c r="D231" s="379"/>
      <c r="E231" s="379"/>
      <c r="K231" s="751"/>
      <c r="M231" s="807"/>
    </row>
    <row r="232" spans="2:13" s="742" customFormat="1" ht="25.5" customHeight="1">
      <c r="B232" s="371"/>
      <c r="C232" s="379"/>
      <c r="D232" s="379"/>
      <c r="E232" s="379"/>
      <c r="K232" s="751"/>
      <c r="M232" s="807"/>
    </row>
    <row r="233" spans="2:13" s="742" customFormat="1" ht="25.5" customHeight="1">
      <c r="B233" s="371"/>
      <c r="C233" s="379"/>
      <c r="D233" s="379"/>
      <c r="E233" s="379"/>
      <c r="K233" s="751"/>
      <c r="M233" s="807"/>
    </row>
    <row r="234" spans="2:13" s="742" customFormat="1" ht="25.5" customHeight="1">
      <c r="B234" s="371"/>
      <c r="C234" s="379"/>
      <c r="D234" s="379"/>
      <c r="E234" s="379"/>
      <c r="K234" s="751"/>
      <c r="M234" s="807"/>
    </row>
    <row r="235" spans="2:13" s="742" customFormat="1" ht="25.5" customHeight="1">
      <c r="B235" s="371"/>
      <c r="C235" s="379"/>
      <c r="D235" s="379"/>
      <c r="E235" s="379"/>
      <c r="K235" s="751"/>
      <c r="M235" s="807"/>
    </row>
    <row r="236" spans="2:13" s="742" customFormat="1" ht="25.5" customHeight="1">
      <c r="B236" s="371"/>
      <c r="C236" s="379"/>
      <c r="D236" s="379"/>
      <c r="E236" s="379"/>
      <c r="K236" s="751"/>
      <c r="M236" s="807"/>
    </row>
    <row r="237" spans="2:13" s="742" customFormat="1" ht="25.5" customHeight="1">
      <c r="B237" s="371"/>
      <c r="C237" s="379"/>
      <c r="D237" s="379"/>
      <c r="E237" s="379"/>
      <c r="K237" s="751"/>
      <c r="M237" s="807"/>
    </row>
    <row r="238" spans="2:13" s="742" customFormat="1" ht="25.5" customHeight="1">
      <c r="B238" s="371"/>
      <c r="C238" s="379"/>
      <c r="D238" s="379"/>
      <c r="E238" s="379"/>
      <c r="K238" s="751"/>
      <c r="M238" s="807"/>
    </row>
    <row r="239" spans="2:13" s="742" customFormat="1" ht="25.5" customHeight="1">
      <c r="B239" s="371"/>
      <c r="C239" s="379"/>
      <c r="D239" s="379"/>
      <c r="E239" s="379"/>
      <c r="K239" s="751"/>
      <c r="M239" s="807"/>
    </row>
    <row r="240" spans="2:13" s="742" customFormat="1" ht="25.5" customHeight="1">
      <c r="B240" s="371"/>
      <c r="C240" s="379"/>
      <c r="D240" s="379"/>
      <c r="E240" s="379"/>
      <c r="K240" s="751"/>
      <c r="M240" s="807"/>
    </row>
    <row r="241" spans="2:13" s="742" customFormat="1" ht="25.5" customHeight="1">
      <c r="B241" s="371"/>
      <c r="C241" s="379"/>
      <c r="D241" s="379"/>
      <c r="E241" s="379"/>
      <c r="K241" s="751"/>
      <c r="M241" s="807"/>
    </row>
    <row r="242" spans="2:13" s="742" customFormat="1" ht="25.5" customHeight="1">
      <c r="B242" s="371"/>
      <c r="C242" s="379"/>
      <c r="D242" s="379"/>
      <c r="E242" s="379"/>
      <c r="K242" s="751"/>
      <c r="M242" s="807"/>
    </row>
    <row r="243" spans="2:13" s="742" customFormat="1" ht="25.5" customHeight="1">
      <c r="B243" s="371"/>
      <c r="C243" s="379"/>
      <c r="D243" s="379"/>
      <c r="E243" s="379"/>
      <c r="K243" s="751"/>
      <c r="M243" s="807"/>
    </row>
    <row r="244" spans="2:13" s="742" customFormat="1" ht="25.5" customHeight="1">
      <c r="B244" s="371"/>
      <c r="C244" s="379"/>
      <c r="D244" s="379"/>
      <c r="E244" s="379"/>
      <c r="K244" s="751"/>
      <c r="M244" s="807"/>
    </row>
    <row r="245" spans="2:13" s="742" customFormat="1" ht="25.5" customHeight="1">
      <c r="B245" s="371"/>
      <c r="C245" s="379"/>
      <c r="D245" s="379"/>
      <c r="E245" s="379"/>
      <c r="K245" s="751"/>
      <c r="M245" s="807"/>
    </row>
    <row r="246" spans="2:13" s="742" customFormat="1" ht="25.5" customHeight="1">
      <c r="B246" s="371"/>
      <c r="C246" s="379"/>
      <c r="D246" s="379"/>
      <c r="E246" s="379"/>
      <c r="K246" s="751"/>
      <c r="M246" s="807"/>
    </row>
    <row r="247" spans="2:13" s="742" customFormat="1" ht="25.5" customHeight="1">
      <c r="B247" s="371"/>
      <c r="C247" s="379"/>
      <c r="D247" s="379"/>
      <c r="E247" s="379"/>
      <c r="K247" s="751"/>
      <c r="M247" s="807"/>
    </row>
    <row r="248" spans="2:13" s="742" customFormat="1" ht="25.5" customHeight="1">
      <c r="B248" s="371"/>
      <c r="C248" s="379"/>
      <c r="D248" s="379"/>
      <c r="E248" s="379"/>
      <c r="K248" s="751"/>
      <c r="M248" s="807"/>
    </row>
    <row r="249" spans="2:13" s="742" customFormat="1" ht="25.5" customHeight="1">
      <c r="B249" s="371"/>
      <c r="C249" s="379"/>
      <c r="D249" s="379"/>
      <c r="E249" s="379"/>
      <c r="K249" s="751"/>
      <c r="M249" s="807"/>
    </row>
    <row r="250" spans="2:13" s="742" customFormat="1" ht="25.5" customHeight="1">
      <c r="B250" s="371"/>
      <c r="C250" s="379"/>
      <c r="D250" s="379"/>
      <c r="E250" s="379"/>
      <c r="K250" s="751"/>
      <c r="M250" s="807"/>
    </row>
    <row r="262" spans="2:4" ht="25.5" customHeight="1">
      <c r="B262" s="190"/>
      <c r="C262" s="50"/>
      <c r="D262" s="163"/>
    </row>
  </sheetData>
  <mergeCells count="58">
    <mergeCell ref="J164:M164"/>
    <mergeCell ref="B150:G152"/>
    <mergeCell ref="B153:F153"/>
    <mergeCell ref="B160:C160"/>
    <mergeCell ref="B161:C161"/>
    <mergeCell ref="B163:C163"/>
    <mergeCell ref="F134:G134"/>
    <mergeCell ref="J134:K134"/>
    <mergeCell ref="F135:G135"/>
    <mergeCell ref="J135:K135"/>
    <mergeCell ref="F136:G136"/>
    <mergeCell ref="J136:K136"/>
    <mergeCell ref="B129:F129"/>
    <mergeCell ref="B130:F130"/>
    <mergeCell ref="C133:D133"/>
    <mergeCell ref="F133:G133"/>
    <mergeCell ref="J133:K133"/>
    <mergeCell ref="F120:G120"/>
    <mergeCell ref="F121:G121"/>
    <mergeCell ref="M121:N121"/>
    <mergeCell ref="M122:N122"/>
    <mergeCell ref="B126:G128"/>
    <mergeCell ref="D116:E116"/>
    <mergeCell ref="F116:G116"/>
    <mergeCell ref="H116:I116"/>
    <mergeCell ref="J116:K116"/>
    <mergeCell ref="D117:E117"/>
    <mergeCell ref="F117:G117"/>
    <mergeCell ref="H117:I117"/>
    <mergeCell ref="J117:K117"/>
    <mergeCell ref="D114:E114"/>
    <mergeCell ref="F114:G114"/>
    <mergeCell ref="H114:I114"/>
    <mergeCell ref="J114:K114"/>
    <mergeCell ref="D115:E115"/>
    <mergeCell ref="F115:G115"/>
    <mergeCell ref="H115:I115"/>
    <mergeCell ref="J115:K115"/>
    <mergeCell ref="J112:K112"/>
    <mergeCell ref="D113:E113"/>
    <mergeCell ref="F113:G113"/>
    <mergeCell ref="H113:I113"/>
    <mergeCell ref="J113:K113"/>
    <mergeCell ref="B108:F108"/>
    <mergeCell ref="B109:F109"/>
    <mergeCell ref="D112:E112"/>
    <mergeCell ref="F112:G112"/>
    <mergeCell ref="H112:I112"/>
    <mergeCell ref="F99:G99"/>
    <mergeCell ref="H99:I99"/>
    <mergeCell ref="F100:G100"/>
    <mergeCell ref="H100:I100"/>
    <mergeCell ref="B105:G107"/>
    <mergeCell ref="B4:C4"/>
    <mergeCell ref="B15:G17"/>
    <mergeCell ref="B19:F19"/>
    <mergeCell ref="F98:G98"/>
    <mergeCell ref="H98:I98"/>
  </mergeCells>
  <conditionalFormatting sqref="H121">
    <cfRule type="cellIs" dxfId="25" priority="12" operator="greaterThan">
      <formula>0</formula>
    </cfRule>
  </conditionalFormatting>
  <conditionalFormatting sqref="H134:H136">
    <cfRule type="cellIs" dxfId="24" priority="10" operator="greaterThan">
      <formula>0</formula>
    </cfRule>
  </conditionalFormatting>
  <conditionalFormatting sqref="I41:I59">
    <cfRule type="cellIs" dxfId="23" priority="5" operator="lessThan">
      <formula>$J41</formula>
    </cfRule>
  </conditionalFormatting>
  <conditionalFormatting sqref="I65:I85 I25:I35">
    <cfRule type="cellIs" dxfId="22" priority="11" operator="lessThan">
      <formula>$J25</formula>
    </cfRule>
  </conditionalFormatting>
  <conditionalFormatting sqref="I91:J93">
    <cfRule type="cellIs" dxfId="21" priority="8" operator="lessThan">
      <formula>$J91</formula>
    </cfRule>
  </conditionalFormatting>
  <conditionalFormatting sqref="I25:K35">
    <cfRule type="cellIs" dxfId="20" priority="13" operator="greaterThan">
      <formula>0</formula>
    </cfRule>
  </conditionalFormatting>
  <conditionalFormatting sqref="I41:K59">
    <cfRule type="cellIs" dxfId="19" priority="4" operator="greaterThan">
      <formula>0</formula>
    </cfRule>
  </conditionalFormatting>
  <conditionalFormatting sqref="I65:K85">
    <cfRule type="cellIs" dxfId="18" priority="3" operator="greaterThan">
      <formula>0</formula>
    </cfRule>
  </conditionalFormatting>
  <conditionalFormatting sqref="I91:K93">
    <cfRule type="cellIs" dxfId="17" priority="6" operator="greaterThan">
      <formula>0</formula>
    </cfRule>
  </conditionalFormatting>
  <conditionalFormatting sqref="J99:J136">
    <cfRule type="cellIs" dxfId="16" priority="9" operator="greaterThan">
      <formula>0</formula>
    </cfRule>
  </conditionalFormatting>
  <conditionalFormatting sqref="M25:N35 M39:N39">
    <cfRule type="cellIs" dxfId="15" priority="14" operator="greaterThan">
      <formula>0</formula>
    </cfRule>
  </conditionalFormatting>
  <conditionalFormatting sqref="M41:N85">
    <cfRule type="cellIs" dxfId="14" priority="2" operator="greaterThan">
      <formula>0</formula>
    </cfRule>
  </conditionalFormatting>
  <conditionalFormatting sqref="M91:N93">
    <cfRule type="cellIs" dxfId="13" priority="7" operator="greaterThan">
      <formula>0</formula>
    </cfRule>
  </conditionalFormatting>
  <hyperlinks>
    <hyperlink ref="B10" r:id="rId1" xr:uid="{00000000-0004-0000-0500-000000000000}"/>
    <hyperlink ref="B157" r:id="rId2" xr:uid="{00000000-0004-0000-0500-000001000000}"/>
  </hyperlinks>
  <pageMargins left="0" right="0" top="0" bottom="0" header="0.511811023622047" footer="0"/>
  <pageSetup paperSize="9" orientation="portrait" horizontalDpi="300" verticalDpi="300"/>
  <headerFooter>
    <oddFooter>&amp;C&amp;P av &amp;N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F301"/>
  <sheetViews>
    <sheetView showGridLines="0" zoomScaleNormal="100" workbookViewId="0">
      <selection activeCell="I25" sqref="I25"/>
    </sheetView>
  </sheetViews>
  <sheetFormatPr baseColWidth="10" defaultColWidth="15" defaultRowHeight="25" customHeight="1"/>
  <cols>
    <col min="1" max="1" width="11.83203125" style="6" customWidth="1"/>
    <col min="2" max="2" width="30.83203125" style="7" customWidth="1"/>
    <col min="3" max="10" width="14.83203125" style="8" customWidth="1"/>
    <col min="11" max="11" width="14.83203125" style="9" customWidth="1"/>
    <col min="12" max="12" width="14.83203125" style="8" customWidth="1"/>
    <col min="13" max="13" width="14.83203125" style="10" customWidth="1"/>
    <col min="14" max="14" width="14.83203125" style="8" customWidth="1"/>
    <col min="15" max="16384" width="15" style="8"/>
  </cols>
  <sheetData>
    <row r="1" spans="1:26" ht="25" customHeight="1">
      <c r="A1" s="11"/>
      <c r="B1" s="12"/>
      <c r="C1" s="5"/>
      <c r="D1" s="13"/>
      <c r="E1" s="13"/>
      <c r="F1" s="13"/>
      <c r="G1" s="13"/>
      <c r="H1" s="13"/>
      <c r="I1" s="13"/>
      <c r="J1" s="13"/>
      <c r="K1" s="14"/>
      <c r="L1" s="15"/>
      <c r="M1" s="16"/>
    </row>
    <row r="2" spans="1:26" ht="25" customHeight="1">
      <c r="A2" s="11"/>
      <c r="B2" s="12"/>
      <c r="C2" s="5"/>
      <c r="D2" s="13"/>
      <c r="E2" s="13"/>
      <c r="F2" s="13"/>
      <c r="G2" s="13"/>
      <c r="H2" s="13"/>
      <c r="I2" s="13"/>
      <c r="J2" s="13"/>
      <c r="K2" s="14"/>
      <c r="L2" s="15"/>
      <c r="M2" s="16"/>
    </row>
    <row r="3" spans="1:26" ht="25" customHeight="1">
      <c r="A3" s="11"/>
      <c r="B3" s="12"/>
      <c r="C3" s="5"/>
      <c r="D3" s="13"/>
      <c r="E3" s="13"/>
      <c r="F3" s="13"/>
      <c r="G3" s="13"/>
      <c r="H3" s="13"/>
      <c r="I3" s="13"/>
      <c r="J3" s="13"/>
      <c r="K3" s="14"/>
      <c r="L3" s="15"/>
      <c r="M3" s="16"/>
    </row>
    <row r="4" spans="1:26" ht="25" customHeight="1">
      <c r="A4" s="11"/>
      <c r="B4" s="956"/>
      <c r="C4" s="956"/>
      <c r="D4" s="13"/>
      <c r="E4" s="13"/>
      <c r="F4" s="13"/>
      <c r="G4" s="13"/>
      <c r="H4" s="13"/>
      <c r="I4" s="13"/>
      <c r="J4" s="13"/>
      <c r="K4" s="14"/>
      <c r="L4" s="15"/>
      <c r="M4" s="16"/>
    </row>
    <row r="5" spans="1:26" ht="25" customHeight="1">
      <c r="A5" s="11"/>
      <c r="B5" s="17" t="s">
        <v>644</v>
      </c>
      <c r="C5" s="18"/>
      <c r="D5" s="13"/>
      <c r="E5" s="13"/>
      <c r="F5" s="13"/>
      <c r="G5" s="13"/>
      <c r="H5" s="13"/>
      <c r="I5" s="13"/>
      <c r="J5" s="13"/>
      <c r="K5" s="14"/>
      <c r="L5" s="15"/>
      <c r="M5" s="16"/>
    </row>
    <row r="6" spans="1:26" ht="25" customHeight="1">
      <c r="A6" s="11"/>
      <c r="B6" s="19"/>
      <c r="C6" s="5"/>
      <c r="D6" s="13"/>
      <c r="E6" s="13"/>
      <c r="F6" s="13"/>
      <c r="G6" s="13"/>
      <c r="H6" s="13"/>
      <c r="I6" s="13"/>
      <c r="J6" s="13"/>
      <c r="K6" s="14"/>
      <c r="L6" s="15"/>
      <c r="M6" s="16"/>
    </row>
    <row r="7" spans="1:26" ht="25" customHeight="1">
      <c r="A7" s="11"/>
      <c r="B7" s="20"/>
      <c r="C7" s="5"/>
      <c r="D7" s="13"/>
      <c r="E7" s="13"/>
      <c r="F7" s="13"/>
      <c r="G7" s="13"/>
      <c r="H7" s="13"/>
      <c r="I7" s="13"/>
      <c r="J7" s="13"/>
      <c r="K7" s="14"/>
      <c r="L7" s="15"/>
      <c r="M7" s="16"/>
    </row>
    <row r="8" spans="1:26" ht="25" customHeight="1">
      <c r="A8" s="11"/>
      <c r="B8" s="21" t="s">
        <v>232</v>
      </c>
      <c r="C8" s="5"/>
      <c r="D8" s="22" t="s">
        <v>146</v>
      </c>
      <c r="E8" s="13"/>
      <c r="F8" s="13"/>
      <c r="G8" s="13"/>
      <c r="H8" s="13"/>
      <c r="I8" s="13"/>
      <c r="J8" s="13"/>
      <c r="K8" s="14"/>
      <c r="L8" s="15"/>
      <c r="M8" s="16"/>
    </row>
    <row r="9" spans="1:26" ht="25" customHeight="1">
      <c r="A9" s="11"/>
      <c r="B9" s="23" t="s">
        <v>545</v>
      </c>
      <c r="C9" s="5"/>
      <c r="D9" s="13"/>
      <c r="E9" s="13"/>
      <c r="F9" s="13"/>
      <c r="G9" s="13"/>
      <c r="H9" s="13"/>
      <c r="I9" s="13"/>
      <c r="J9" s="13"/>
      <c r="K9" s="14"/>
      <c r="L9" s="15"/>
      <c r="M9" s="16"/>
    </row>
    <row r="10" spans="1:26" ht="25" customHeight="1">
      <c r="A10" s="11"/>
      <c r="B10" s="24" t="s">
        <v>3</v>
      </c>
      <c r="C10" s="25"/>
      <c r="D10" s="13"/>
      <c r="E10" s="13"/>
      <c r="F10" s="13"/>
      <c r="G10" s="13"/>
      <c r="H10" s="13"/>
      <c r="I10" s="13"/>
      <c r="J10" s="13"/>
      <c r="K10" s="14"/>
      <c r="L10" s="15"/>
      <c r="M10" s="16"/>
    </row>
    <row r="11" spans="1:26" s="34" customFormat="1" ht="25" customHeight="1">
      <c r="A11" s="26"/>
      <c r="B11" s="27"/>
      <c r="C11" s="28"/>
      <c r="D11" s="839" t="s">
        <v>546</v>
      </c>
      <c r="E11" s="29"/>
      <c r="F11" s="29"/>
      <c r="G11" s="30"/>
      <c r="H11" s="30"/>
      <c r="I11" s="31"/>
      <c r="J11" s="29"/>
      <c r="K11" s="32"/>
      <c r="L11" s="33"/>
      <c r="M11" s="16"/>
    </row>
    <row r="12" spans="1:26" s="34" customFormat="1" ht="25" customHeight="1">
      <c r="A12" s="35"/>
      <c r="B12" s="36"/>
      <c r="C12" s="37"/>
      <c r="D12" s="38"/>
      <c r="E12" s="38"/>
      <c r="F12" s="38"/>
      <c r="G12" s="39"/>
      <c r="H12" s="39"/>
      <c r="I12" s="40"/>
      <c r="J12" s="38"/>
      <c r="K12" s="41"/>
      <c r="L12" s="42"/>
      <c r="M12" s="16"/>
    </row>
    <row r="13" spans="1:26" s="34" customFormat="1" ht="25" customHeight="1">
      <c r="A13" s="43"/>
      <c r="B13" s="44"/>
      <c r="G13" s="45"/>
      <c r="H13" s="45"/>
      <c r="I13" s="46"/>
      <c r="K13" s="47"/>
      <c r="L13" s="48"/>
      <c r="M13" s="16"/>
    </row>
    <row r="14" spans="1:26" s="34" customFormat="1" ht="25" customHeight="1">
      <c r="A14" s="43"/>
      <c r="B14" s="44"/>
      <c r="G14" s="45"/>
      <c r="H14" s="45"/>
      <c r="I14" s="46"/>
      <c r="K14" s="47"/>
      <c r="L14" s="48"/>
      <c r="M14" s="16"/>
    </row>
    <row r="15" spans="1:26" s="34" customFormat="1" ht="25" customHeight="1">
      <c r="A15" s="43"/>
      <c r="B15" s="957" t="s">
        <v>635</v>
      </c>
      <c r="C15" s="957"/>
      <c r="D15" s="957"/>
      <c r="E15" s="957"/>
      <c r="F15" s="957"/>
      <c r="G15" s="957"/>
      <c r="H15" s="957"/>
      <c r="I15" s="957"/>
      <c r="J15" s="957"/>
      <c r="K15" s="957"/>
      <c r="L15" s="958"/>
      <c r="M15" s="16"/>
      <c r="N15" s="8"/>
      <c r="S15" s="50"/>
      <c r="X15" s="50"/>
      <c r="Y15" s="50"/>
      <c r="Z15" s="50"/>
    </row>
    <row r="16" spans="1:26" s="34" customFormat="1" ht="25" customHeight="1">
      <c r="A16" s="43"/>
      <c r="B16" s="957"/>
      <c r="C16" s="957"/>
      <c r="D16" s="957"/>
      <c r="E16" s="957"/>
      <c r="F16" s="957"/>
      <c r="G16" s="957"/>
      <c r="H16" s="957"/>
      <c r="I16" s="957"/>
      <c r="J16" s="957"/>
      <c r="K16" s="957"/>
      <c r="L16" s="958"/>
      <c r="M16" s="16"/>
      <c r="N16" s="8"/>
      <c r="S16" s="50"/>
      <c r="X16" s="50"/>
      <c r="Y16" s="50"/>
      <c r="Z16" s="50"/>
    </row>
    <row r="17" spans="1:26" s="34" customFormat="1" ht="25" customHeight="1">
      <c r="A17" s="43"/>
      <c r="B17" s="957"/>
      <c r="C17" s="957"/>
      <c r="D17" s="957"/>
      <c r="E17" s="957"/>
      <c r="F17" s="957"/>
      <c r="G17" s="957"/>
      <c r="H17" s="957"/>
      <c r="I17" s="957"/>
      <c r="J17" s="957"/>
      <c r="K17" s="957"/>
      <c r="L17" s="958"/>
      <c r="M17" s="16"/>
      <c r="N17" s="8"/>
      <c r="S17" s="50"/>
      <c r="X17" s="50"/>
      <c r="Y17" s="50"/>
      <c r="Z17" s="50"/>
    </row>
    <row r="18" spans="1:26" s="34" customFormat="1" ht="25" customHeight="1">
      <c r="A18" s="43"/>
      <c r="B18" s="959" t="s">
        <v>672</v>
      </c>
      <c r="C18" s="959"/>
      <c r="D18" s="959"/>
      <c r="E18" s="959"/>
      <c r="F18" s="959"/>
      <c r="G18" s="53"/>
      <c r="H18" s="54"/>
      <c r="J18" s="55"/>
      <c r="K18" s="391"/>
      <c r="L18" s="57"/>
      <c r="M18" s="16"/>
      <c r="N18" s="8"/>
      <c r="S18" s="50"/>
      <c r="T18" s="50"/>
      <c r="U18" s="50"/>
      <c r="V18" s="50"/>
      <c r="W18" s="50"/>
      <c r="X18" s="50"/>
      <c r="Y18" s="50"/>
      <c r="Z18" s="50"/>
    </row>
    <row r="19" spans="1:26" s="34" customFormat="1" ht="25" customHeight="1">
      <c r="A19" s="43"/>
      <c r="B19" s="58" t="s">
        <v>673</v>
      </c>
      <c r="C19" s="58"/>
      <c r="D19" s="58"/>
      <c r="E19" s="58"/>
      <c r="F19" s="58"/>
      <c r="G19" s="53"/>
      <c r="H19" s="54"/>
      <c r="I19" s="53"/>
      <c r="J19" s="55"/>
      <c r="K19" s="391"/>
      <c r="L19" s="57"/>
      <c r="M19" s="16"/>
      <c r="N19" s="8"/>
      <c r="S19" s="50"/>
      <c r="T19" s="50"/>
      <c r="U19" s="50"/>
      <c r="V19" s="50"/>
      <c r="W19" s="62"/>
      <c r="X19" s="154"/>
      <c r="Y19" s="50"/>
      <c r="Z19" s="50"/>
    </row>
    <row r="20" spans="1:26" s="34" customFormat="1" ht="25" customHeight="1">
      <c r="A20" s="43"/>
      <c r="B20" s="4"/>
      <c r="C20" s="60"/>
      <c r="D20" s="60"/>
      <c r="E20" s="60"/>
      <c r="F20" s="60"/>
      <c r="G20" s="53"/>
      <c r="H20" s="54"/>
      <c r="I20" s="53"/>
      <c r="J20" s="55"/>
      <c r="K20" s="391"/>
      <c r="L20" s="57"/>
      <c r="M20" s="16"/>
      <c r="N20" s="8"/>
      <c r="P20" s="8"/>
      <c r="Q20" s="8"/>
      <c r="R20" s="8"/>
      <c r="S20" s="50"/>
      <c r="T20" s="50"/>
      <c r="U20" s="50"/>
      <c r="V20" s="50"/>
      <c r="W20" s="50"/>
      <c r="X20" s="50"/>
      <c r="Y20" s="62"/>
      <c r="Z20" s="50"/>
    </row>
    <row r="21" spans="1:26" s="34" customFormat="1" ht="25" customHeight="1">
      <c r="A21" s="43"/>
      <c r="B21" s="4"/>
      <c r="C21" s="60"/>
      <c r="D21" s="60"/>
      <c r="E21" s="60"/>
      <c r="F21" s="60"/>
      <c r="G21" s="53"/>
      <c r="H21" s="54"/>
      <c r="I21" s="53"/>
      <c r="J21" s="55"/>
      <c r="K21" s="391"/>
      <c r="L21" s="57"/>
      <c r="M21" s="16"/>
      <c r="N21" s="8"/>
      <c r="P21" s="8"/>
      <c r="Q21" s="8"/>
      <c r="R21" s="8"/>
      <c r="S21" s="50"/>
      <c r="T21" s="50"/>
      <c r="U21" s="50"/>
      <c r="V21" s="50"/>
      <c r="W21" s="50"/>
      <c r="X21" s="50"/>
      <c r="Y21" s="62"/>
      <c r="Z21" s="50"/>
    </row>
    <row r="22" spans="1:26" s="69" customFormat="1" ht="25" customHeight="1">
      <c r="A22" s="63"/>
      <c r="B22" s="64" t="s">
        <v>641</v>
      </c>
      <c r="C22" s="65"/>
      <c r="D22" s="65"/>
      <c r="E22" s="65"/>
      <c r="F22" s="65"/>
      <c r="G22" s="65"/>
      <c r="H22" s="66"/>
      <c r="I22" s="67"/>
      <c r="J22" s="67"/>
      <c r="K22" s="392"/>
      <c r="M22" s="16"/>
      <c r="N22" s="8"/>
      <c r="P22" s="70"/>
      <c r="Q22" s="70"/>
      <c r="R22" s="71"/>
    </row>
    <row r="23" spans="1:26" ht="25" customHeight="1">
      <c r="B23" s="960" t="s">
        <v>642</v>
      </c>
      <c r="C23" s="960"/>
      <c r="D23" s="960"/>
      <c r="E23" s="960"/>
      <c r="K23" s="127"/>
      <c r="M23" s="16"/>
    </row>
    <row r="24" spans="1:26" s="78" customFormat="1" ht="25" customHeight="1">
      <c r="A24" s="73"/>
      <c r="B24" s="74" t="s">
        <v>22</v>
      </c>
      <c r="C24" s="75"/>
      <c r="D24" s="75"/>
      <c r="E24" s="2"/>
      <c r="F24" s="2"/>
      <c r="G24" s="2" t="s">
        <v>237</v>
      </c>
      <c r="H24" s="2" t="s">
        <v>551</v>
      </c>
      <c r="I24" s="76" t="s">
        <v>34</v>
      </c>
      <c r="J24" s="75"/>
      <c r="K24" s="77" t="s">
        <v>33</v>
      </c>
      <c r="M24" s="16"/>
      <c r="N24" s="8"/>
      <c r="O24" s="8"/>
      <c r="P24" s="62"/>
      <c r="Q24" s="62"/>
      <c r="R24" s="79"/>
    </row>
    <row r="25" spans="1:26" s="50" customFormat="1" ht="25" customHeight="1">
      <c r="A25" s="43"/>
      <c r="B25" s="133" t="s">
        <v>633</v>
      </c>
      <c r="C25" s="81"/>
      <c r="D25" s="81"/>
      <c r="E25" s="82"/>
      <c r="F25" s="82"/>
      <c r="G25" s="1057">
        <f t="shared" ref="G25:G26" si="0">H25/720</f>
        <v>0.6397222222222223</v>
      </c>
      <c r="H25" s="1057">
        <f>'EUR - Safespring services 2025'!H25</f>
        <v>460.6</v>
      </c>
      <c r="I25" s="84"/>
      <c r="J25" s="28"/>
      <c r="K25" s="1054">
        <f t="shared" ref="K25:K26" si="1">ROUNDUP(I25*H25,2)</f>
        <v>0</v>
      </c>
      <c r="M25" s="16"/>
      <c r="N25" s="8"/>
      <c r="O25" s="8"/>
      <c r="P25" s="62"/>
      <c r="R25" s="62"/>
    </row>
    <row r="26" spans="1:26" s="50" customFormat="1" ht="25" customHeight="1">
      <c r="A26" s="43"/>
      <c r="B26" s="135" t="s">
        <v>634</v>
      </c>
      <c r="C26" s="87"/>
      <c r="D26" s="87"/>
      <c r="E26" s="88"/>
      <c r="F26" s="88"/>
      <c r="G26" s="1058">
        <f t="shared" si="0"/>
        <v>0</v>
      </c>
      <c r="H26" s="1058">
        <v>0</v>
      </c>
      <c r="I26" s="84"/>
      <c r="J26" s="90"/>
      <c r="K26" s="1055">
        <f t="shared" si="1"/>
        <v>0</v>
      </c>
      <c r="M26" s="16"/>
      <c r="N26" s="8"/>
      <c r="P26" s="62"/>
      <c r="R26" s="62"/>
    </row>
    <row r="27" spans="1:26" s="34" customFormat="1" ht="25" customHeight="1">
      <c r="A27" s="43"/>
      <c r="B27" s="93" t="s">
        <v>678</v>
      </c>
      <c r="C27" s="94"/>
      <c r="D27" s="94"/>
      <c r="E27" s="152"/>
      <c r="F27" s="152"/>
      <c r="G27" s="94"/>
      <c r="H27" s="94"/>
      <c r="I27" s="94" t="str">
        <f>SUM(I14:I26)&amp;" stk."</f>
        <v>0 stk.</v>
      </c>
      <c r="J27" s="94"/>
      <c r="K27" s="1056">
        <f>SUM(K14:K26)</f>
        <v>0</v>
      </c>
      <c r="L27" s="48"/>
      <c r="M27" s="16"/>
      <c r="N27" s="8"/>
    </row>
    <row r="28" spans="1:26" s="34" customFormat="1" ht="25" customHeight="1">
      <c r="A28" s="43"/>
      <c r="B28" s="920"/>
      <c r="C28" s="247"/>
      <c r="D28" s="247"/>
      <c r="E28" s="951"/>
      <c r="F28" s="951"/>
      <c r="G28" s="247"/>
      <c r="H28" s="247"/>
      <c r="I28" s="247"/>
      <c r="J28" s="247"/>
      <c r="K28" s="950"/>
      <c r="L28" s="48"/>
      <c r="M28" s="16"/>
      <c r="N28" s="8"/>
    </row>
    <row r="29" spans="1:26" s="34" customFormat="1" ht="24.75" customHeight="1">
      <c r="A29" s="43"/>
      <c r="B29" s="44"/>
      <c r="G29" s="45"/>
      <c r="H29" s="45"/>
      <c r="I29" s="46"/>
      <c r="K29" s="390"/>
      <c r="L29" s="48"/>
      <c r="M29" s="435"/>
    </row>
    <row r="30" spans="1:26" s="34" customFormat="1" ht="25" customHeight="1">
      <c r="A30" s="43"/>
      <c r="B30" s="957" t="s">
        <v>4</v>
      </c>
      <c r="C30" s="957"/>
      <c r="D30" s="957"/>
      <c r="E30" s="957"/>
      <c r="F30" s="957"/>
      <c r="G30" s="957"/>
      <c r="H30" s="46"/>
      <c r="J30" s="49"/>
      <c r="K30" s="47"/>
      <c r="L30" s="48"/>
      <c r="M30" s="16"/>
      <c r="S30" s="50"/>
      <c r="X30" s="50"/>
      <c r="Y30" s="50"/>
      <c r="Z30" s="50"/>
    </row>
    <row r="31" spans="1:26" s="34" customFormat="1" ht="25" customHeight="1">
      <c r="A31" s="43"/>
      <c r="B31" s="957"/>
      <c r="C31" s="957"/>
      <c r="D31" s="957"/>
      <c r="E31" s="957"/>
      <c r="F31" s="957"/>
      <c r="G31" s="957"/>
      <c r="H31" s="46"/>
      <c r="J31" s="49"/>
      <c r="K31" s="47"/>
      <c r="L31" s="48"/>
      <c r="M31" s="16"/>
      <c r="S31" s="50"/>
      <c r="X31" s="50"/>
      <c r="Y31" s="50"/>
      <c r="Z31" s="50"/>
    </row>
    <row r="32" spans="1:26" s="34" customFormat="1" ht="25" customHeight="1">
      <c r="A32" s="43"/>
      <c r="B32" s="957"/>
      <c r="C32" s="957"/>
      <c r="D32" s="957"/>
      <c r="E32" s="957"/>
      <c r="F32" s="957"/>
      <c r="G32" s="957"/>
      <c r="H32" s="46"/>
      <c r="J32" s="49"/>
      <c r="K32" s="47"/>
      <c r="L32" s="48"/>
      <c r="M32" s="16"/>
      <c r="S32" s="50"/>
      <c r="X32" s="50"/>
      <c r="Y32" s="50"/>
      <c r="Z32" s="50"/>
    </row>
    <row r="33" spans="1:26" s="34" customFormat="1" ht="25" customHeight="1">
      <c r="A33" s="43"/>
      <c r="B33" s="51" t="s">
        <v>547</v>
      </c>
      <c r="C33" s="52"/>
      <c r="D33" s="52"/>
      <c r="E33" s="52"/>
      <c r="F33" s="52"/>
      <c r="H33" s="46"/>
      <c r="J33" s="49"/>
      <c r="K33" s="47"/>
      <c r="L33" s="48"/>
      <c r="M33" s="16"/>
      <c r="S33" s="50"/>
      <c r="T33" s="50"/>
      <c r="U33" s="50"/>
      <c r="V33" s="50"/>
      <c r="W33" s="50"/>
      <c r="X33" s="50"/>
      <c r="Y33" s="50"/>
      <c r="Z33" s="50"/>
    </row>
    <row r="34" spans="1:26" s="34" customFormat="1" ht="25" customHeight="1">
      <c r="A34" s="43"/>
      <c r="B34" s="4" t="s">
        <v>548</v>
      </c>
      <c r="C34" s="4"/>
      <c r="D34" s="4"/>
      <c r="E34" s="4"/>
      <c r="F34" s="4"/>
      <c r="G34" s="53"/>
      <c r="H34" s="54"/>
      <c r="J34" s="55"/>
      <c r="K34" s="56"/>
      <c r="L34" s="57"/>
      <c r="M34" s="16"/>
      <c r="S34" s="50"/>
      <c r="T34" s="50"/>
      <c r="U34" s="50"/>
      <c r="V34" s="50"/>
      <c r="W34" s="50"/>
      <c r="X34" s="50"/>
      <c r="Y34" s="50"/>
      <c r="Z34" s="50"/>
    </row>
    <row r="35" spans="1:26" s="34" customFormat="1" ht="25" customHeight="1">
      <c r="A35" s="43"/>
      <c r="B35" s="58" t="s">
        <v>549</v>
      </c>
      <c r="C35" s="59"/>
      <c r="D35" s="59"/>
      <c r="E35" s="60"/>
      <c r="F35" s="60"/>
      <c r="G35" s="53"/>
      <c r="H35" s="54"/>
      <c r="I35" s="53"/>
      <c r="J35" s="55"/>
      <c r="K35" s="56"/>
      <c r="L35" s="61"/>
      <c r="M35" s="16"/>
      <c r="O35" s="50"/>
      <c r="P35" s="50"/>
    </row>
    <row r="36" spans="1:26" s="34" customFormat="1" ht="25" customHeight="1">
      <c r="A36" s="43"/>
      <c r="B36" s="4"/>
      <c r="C36" s="60"/>
      <c r="D36" s="60"/>
      <c r="E36" s="60"/>
      <c r="F36" s="60"/>
      <c r="G36" s="53"/>
      <c r="H36" s="54"/>
      <c r="I36" s="53"/>
      <c r="J36" s="55"/>
      <c r="K36" s="56"/>
      <c r="L36" s="57"/>
      <c r="M36" s="16"/>
      <c r="P36" s="8"/>
      <c r="Q36" s="8"/>
      <c r="R36" s="8"/>
      <c r="S36" s="50"/>
      <c r="T36" s="50"/>
      <c r="U36" s="50"/>
      <c r="V36" s="50"/>
      <c r="W36" s="50"/>
      <c r="X36" s="50"/>
      <c r="Y36" s="62"/>
      <c r="Z36" s="50"/>
    </row>
    <row r="37" spans="1:26" s="34" customFormat="1" ht="25" customHeight="1">
      <c r="A37" s="43"/>
      <c r="B37" s="4"/>
      <c r="C37" s="60"/>
      <c r="D37" s="60"/>
      <c r="E37" s="60"/>
      <c r="F37" s="60"/>
      <c r="G37" s="53"/>
      <c r="H37" s="54"/>
      <c r="I37" s="53"/>
      <c r="J37" s="55"/>
      <c r="K37" s="56"/>
      <c r="L37" s="57"/>
      <c r="M37" s="16"/>
      <c r="P37" s="8"/>
      <c r="Q37" s="8"/>
      <c r="R37" s="8"/>
      <c r="S37" s="50"/>
      <c r="T37" s="50"/>
      <c r="U37" s="50"/>
      <c r="V37" s="50"/>
      <c r="W37" s="50"/>
      <c r="X37" s="50"/>
      <c r="Y37" s="62"/>
      <c r="Z37" s="50"/>
    </row>
    <row r="38" spans="1:26" s="69" customFormat="1" ht="25" customHeight="1">
      <c r="A38" s="63"/>
      <c r="B38" s="64" t="s">
        <v>152</v>
      </c>
      <c r="C38" s="65"/>
      <c r="D38" s="65"/>
      <c r="E38" s="65"/>
      <c r="F38" s="65"/>
      <c r="G38" s="65"/>
      <c r="H38" s="66"/>
      <c r="I38" s="67"/>
      <c r="J38" s="67"/>
      <c r="K38" s="68"/>
      <c r="M38" s="16"/>
      <c r="P38" s="70"/>
      <c r="Q38" s="70"/>
      <c r="R38" s="71"/>
    </row>
    <row r="39" spans="1:26" ht="25" customHeight="1">
      <c r="B39" s="72" t="s">
        <v>550</v>
      </c>
      <c r="C39" s="72"/>
      <c r="D39" s="72"/>
      <c r="E39" s="72"/>
      <c r="F39" s="72"/>
      <c r="M39" s="16"/>
    </row>
    <row r="40" spans="1:26" s="78" customFormat="1" ht="25" customHeight="1">
      <c r="A40" s="73"/>
      <c r="B40" s="74" t="s">
        <v>22</v>
      </c>
      <c r="C40" s="75" t="s">
        <v>11</v>
      </c>
      <c r="D40" s="75" t="s">
        <v>154</v>
      </c>
      <c r="E40" s="2" t="s">
        <v>155</v>
      </c>
      <c r="F40" s="2"/>
      <c r="G40" s="2" t="s">
        <v>237</v>
      </c>
      <c r="H40" s="2" t="s">
        <v>551</v>
      </c>
      <c r="I40" s="76" t="s">
        <v>34</v>
      </c>
      <c r="J40" s="75"/>
      <c r="K40" s="77" t="s">
        <v>33</v>
      </c>
      <c r="M40" s="16"/>
      <c r="N40" s="8"/>
      <c r="O40" s="8"/>
      <c r="P40" s="62"/>
      <c r="Q40" s="62"/>
      <c r="R40" s="79"/>
    </row>
    <row r="41" spans="1:26" s="50" customFormat="1" ht="25" customHeight="1">
      <c r="A41" s="43"/>
      <c r="B41" s="133" t="s">
        <v>156</v>
      </c>
      <c r="C41" s="81">
        <v>2</v>
      </c>
      <c r="D41" s="81">
        <v>4</v>
      </c>
      <c r="E41" s="82">
        <v>100</v>
      </c>
      <c r="F41" s="82"/>
      <c r="G41" s="83">
        <f t="shared" ref="G41:G54" si="2">H41/720</f>
        <v>6.2666666666666662E-2</v>
      </c>
      <c r="H41" s="83">
        <f t="shared" ref="H41:H54" si="3">C41*IAAS_vcpu_EUR+D41*IAAS_ram_EUR+E41*IAAS_nvme_EUR</f>
        <v>45.12</v>
      </c>
      <c r="I41" s="84"/>
      <c r="J41" s="28"/>
      <c r="K41" s="85">
        <f t="shared" ref="K41:K54" si="4">ROUNDUP(I41*H41,2)</f>
        <v>0</v>
      </c>
      <c r="M41" s="16"/>
      <c r="P41" s="62"/>
      <c r="R41" s="62"/>
    </row>
    <row r="42" spans="1:26" s="50" customFormat="1" ht="25" customHeight="1">
      <c r="A42" s="43"/>
      <c r="B42" s="135" t="s">
        <v>157</v>
      </c>
      <c r="C42" s="87">
        <v>2</v>
      </c>
      <c r="D42" s="87">
        <v>4</v>
      </c>
      <c r="E42" s="88">
        <v>500</v>
      </c>
      <c r="F42" s="88"/>
      <c r="G42" s="89">
        <f t="shared" si="2"/>
        <v>0.11488888888888889</v>
      </c>
      <c r="H42" s="89">
        <f t="shared" si="3"/>
        <v>82.72</v>
      </c>
      <c r="I42" s="84"/>
      <c r="J42" s="90"/>
      <c r="K42" s="91">
        <f t="shared" si="4"/>
        <v>0</v>
      </c>
      <c r="M42" s="16"/>
      <c r="P42" s="62"/>
      <c r="R42" s="62"/>
    </row>
    <row r="43" spans="1:26" s="50" customFormat="1" ht="25" customHeight="1">
      <c r="A43" s="43"/>
      <c r="B43" s="133" t="s">
        <v>158</v>
      </c>
      <c r="C43" s="81">
        <v>2</v>
      </c>
      <c r="D43" s="81">
        <v>4</v>
      </c>
      <c r="E43" s="82">
        <v>1000</v>
      </c>
      <c r="F43" s="82"/>
      <c r="G43" s="83">
        <f t="shared" si="2"/>
        <v>0.18016666666666667</v>
      </c>
      <c r="H43" s="83">
        <f t="shared" si="3"/>
        <v>129.72</v>
      </c>
      <c r="I43" s="84"/>
      <c r="J43" s="28"/>
      <c r="K43" s="85">
        <f t="shared" si="4"/>
        <v>0</v>
      </c>
      <c r="M43" s="16"/>
      <c r="P43" s="62"/>
      <c r="R43" s="62"/>
    </row>
    <row r="44" spans="1:26" s="50" customFormat="1" ht="25" customHeight="1">
      <c r="A44" s="43"/>
      <c r="B44" s="135" t="s">
        <v>159</v>
      </c>
      <c r="C44" s="87">
        <v>4</v>
      </c>
      <c r="D44" s="87">
        <v>8</v>
      </c>
      <c r="E44" s="88">
        <v>100</v>
      </c>
      <c r="F44" s="88"/>
      <c r="G44" s="89">
        <f t="shared" si="2"/>
        <v>0.11227777777777778</v>
      </c>
      <c r="H44" s="89">
        <f t="shared" si="3"/>
        <v>80.84</v>
      </c>
      <c r="I44" s="84"/>
      <c r="J44" s="90"/>
      <c r="K44" s="91">
        <f t="shared" si="4"/>
        <v>0</v>
      </c>
      <c r="M44" s="16"/>
      <c r="P44" s="62"/>
      <c r="R44" s="62"/>
    </row>
    <row r="45" spans="1:26" s="50" customFormat="1" ht="25" customHeight="1">
      <c r="A45" s="43"/>
      <c r="B45" s="133" t="s">
        <v>160</v>
      </c>
      <c r="C45" s="81">
        <v>4</v>
      </c>
      <c r="D45" s="81">
        <v>8</v>
      </c>
      <c r="E45" s="82">
        <v>500</v>
      </c>
      <c r="F45" s="82"/>
      <c r="G45" s="83">
        <f t="shared" si="2"/>
        <v>0.16450000000000001</v>
      </c>
      <c r="H45" s="83">
        <f t="shared" si="3"/>
        <v>118.44</v>
      </c>
      <c r="I45" s="84"/>
      <c r="J45" s="28"/>
      <c r="K45" s="85">
        <f t="shared" si="4"/>
        <v>0</v>
      </c>
      <c r="M45" s="16"/>
      <c r="P45" s="62"/>
      <c r="R45" s="62"/>
    </row>
    <row r="46" spans="1:26" s="50" customFormat="1" ht="25" customHeight="1">
      <c r="A46" s="43"/>
      <c r="B46" s="135" t="s">
        <v>161</v>
      </c>
      <c r="C46" s="87">
        <v>4</v>
      </c>
      <c r="D46" s="87">
        <v>8</v>
      </c>
      <c r="E46" s="88">
        <v>1000</v>
      </c>
      <c r="F46" s="88"/>
      <c r="G46" s="89">
        <f t="shared" si="2"/>
        <v>0.22977777777777778</v>
      </c>
      <c r="H46" s="89">
        <f t="shared" si="3"/>
        <v>165.44</v>
      </c>
      <c r="I46" s="84"/>
      <c r="J46" s="90"/>
      <c r="K46" s="91">
        <f t="shared" si="4"/>
        <v>0</v>
      </c>
      <c r="M46" s="16"/>
      <c r="P46" s="62"/>
      <c r="R46" s="62"/>
    </row>
    <row r="47" spans="1:26" s="50" customFormat="1" ht="25" customHeight="1">
      <c r="A47" s="43"/>
      <c r="B47" s="133" t="s">
        <v>162</v>
      </c>
      <c r="C47" s="81">
        <v>8</v>
      </c>
      <c r="D47" s="81">
        <v>16</v>
      </c>
      <c r="E47" s="82">
        <v>100</v>
      </c>
      <c r="F47" s="82"/>
      <c r="G47" s="83">
        <f t="shared" si="2"/>
        <v>0.21149999999999999</v>
      </c>
      <c r="H47" s="83">
        <f t="shared" si="3"/>
        <v>152.28</v>
      </c>
      <c r="I47" s="84"/>
      <c r="J47" s="28"/>
      <c r="K47" s="85">
        <f t="shared" si="4"/>
        <v>0</v>
      </c>
      <c r="M47" s="16"/>
      <c r="P47" s="62"/>
      <c r="R47" s="62"/>
    </row>
    <row r="48" spans="1:26" s="50" customFormat="1" ht="25" customHeight="1">
      <c r="A48" s="43"/>
      <c r="B48" s="135" t="s">
        <v>163</v>
      </c>
      <c r="C48" s="87">
        <v>8</v>
      </c>
      <c r="D48" s="87">
        <v>16</v>
      </c>
      <c r="E48" s="88">
        <v>500</v>
      </c>
      <c r="F48" s="88"/>
      <c r="G48" s="89">
        <f t="shared" si="2"/>
        <v>0.26372222222222219</v>
      </c>
      <c r="H48" s="89">
        <f t="shared" si="3"/>
        <v>189.88</v>
      </c>
      <c r="I48" s="84"/>
      <c r="J48" s="90"/>
      <c r="K48" s="91">
        <f t="shared" si="4"/>
        <v>0</v>
      </c>
      <c r="M48" s="16"/>
      <c r="P48" s="62"/>
      <c r="R48" s="62"/>
    </row>
    <row r="49" spans="1:18" s="50" customFormat="1" ht="25" customHeight="1">
      <c r="A49" s="43"/>
      <c r="B49" s="133" t="s">
        <v>164</v>
      </c>
      <c r="C49" s="81">
        <v>8</v>
      </c>
      <c r="D49" s="81">
        <v>16</v>
      </c>
      <c r="E49" s="82">
        <v>1000</v>
      </c>
      <c r="F49" s="82"/>
      <c r="G49" s="83">
        <f t="shared" si="2"/>
        <v>0.32900000000000001</v>
      </c>
      <c r="H49" s="83">
        <f t="shared" si="3"/>
        <v>236.88</v>
      </c>
      <c r="I49" s="84"/>
      <c r="J49" s="28"/>
      <c r="K49" s="85">
        <f t="shared" si="4"/>
        <v>0</v>
      </c>
      <c r="M49" s="16"/>
      <c r="P49" s="62"/>
      <c r="R49" s="62"/>
    </row>
    <row r="50" spans="1:18" s="50" customFormat="1" ht="25" customHeight="1">
      <c r="A50" s="43"/>
      <c r="B50" s="135" t="s">
        <v>165</v>
      </c>
      <c r="C50" s="87">
        <v>16</v>
      </c>
      <c r="D50" s="87">
        <v>32</v>
      </c>
      <c r="E50" s="88">
        <v>100</v>
      </c>
      <c r="F50" s="88"/>
      <c r="G50" s="89">
        <f t="shared" si="2"/>
        <v>0.40994444444444439</v>
      </c>
      <c r="H50" s="89">
        <f t="shared" si="3"/>
        <v>295.15999999999997</v>
      </c>
      <c r="I50" s="84"/>
      <c r="J50" s="90"/>
      <c r="K50" s="91">
        <f t="shared" si="4"/>
        <v>0</v>
      </c>
      <c r="M50" s="16"/>
      <c r="P50" s="62"/>
      <c r="R50" s="62"/>
    </row>
    <row r="51" spans="1:18" s="50" customFormat="1" ht="25" customHeight="1">
      <c r="A51" s="43"/>
      <c r="B51" s="133" t="s">
        <v>166</v>
      </c>
      <c r="C51" s="81">
        <v>16</v>
      </c>
      <c r="D51" s="81">
        <v>32</v>
      </c>
      <c r="E51" s="82">
        <v>500</v>
      </c>
      <c r="F51" s="82"/>
      <c r="G51" s="83">
        <f t="shared" si="2"/>
        <v>0.46216666666666667</v>
      </c>
      <c r="H51" s="83">
        <f t="shared" si="3"/>
        <v>332.76</v>
      </c>
      <c r="I51" s="84"/>
      <c r="J51" s="28"/>
      <c r="K51" s="85">
        <f t="shared" si="4"/>
        <v>0</v>
      </c>
      <c r="M51" s="16"/>
      <c r="P51" s="62"/>
      <c r="R51" s="62"/>
    </row>
    <row r="52" spans="1:18" s="50" customFormat="1" ht="25" customHeight="1">
      <c r="A52" s="43"/>
      <c r="B52" s="135" t="s">
        <v>167</v>
      </c>
      <c r="C52" s="87">
        <v>16</v>
      </c>
      <c r="D52" s="87">
        <v>32</v>
      </c>
      <c r="E52" s="88">
        <v>1000</v>
      </c>
      <c r="F52" s="88"/>
      <c r="G52" s="89">
        <f t="shared" si="2"/>
        <v>0.52744444444444438</v>
      </c>
      <c r="H52" s="89">
        <f t="shared" si="3"/>
        <v>379.76</v>
      </c>
      <c r="I52" s="84"/>
      <c r="J52" s="90"/>
      <c r="K52" s="91">
        <f t="shared" si="4"/>
        <v>0</v>
      </c>
      <c r="M52" s="16"/>
      <c r="P52" s="62"/>
      <c r="R52" s="62"/>
    </row>
    <row r="53" spans="1:18" s="50" customFormat="1" ht="25" customHeight="1">
      <c r="A53" s="43"/>
      <c r="B53" s="133" t="s">
        <v>631</v>
      </c>
      <c r="C53" s="81">
        <v>16</v>
      </c>
      <c r="D53" s="81">
        <v>64</v>
      </c>
      <c r="E53" s="82">
        <v>500</v>
      </c>
      <c r="F53" s="82"/>
      <c r="G53" s="83">
        <f t="shared" si="2"/>
        <v>0.69194444444444447</v>
      </c>
      <c r="H53" s="83">
        <f t="shared" si="3"/>
        <v>498.2</v>
      </c>
      <c r="I53" s="84"/>
      <c r="J53" s="28"/>
      <c r="K53" s="85">
        <f t="shared" si="4"/>
        <v>0</v>
      </c>
      <c r="M53" s="16"/>
      <c r="P53" s="62"/>
      <c r="R53" s="62"/>
    </row>
    <row r="54" spans="1:18" s="50" customFormat="1" ht="25" customHeight="1">
      <c r="A54" s="43"/>
      <c r="B54" s="135" t="s">
        <v>168</v>
      </c>
      <c r="C54" s="87">
        <v>32</v>
      </c>
      <c r="D54" s="87">
        <v>64</v>
      </c>
      <c r="E54" s="88">
        <v>1000</v>
      </c>
      <c r="F54" s="88"/>
      <c r="G54" s="89">
        <f t="shared" si="2"/>
        <v>0.92433333333333334</v>
      </c>
      <c r="H54" s="89">
        <f t="shared" si="3"/>
        <v>665.52</v>
      </c>
      <c r="I54" s="84"/>
      <c r="J54" s="90"/>
      <c r="K54" s="91">
        <f t="shared" si="4"/>
        <v>0</v>
      </c>
      <c r="M54" s="16"/>
      <c r="P54" s="62"/>
      <c r="R54" s="62"/>
    </row>
    <row r="55" spans="1:18" s="97" customFormat="1" ht="25" customHeight="1">
      <c r="A55" s="92"/>
      <c r="B55" s="93" t="s">
        <v>17</v>
      </c>
      <c r="C55" s="94">
        <f t="array" ref="C55">SUM(C41:C54*I41:I54)</f>
        <v>0</v>
      </c>
      <c r="D55" s="94" t="str">
        <f t="array" ref="D55">SUM(D41:D54*I41:I54)&amp;" GB"</f>
        <v>0 GB</v>
      </c>
      <c r="E55" s="95" t="str">
        <f t="array" ref="E55">SUM(E41:E54*I41:I54)&amp;" GB"</f>
        <v>0 GB</v>
      </c>
      <c r="F55" s="95"/>
      <c r="G55" s="94"/>
      <c r="H55" s="94"/>
      <c r="I55" s="94">
        <f>SUM(I41:I54)</f>
        <v>0</v>
      </c>
      <c r="J55" s="94"/>
      <c r="K55" s="96">
        <f>SUM(K41:K54)</f>
        <v>0</v>
      </c>
      <c r="M55" s="16"/>
      <c r="P55" s="98"/>
      <c r="R55" s="98"/>
    </row>
    <row r="56" spans="1:18" s="50" customFormat="1" ht="25" customHeight="1">
      <c r="A56" s="43"/>
      <c r="B56" s="99"/>
      <c r="C56" s="100"/>
      <c r="D56" s="100"/>
      <c r="E56" s="101"/>
      <c r="F56" s="102"/>
      <c r="G56" s="103"/>
      <c r="H56" s="104"/>
      <c r="I56" s="105"/>
      <c r="J56" s="106"/>
      <c r="K56" s="107"/>
      <c r="M56" s="16"/>
      <c r="P56" s="62"/>
      <c r="R56" s="62"/>
    </row>
    <row r="57" spans="1:18" s="50" customFormat="1" ht="25" customHeight="1">
      <c r="A57" s="43"/>
      <c r="B57" s="99"/>
      <c r="C57" s="100"/>
      <c r="D57" s="100"/>
      <c r="E57" s="101"/>
      <c r="F57" s="102"/>
      <c r="G57" s="103"/>
      <c r="H57" s="104"/>
      <c r="I57" s="105"/>
      <c r="J57" s="106"/>
      <c r="K57" s="107"/>
      <c r="M57" s="16"/>
      <c r="P57" s="62"/>
      <c r="R57" s="62"/>
    </row>
    <row r="58" spans="1:18" ht="25" customHeight="1">
      <c r="B58" s="108"/>
      <c r="C58" s="109"/>
      <c r="D58" s="109"/>
      <c r="E58" s="109"/>
      <c r="F58" s="109"/>
      <c r="G58" s="110"/>
      <c r="H58" s="111"/>
      <c r="I58" s="111"/>
      <c r="J58" s="109"/>
      <c r="K58" s="112"/>
      <c r="M58" s="16"/>
      <c r="P58" s="62"/>
      <c r="Q58" s="62"/>
      <c r="R58" s="79"/>
    </row>
    <row r="59" spans="1:18" s="78" customFormat="1" ht="25" customHeight="1">
      <c r="A59" s="73"/>
      <c r="B59" s="64" t="s">
        <v>552</v>
      </c>
      <c r="C59" s="113"/>
      <c r="D59" s="113"/>
      <c r="K59" s="114"/>
      <c r="M59" s="16"/>
    </row>
    <row r="60" spans="1:18" ht="25" customHeight="1">
      <c r="B60" s="72" t="s">
        <v>550</v>
      </c>
      <c r="C60" s="72"/>
      <c r="D60" s="72"/>
      <c r="E60" s="72"/>
      <c r="F60" s="72"/>
      <c r="M60" s="16"/>
    </row>
    <row r="61" spans="1:18" s="78" customFormat="1" ht="25" customHeight="1">
      <c r="A61" s="73"/>
      <c r="B61" s="74" t="s">
        <v>22</v>
      </c>
      <c r="C61" s="75" t="s">
        <v>11</v>
      </c>
      <c r="D61" s="75" t="s">
        <v>154</v>
      </c>
      <c r="E61" s="2" t="s">
        <v>155</v>
      </c>
      <c r="F61" s="2"/>
      <c r="G61" s="2" t="s">
        <v>237</v>
      </c>
      <c r="H61" s="2" t="s">
        <v>551</v>
      </c>
      <c r="I61" s="76" t="s">
        <v>34</v>
      </c>
      <c r="J61" s="75"/>
      <c r="K61" s="77" t="s">
        <v>33</v>
      </c>
      <c r="M61" s="16"/>
      <c r="N61" s="8"/>
      <c r="O61" s="8"/>
      <c r="P61" s="62"/>
      <c r="Q61" s="62"/>
      <c r="R61" s="79"/>
    </row>
    <row r="62" spans="1:18" s="50" customFormat="1" ht="25" customHeight="1">
      <c r="A62" s="43"/>
      <c r="B62" s="133" t="s">
        <v>170</v>
      </c>
      <c r="C62" s="81">
        <v>1</v>
      </c>
      <c r="D62" s="81">
        <v>2</v>
      </c>
      <c r="E62" s="116">
        <v>0</v>
      </c>
      <c r="F62" s="116"/>
      <c r="G62" s="83">
        <f t="shared" ref="G62:G71" si="5">H62/720</f>
        <v>2.4805555555555556E-2</v>
      </c>
      <c r="H62" s="83">
        <f>C62*IAAS_vcpu_EUR+D62*IAAS_ram_EUR+E62*IAAS_ssd_EUR</f>
        <v>17.86</v>
      </c>
      <c r="I62" s="84"/>
      <c r="J62" s="28"/>
      <c r="K62" s="85">
        <f t="shared" ref="K62:K71" si="6">ROUNDUP(I62*H62,2)</f>
        <v>0</v>
      </c>
      <c r="M62" s="16"/>
      <c r="N62" s="117"/>
      <c r="O62" s="118"/>
    </row>
    <row r="63" spans="1:18" s="50" customFormat="1" ht="25" customHeight="1">
      <c r="A63" s="43"/>
      <c r="B63" s="135" t="s">
        <v>171</v>
      </c>
      <c r="C63" s="87">
        <v>1</v>
      </c>
      <c r="D63" s="87">
        <v>4</v>
      </c>
      <c r="E63" s="119">
        <v>0</v>
      </c>
      <c r="F63" s="119"/>
      <c r="G63" s="89">
        <f t="shared" si="5"/>
        <v>3.9166666666666669E-2</v>
      </c>
      <c r="H63" s="89">
        <f>C63*IAAS_vcpu_EUR+D63*IAAS_ram_EUR+E63*IAAS_ssd_EUR</f>
        <v>28.2</v>
      </c>
      <c r="I63" s="84"/>
      <c r="J63" s="90"/>
      <c r="K63" s="91">
        <f t="shared" si="6"/>
        <v>0</v>
      </c>
      <c r="L63" s="120"/>
      <c r="M63" s="16"/>
      <c r="N63" s="117"/>
      <c r="O63" s="118"/>
    </row>
    <row r="64" spans="1:18" s="50" customFormat="1" ht="25" customHeight="1">
      <c r="A64" s="43"/>
      <c r="B64" s="133" t="s">
        <v>172</v>
      </c>
      <c r="C64" s="81">
        <v>2</v>
      </c>
      <c r="D64" s="81">
        <v>4</v>
      </c>
      <c r="E64" s="116">
        <v>0</v>
      </c>
      <c r="F64" s="116"/>
      <c r="G64" s="83">
        <f t="shared" si="5"/>
        <v>4.9611111111111113E-2</v>
      </c>
      <c r="H64" s="83">
        <f>C64*IAAS_vcpu_EUR+D64*IAAS_ram_EUR+E64*IAAS_ssd_EUR</f>
        <v>35.72</v>
      </c>
      <c r="I64" s="84"/>
      <c r="J64" s="28"/>
      <c r="K64" s="85">
        <f t="shared" si="6"/>
        <v>0</v>
      </c>
      <c r="L64" s="120"/>
      <c r="M64" s="16"/>
      <c r="N64" s="117"/>
      <c r="O64" s="118"/>
    </row>
    <row r="65" spans="1:19" s="50" customFormat="1" ht="25" customHeight="1">
      <c r="A65" s="43"/>
      <c r="B65" s="135" t="s">
        <v>173</v>
      </c>
      <c r="C65" s="87">
        <v>2</v>
      </c>
      <c r="D65" s="87">
        <v>8</v>
      </c>
      <c r="E65" s="119">
        <v>0</v>
      </c>
      <c r="F65" s="119"/>
      <c r="G65" s="89">
        <f t="shared" si="5"/>
        <v>7.8333333333333338E-2</v>
      </c>
      <c r="H65" s="89">
        <f>C65*IAAS_vcpu_EUR+D65*IAAS_ram_EUR+E65*IAAS_ssd_EUR</f>
        <v>56.4</v>
      </c>
      <c r="I65" s="84"/>
      <c r="J65" s="90"/>
      <c r="K65" s="91">
        <f t="shared" si="6"/>
        <v>0</v>
      </c>
      <c r="L65" s="120"/>
      <c r="M65" s="16"/>
      <c r="N65" s="117"/>
      <c r="O65" s="121"/>
    </row>
    <row r="66" spans="1:19" s="50" customFormat="1" ht="25" customHeight="1">
      <c r="A66" s="43"/>
      <c r="B66" s="133" t="s">
        <v>174</v>
      </c>
      <c r="C66" s="81">
        <v>4</v>
      </c>
      <c r="D66" s="81">
        <v>8</v>
      </c>
      <c r="E66" s="116">
        <v>0</v>
      </c>
      <c r="F66" s="116"/>
      <c r="G66" s="83">
        <f t="shared" si="5"/>
        <v>9.9222222222222226E-2</v>
      </c>
      <c r="H66" s="83">
        <f>C66*IAAS_vcpu_EUR+D66*IAAS_ram_EUR+E66*IAAS_ssd_EUR</f>
        <v>71.44</v>
      </c>
      <c r="I66" s="84"/>
      <c r="J66" s="28"/>
      <c r="K66" s="85">
        <f t="shared" si="6"/>
        <v>0</v>
      </c>
      <c r="L66" s="120"/>
      <c r="M66" s="16"/>
      <c r="N66" s="117"/>
    </row>
    <row r="67" spans="1:19" s="50" customFormat="1" ht="25" customHeight="1">
      <c r="A67" s="43"/>
      <c r="B67" s="135" t="s">
        <v>175</v>
      </c>
      <c r="C67" s="87">
        <v>4</v>
      </c>
      <c r="D67" s="87">
        <v>16</v>
      </c>
      <c r="E67" s="119">
        <v>0</v>
      </c>
      <c r="F67" s="119"/>
      <c r="G67" s="89">
        <f t="shared" si="5"/>
        <v>0.15666666666666668</v>
      </c>
      <c r="H67" s="89">
        <f>C67*IAAS_vcpu_EUR+D67*IAAS_ram_EUR+E67*IAAS_ssd_EUR</f>
        <v>112.8</v>
      </c>
      <c r="I67" s="84"/>
      <c r="J67" s="90"/>
      <c r="K67" s="91">
        <f t="shared" si="6"/>
        <v>0</v>
      </c>
      <c r="L67" s="120"/>
      <c r="M67" s="16"/>
    </row>
    <row r="68" spans="1:19" s="50" customFormat="1" ht="25" customHeight="1">
      <c r="A68" s="43"/>
      <c r="B68" s="133" t="s">
        <v>176</v>
      </c>
      <c r="C68" s="81">
        <v>8</v>
      </c>
      <c r="D68" s="81">
        <v>16</v>
      </c>
      <c r="E68" s="116">
        <v>0</v>
      </c>
      <c r="F68" s="116"/>
      <c r="G68" s="83">
        <f t="shared" si="5"/>
        <v>0.19844444444444445</v>
      </c>
      <c r="H68" s="83">
        <f>C68*IAAS_vcpu_EUR+D68*IAAS_ram_EUR+E68*IAAS_ssd_EUR</f>
        <v>142.88</v>
      </c>
      <c r="I68" s="84"/>
      <c r="J68" s="28"/>
      <c r="K68" s="85">
        <f t="shared" si="6"/>
        <v>0</v>
      </c>
      <c r="L68" s="120"/>
      <c r="M68" s="16"/>
    </row>
    <row r="69" spans="1:19" s="50" customFormat="1" ht="25" customHeight="1">
      <c r="A69" s="43"/>
      <c r="B69" s="135" t="s">
        <v>177</v>
      </c>
      <c r="C69" s="87">
        <v>8</v>
      </c>
      <c r="D69" s="87">
        <v>32</v>
      </c>
      <c r="E69" s="119">
        <v>0</v>
      </c>
      <c r="F69" s="119"/>
      <c r="G69" s="89">
        <f t="shared" si="5"/>
        <v>0.31333333333333335</v>
      </c>
      <c r="H69" s="89">
        <f>C69*IAAS_vcpu_EUR+D69*IAAS_ram_EUR+E69*IAAS_ssd_EUR</f>
        <v>225.6</v>
      </c>
      <c r="I69" s="84"/>
      <c r="J69" s="90"/>
      <c r="K69" s="91">
        <f t="shared" si="6"/>
        <v>0</v>
      </c>
      <c r="L69" s="120"/>
      <c r="M69" s="16"/>
    </row>
    <row r="70" spans="1:19" s="50" customFormat="1" ht="25" customHeight="1">
      <c r="A70" s="43"/>
      <c r="B70" s="133" t="s">
        <v>178</v>
      </c>
      <c r="C70" s="81">
        <v>16</v>
      </c>
      <c r="D70" s="81">
        <v>32</v>
      </c>
      <c r="E70" s="116">
        <v>0</v>
      </c>
      <c r="F70" s="116"/>
      <c r="G70" s="83">
        <f t="shared" si="5"/>
        <v>0.3968888888888889</v>
      </c>
      <c r="H70" s="83">
        <f>C70*IAAS_vcpu_EUR+D70*IAAS_ram_EUR+E70*IAAS_ssd_EUR</f>
        <v>285.76</v>
      </c>
      <c r="I70" s="84"/>
      <c r="J70" s="28"/>
      <c r="K70" s="85">
        <f t="shared" si="6"/>
        <v>0</v>
      </c>
      <c r="L70" s="120"/>
      <c r="M70" s="16"/>
      <c r="P70" s="62"/>
      <c r="Q70" s="62"/>
      <c r="R70" s="62"/>
    </row>
    <row r="71" spans="1:19" s="50" customFormat="1" ht="25" customHeight="1">
      <c r="A71" s="43"/>
      <c r="B71" s="135" t="s">
        <v>179</v>
      </c>
      <c r="C71" s="87">
        <v>16</v>
      </c>
      <c r="D71" s="87">
        <v>64</v>
      </c>
      <c r="E71" s="119">
        <v>0</v>
      </c>
      <c r="F71" s="119"/>
      <c r="G71" s="89">
        <f t="shared" si="5"/>
        <v>0.62666666666666671</v>
      </c>
      <c r="H71" s="89">
        <f>C71*IAAS_vcpu_EUR+D71*IAAS_ram_EUR+E71*IAAS_ssd_EUR</f>
        <v>451.2</v>
      </c>
      <c r="I71" s="84"/>
      <c r="J71" s="90"/>
      <c r="K71" s="91">
        <f t="shared" si="6"/>
        <v>0</v>
      </c>
      <c r="L71" s="120"/>
      <c r="M71" s="16"/>
      <c r="P71" s="62"/>
      <c r="Q71" s="62"/>
      <c r="R71" s="62"/>
    </row>
    <row r="72" spans="1:19" s="97" customFormat="1" ht="25" customHeight="1">
      <c r="A72" s="92"/>
      <c r="B72" s="93" t="s">
        <v>17</v>
      </c>
      <c r="C72" s="94">
        <f t="array" ref="C72">SUM(C62:C71*I62:I71)</f>
        <v>0</v>
      </c>
      <c r="D72" s="94">
        <f t="array" ref="D72">SUM(D62:D71*I62:I71)</f>
        <v>0</v>
      </c>
      <c r="E72" s="122" t="s">
        <v>19</v>
      </c>
      <c r="F72" s="122"/>
      <c r="G72" s="94"/>
      <c r="H72" s="94"/>
      <c r="I72" s="94">
        <f>SUM(I62:I71)</f>
        <v>0</v>
      </c>
      <c r="J72" s="94"/>
      <c r="K72" s="123">
        <f>SUM(K62:K71)</f>
        <v>0</v>
      </c>
      <c r="M72" s="16"/>
      <c r="P72" s="98"/>
      <c r="R72" s="98"/>
    </row>
    <row r="73" spans="1:19" s="50" customFormat="1" ht="25" customHeight="1">
      <c r="A73" s="43"/>
      <c r="B73" s="100"/>
      <c r="C73" s="100"/>
      <c r="D73" s="100"/>
      <c r="E73" s="101"/>
      <c r="F73" s="102"/>
      <c r="G73" s="103"/>
      <c r="H73" s="104"/>
      <c r="I73" s="105"/>
      <c r="J73" s="106"/>
      <c r="K73" s="124"/>
      <c r="M73" s="16"/>
      <c r="P73" s="62"/>
      <c r="R73" s="62"/>
    </row>
    <row r="74" spans="1:19" s="50" customFormat="1" ht="25" customHeight="1">
      <c r="A74" s="43"/>
      <c r="B74" s="100"/>
      <c r="C74" s="100"/>
      <c r="D74" s="100"/>
      <c r="E74" s="101"/>
      <c r="F74" s="102"/>
      <c r="G74" s="103"/>
      <c r="H74" s="104"/>
      <c r="I74" s="105"/>
      <c r="J74" s="106"/>
      <c r="K74" s="124"/>
      <c r="M74" s="16"/>
      <c r="P74" s="62"/>
      <c r="R74" s="62"/>
    </row>
    <row r="75" spans="1:19" ht="25" customHeight="1">
      <c r="B75" s="108"/>
      <c r="C75" s="109"/>
      <c r="D75" s="109"/>
      <c r="E75" s="109"/>
      <c r="F75" s="109"/>
      <c r="G75" s="110"/>
      <c r="H75" s="111"/>
      <c r="I75" s="111"/>
      <c r="J75" s="109"/>
      <c r="K75" s="125"/>
      <c r="M75" s="16"/>
      <c r="P75" s="62"/>
      <c r="Q75" s="62"/>
      <c r="R75" s="79"/>
    </row>
    <row r="76" spans="1:19" s="78" customFormat="1" ht="25" customHeight="1">
      <c r="A76" s="73"/>
      <c r="B76" s="64" t="s">
        <v>553</v>
      </c>
      <c r="C76" s="113"/>
      <c r="D76" s="113"/>
      <c r="K76" s="126"/>
      <c r="M76" s="16"/>
    </row>
    <row r="77" spans="1:19" ht="25" customHeight="1">
      <c r="B77" s="72" t="s">
        <v>550</v>
      </c>
      <c r="K77" s="127"/>
      <c r="M77" s="16"/>
    </row>
    <row r="78" spans="1:19" s="130" customFormat="1" ht="25" customHeight="1">
      <c r="A78" s="115"/>
      <c r="B78" s="74" t="s">
        <v>22</v>
      </c>
      <c r="C78" s="75" t="s">
        <v>11</v>
      </c>
      <c r="D78" s="75" t="s">
        <v>154</v>
      </c>
      <c r="E78" s="2" t="s">
        <v>155</v>
      </c>
      <c r="F78" s="1" t="s">
        <v>628</v>
      </c>
      <c r="G78" s="2" t="s">
        <v>237</v>
      </c>
      <c r="H78" s="2" t="s">
        <v>551</v>
      </c>
      <c r="I78" s="76" t="s">
        <v>32</v>
      </c>
      <c r="J78" s="75"/>
      <c r="K78" s="77" t="s">
        <v>33</v>
      </c>
      <c r="M78" s="16"/>
      <c r="O78" s="131"/>
      <c r="P78" s="132"/>
      <c r="Q78" s="132"/>
      <c r="R78" s="132"/>
      <c r="S78" s="131"/>
    </row>
    <row r="79" spans="1:19" s="50" customFormat="1" ht="25" customHeight="1">
      <c r="A79" s="43"/>
      <c r="B79" s="133" t="s">
        <v>632</v>
      </c>
      <c r="C79" s="81">
        <v>4</v>
      </c>
      <c r="D79" s="81">
        <v>16</v>
      </c>
      <c r="E79" s="116">
        <v>125</v>
      </c>
      <c r="F79" s="116" t="s">
        <v>629</v>
      </c>
      <c r="G79" s="915">
        <f>H79/720</f>
        <v>0.43670833333333337</v>
      </c>
      <c r="H79" s="915">
        <f>C79*IAAS_vcpu_EUR+D79*IAAS_ram_EUR+E79*IAAS_nvme_EUR+IAAS_GPU_A2_EUR</f>
        <v>314.43</v>
      </c>
      <c r="I79" s="84"/>
      <c r="J79" s="28"/>
      <c r="K79" s="1054">
        <f>ROUNDUP(I79*H79,2)</f>
        <v>0</v>
      </c>
      <c r="M79" s="16"/>
      <c r="N79" s="117"/>
      <c r="O79" s="118"/>
    </row>
    <row r="80" spans="1:19" s="50" customFormat="1" ht="25" customHeight="1">
      <c r="A80" s="43"/>
      <c r="B80" s="135" t="s">
        <v>24</v>
      </c>
      <c r="C80" s="87">
        <v>8</v>
      </c>
      <c r="D80" s="87">
        <v>32</v>
      </c>
      <c r="E80" s="119">
        <v>250</v>
      </c>
      <c r="F80" s="119" t="s">
        <v>629</v>
      </c>
      <c r="G80" s="916">
        <f>H80/720</f>
        <v>0.60969444444444443</v>
      </c>
      <c r="H80" s="916">
        <f>C80*IAAS_vcpu_EUR+D80*IAAS_ram_EUR+E80*IAAS_nvme_EUR+IAAS_GPU_A2_EUR</f>
        <v>438.98</v>
      </c>
      <c r="I80" s="84"/>
      <c r="J80" s="90"/>
      <c r="K80" s="1055">
        <f>ROUNDUP(I80*H80,2)</f>
        <v>0</v>
      </c>
      <c r="L80" s="120"/>
      <c r="M80" s="16"/>
      <c r="N80" s="117"/>
      <c r="O80" s="118"/>
    </row>
    <row r="81" spans="1:20" s="50" customFormat="1" ht="25" customHeight="1">
      <c r="A81" s="43"/>
      <c r="B81" s="133" t="s">
        <v>25</v>
      </c>
      <c r="C81" s="81">
        <v>4</v>
      </c>
      <c r="D81" s="81">
        <v>8</v>
      </c>
      <c r="E81" s="116">
        <v>0</v>
      </c>
      <c r="F81" s="116" t="s">
        <v>629</v>
      </c>
      <c r="G81" s="915">
        <f>H81/720</f>
        <v>0.36294444444444446</v>
      </c>
      <c r="H81" s="915">
        <f>C81*IAAS_vcpu_EUR+D81*IAAS_ram_EUR+E81*IAAS_nvme_EUR+IAAS_GPU_A2_EUR</f>
        <v>261.32</v>
      </c>
      <c r="I81" s="84"/>
      <c r="J81" s="28"/>
      <c r="K81" s="1054">
        <f>ROUNDUP(I81*H81,2)</f>
        <v>0</v>
      </c>
      <c r="L81" s="120"/>
      <c r="M81" s="16"/>
      <c r="N81" s="117"/>
      <c r="O81" s="118"/>
    </row>
    <row r="82" spans="1:20" s="50" customFormat="1" ht="25" customHeight="1">
      <c r="A82" s="43"/>
      <c r="B82" s="396" t="s">
        <v>181</v>
      </c>
      <c r="C82" s="87">
        <v>8</v>
      </c>
      <c r="D82" s="87">
        <v>16</v>
      </c>
      <c r="E82" s="119">
        <v>0</v>
      </c>
      <c r="F82" s="119" t="s">
        <v>629</v>
      </c>
      <c r="G82" s="916">
        <f t="shared" ref="G82" si="7">H82/720</f>
        <v>0.46216666666666667</v>
      </c>
      <c r="H82" s="916">
        <f>C82*IAAS_vcpu_EUR+D82*IAAS_ram_EUR+E82*IAAS_nvme_EUR+IAAS_GPU_A2_EUR</f>
        <v>332.76</v>
      </c>
      <c r="I82" s="84"/>
      <c r="J82" s="90"/>
      <c r="K82" s="1055">
        <f>ROUNDUP(I82*H82,2)</f>
        <v>0</v>
      </c>
      <c r="L82" s="120"/>
      <c r="M82" s="16"/>
      <c r="N82" s="117"/>
      <c r="O82" s="121"/>
    </row>
    <row r="83" spans="1:20" s="50" customFormat="1" ht="25" customHeight="1">
      <c r="A83" s="43"/>
      <c r="B83" s="133" t="s">
        <v>626</v>
      </c>
      <c r="C83" s="81">
        <v>32</v>
      </c>
      <c r="D83" s="81">
        <v>192</v>
      </c>
      <c r="E83" s="116">
        <v>0</v>
      </c>
      <c r="F83" s="116" t="s">
        <v>630</v>
      </c>
      <c r="G83" s="915">
        <f>H83/720</f>
        <v>3.1364666666666672</v>
      </c>
      <c r="H83" s="915">
        <f>C83*IAAS_vcpu_EUR+D83*IAAS_ram_EUR+E83*IAAS_nvme_EUR+IAAS_GPU_H100_EUR</f>
        <v>2258.2560000000003</v>
      </c>
      <c r="I83" s="84"/>
      <c r="J83" s="28"/>
      <c r="K83" s="1054">
        <f>ROUNDUP(I83*H83,2)</f>
        <v>0</v>
      </c>
      <c r="L83" s="120"/>
      <c r="M83" s="16"/>
      <c r="N83" s="117"/>
      <c r="O83" s="121"/>
    </row>
    <row r="84" spans="1:20" s="97" customFormat="1" ht="25" customHeight="1">
      <c r="A84" s="43"/>
      <c r="B84" s="93" t="s">
        <v>678</v>
      </c>
      <c r="C84" s="94" t="str">
        <f>SUMPRODUCT(C79:C83,I79:I83)&amp;" stk."</f>
        <v>0 stk.</v>
      </c>
      <c r="D84" s="94" t="str">
        <f>SUMPRODUCT(D79:D83,I79:I83)&amp;" GB"</f>
        <v>0 GB</v>
      </c>
      <c r="E84" s="94" t="str">
        <f>SUMPRODUCT(E79:E83,I79:I83)&amp;" GB"</f>
        <v>0 GB</v>
      </c>
      <c r="F84" s="94"/>
      <c r="G84" s="94"/>
      <c r="H84" s="94"/>
      <c r="I84" s="94" t="str">
        <f>SUM(I79:I83)&amp;" stk."</f>
        <v>0 stk.</v>
      </c>
      <c r="J84" s="94"/>
      <c r="K84" s="1056">
        <f>SUM(K79:K83)</f>
        <v>0</v>
      </c>
      <c r="M84" s="16"/>
      <c r="N84" s="50"/>
      <c r="P84" s="98"/>
      <c r="R84" s="98"/>
    </row>
    <row r="85" spans="1:20" s="50" customFormat="1" ht="25" customHeight="1">
      <c r="A85" s="43"/>
      <c r="B85" s="170"/>
      <c r="C85" s="153"/>
      <c r="D85" s="153"/>
      <c r="E85" s="153"/>
      <c r="F85" s="153"/>
      <c r="G85" s="153"/>
      <c r="H85" s="154"/>
      <c r="I85" s="154"/>
      <c r="J85" s="154"/>
      <c r="K85" s="155"/>
      <c r="L85" s="171"/>
      <c r="M85" s="16"/>
      <c r="Q85" s="62"/>
      <c r="S85" s="62"/>
    </row>
    <row r="86" spans="1:20" ht="25" customHeight="1">
      <c r="B86" s="64" t="s">
        <v>554</v>
      </c>
      <c r="C86" s="156"/>
      <c r="D86" s="156"/>
      <c r="E86" s="156"/>
      <c r="F86" s="156"/>
      <c r="G86" s="156"/>
      <c r="H86" s="154"/>
      <c r="I86" s="154"/>
      <c r="J86" s="154"/>
      <c r="K86" s="155"/>
      <c r="L86" s="171"/>
      <c r="M86" s="16"/>
      <c r="N86" s="50"/>
      <c r="O86" s="50"/>
      <c r="P86" s="50"/>
      <c r="Q86" s="50"/>
      <c r="R86" s="62"/>
      <c r="S86" s="50"/>
      <c r="T86" s="79"/>
    </row>
    <row r="87" spans="1:20" ht="25" customHeight="1">
      <c r="B87" s="72" t="s">
        <v>555</v>
      </c>
      <c r="M87" s="16"/>
    </row>
    <row r="88" spans="1:20" s="175" customFormat="1" ht="25" customHeight="1">
      <c r="A88" s="178"/>
      <c r="B88" s="74" t="s">
        <v>22</v>
      </c>
      <c r="C88" s="172" t="s">
        <v>242</v>
      </c>
      <c r="D88" s="172"/>
      <c r="E88" s="172"/>
      <c r="F88" s="172"/>
      <c r="G88" s="1" t="s">
        <v>237</v>
      </c>
      <c r="H88" s="2" t="s">
        <v>551</v>
      </c>
      <c r="I88" s="173" t="s">
        <v>556</v>
      </c>
      <c r="J88" s="172"/>
      <c r="K88" s="174" t="s">
        <v>186</v>
      </c>
      <c r="L88" s="132"/>
      <c r="M88" s="16"/>
      <c r="N88" s="132"/>
      <c r="R88" s="176"/>
      <c r="S88" s="176"/>
      <c r="T88" s="177"/>
    </row>
    <row r="89" spans="1:20" s="50" customFormat="1" ht="25" customHeight="1">
      <c r="A89" s="43"/>
      <c r="B89" s="133" t="s">
        <v>39</v>
      </c>
      <c r="C89" s="179" t="s">
        <v>40</v>
      </c>
      <c r="D89" s="180"/>
      <c r="E89" s="180"/>
      <c r="F89" s="180"/>
      <c r="G89" s="181">
        <f>H89/720</f>
        <v>1.5666666666666666E-4</v>
      </c>
      <c r="H89" s="182">
        <f>VOLUME_large_EUR</f>
        <v>0.1128</v>
      </c>
      <c r="I89" s="183"/>
      <c r="J89" s="184"/>
      <c r="K89" s="185">
        <f>ROUNDUP(I89*H89,2)</f>
        <v>0</v>
      </c>
      <c r="L89" s="154"/>
      <c r="M89" s="16"/>
    </row>
    <row r="90" spans="1:20" s="50" customFormat="1" ht="25" customHeight="1">
      <c r="A90" s="43"/>
      <c r="B90" s="135" t="s">
        <v>41</v>
      </c>
      <c r="C90" s="50" t="s">
        <v>42</v>
      </c>
      <c r="D90" s="167"/>
      <c r="E90" s="167"/>
      <c r="F90" s="167"/>
      <c r="G90" s="186">
        <f>H90/720</f>
        <v>4.7000000000000004E-4</v>
      </c>
      <c r="H90" s="187">
        <f>VOLUME_fast_EUR</f>
        <v>0.33840000000000003</v>
      </c>
      <c r="I90" s="189"/>
      <c r="J90" s="190"/>
      <c r="K90" s="191">
        <f>ROUNDUP(I90*H90,2)</f>
        <v>0</v>
      </c>
      <c r="L90" s="154"/>
      <c r="M90" s="16"/>
      <c r="T90" s="62"/>
    </row>
    <row r="91" spans="1:20" s="50" customFormat="1" ht="25" customHeight="1">
      <c r="A91" s="43"/>
      <c r="B91" s="133" t="s">
        <v>43</v>
      </c>
      <c r="C91" s="179" t="s">
        <v>44</v>
      </c>
      <c r="D91" s="180"/>
      <c r="E91" s="180"/>
      <c r="F91" s="180"/>
      <c r="G91" s="181">
        <f>H91/720</f>
        <v>1.5666666666666666E-4</v>
      </c>
      <c r="H91" s="182">
        <f>VOLUME_large_EUR</f>
        <v>0.1128</v>
      </c>
      <c r="I91" s="183"/>
      <c r="J91" s="184"/>
      <c r="K91" s="185">
        <f>ROUNDUP(I91*H91,2)</f>
        <v>0</v>
      </c>
      <c r="L91" s="154"/>
      <c r="M91" s="16"/>
    </row>
    <row r="92" spans="1:20" s="97" customFormat="1" ht="25" customHeight="1">
      <c r="A92" s="92"/>
      <c r="B92" s="93" t="s">
        <v>17</v>
      </c>
      <c r="C92" s="94"/>
      <c r="D92" s="94"/>
      <c r="E92" s="94"/>
      <c r="F92" s="94"/>
      <c r="G92" s="94"/>
      <c r="H92" s="94"/>
      <c r="I92" s="94" t="str">
        <f>SUM(I89:I91)&amp;" GB"</f>
        <v>0 GB</v>
      </c>
      <c r="J92" s="94"/>
      <c r="K92" s="123">
        <f>SUM(K89:K91)</f>
        <v>0</v>
      </c>
      <c r="M92" s="16"/>
      <c r="P92" s="98"/>
      <c r="R92" s="98"/>
    </row>
    <row r="93" spans="1:20" ht="25" customHeight="1">
      <c r="B93" s="168"/>
      <c r="C93" s="169"/>
      <c r="D93" s="169"/>
      <c r="E93" s="169"/>
      <c r="F93" s="169"/>
      <c r="G93" s="169"/>
      <c r="H93" s="167"/>
      <c r="I93" s="192"/>
      <c r="J93" s="192"/>
      <c r="K93" s="193"/>
      <c r="L93" s="194"/>
      <c r="M93" s="16"/>
    </row>
    <row r="94" spans="1:20" s="34" customFormat="1" ht="25" customHeight="1">
      <c r="A94" s="43"/>
      <c r="B94" s="168"/>
      <c r="C94" s="169"/>
      <c r="D94" s="169"/>
      <c r="E94" s="169"/>
      <c r="F94" s="169"/>
      <c r="G94" s="169"/>
      <c r="H94" s="192"/>
      <c r="I94" s="192"/>
      <c r="J94" s="192"/>
      <c r="K94" s="193"/>
      <c r="L94" s="195"/>
      <c r="M94" s="16"/>
    </row>
    <row r="95" spans="1:20" s="34" customFormat="1" ht="25" customHeight="1">
      <c r="A95" s="43"/>
      <c r="B95" s="957" t="s">
        <v>45</v>
      </c>
      <c r="C95" s="957"/>
      <c r="D95" s="957"/>
      <c r="E95" s="957"/>
      <c r="F95" s="957"/>
      <c r="G95" s="957"/>
      <c r="H95" s="46"/>
      <c r="J95" s="49"/>
      <c r="K95" s="47"/>
      <c r="M95" s="16"/>
    </row>
    <row r="96" spans="1:20" s="34" customFormat="1" ht="25" customHeight="1">
      <c r="A96" s="43"/>
      <c r="B96" s="957"/>
      <c r="C96" s="957"/>
      <c r="D96" s="957"/>
      <c r="E96" s="957"/>
      <c r="F96" s="957"/>
      <c r="G96" s="957"/>
      <c r="H96" s="46"/>
      <c r="J96" s="49"/>
      <c r="K96" s="47"/>
      <c r="M96" s="16"/>
    </row>
    <row r="97" spans="1:20" s="34" customFormat="1" ht="25" customHeight="1">
      <c r="A97" s="43"/>
      <c r="B97" s="957"/>
      <c r="C97" s="957"/>
      <c r="D97" s="957"/>
      <c r="E97" s="957"/>
      <c r="F97" s="957"/>
      <c r="G97" s="957"/>
      <c r="H97" s="46"/>
      <c r="J97" s="49"/>
      <c r="K97" s="47"/>
      <c r="M97" s="16"/>
    </row>
    <row r="98" spans="1:20" s="34" customFormat="1" ht="25" customHeight="1">
      <c r="A98" s="43"/>
      <c r="B98" s="51" t="s">
        <v>557</v>
      </c>
      <c r="C98" s="51"/>
      <c r="D98" s="51"/>
      <c r="E98" s="51"/>
      <c r="F98" s="51"/>
      <c r="H98" s="46"/>
      <c r="J98" s="49"/>
      <c r="K98" s="47"/>
      <c r="M98" s="16"/>
    </row>
    <row r="99" spans="1:20" s="200" customFormat="1" ht="25" customHeight="1">
      <c r="A99" s="201"/>
      <c r="B99" s="4" t="s">
        <v>548</v>
      </c>
      <c r="C99" s="4"/>
      <c r="D99" s="4"/>
      <c r="E99" s="4"/>
      <c r="F99" s="4"/>
      <c r="G99" s="196"/>
      <c r="H99" s="197"/>
      <c r="I99" s="196"/>
      <c r="J99" s="198"/>
      <c r="K99" s="199"/>
      <c r="L99" s="196"/>
      <c r="M99" s="16"/>
    </row>
    <row r="100" spans="1:20" s="34" customFormat="1" ht="25" customHeight="1">
      <c r="A100" s="43"/>
      <c r="B100" s="58" t="s">
        <v>549</v>
      </c>
      <c r="C100" s="59"/>
      <c r="D100" s="59"/>
      <c r="E100" s="60"/>
      <c r="F100" s="60"/>
      <c r="G100" s="53"/>
      <c r="H100" s="54"/>
      <c r="I100" s="53"/>
      <c r="J100" s="55"/>
      <c r="K100" s="56"/>
      <c r="L100" s="61"/>
      <c r="M100" s="16"/>
      <c r="O100" s="50"/>
      <c r="P100" s="50"/>
    </row>
    <row r="101" spans="1:20" s="50" customFormat="1" ht="25" customHeight="1">
      <c r="A101" s="43"/>
      <c r="B101" s="170"/>
      <c r="C101" s="153"/>
      <c r="D101" s="153"/>
      <c r="E101" s="153"/>
      <c r="F101" s="153"/>
      <c r="G101" s="153"/>
      <c r="H101" s="154"/>
      <c r="I101" s="154"/>
      <c r="J101" s="154"/>
      <c r="K101" s="155"/>
      <c r="L101" s="171"/>
      <c r="M101" s="16"/>
      <c r="R101" s="62"/>
      <c r="T101" s="62"/>
    </row>
    <row r="102" spans="1:20" s="34" customFormat="1" ht="25" customHeight="1">
      <c r="A102" s="43"/>
      <c r="B102" s="74" t="s">
        <v>22</v>
      </c>
      <c r="C102" s="202"/>
      <c r="D102" s="2"/>
      <c r="E102" s="2"/>
      <c r="F102" s="172"/>
      <c r="G102" s="2" t="s">
        <v>558</v>
      </c>
      <c r="H102" s="172"/>
      <c r="I102" s="173" t="s">
        <v>559</v>
      </c>
      <c r="J102" s="2"/>
      <c r="K102" s="174" t="s">
        <v>186</v>
      </c>
      <c r="L102" s="57"/>
      <c r="M102" s="16"/>
      <c r="N102" s="50"/>
    </row>
    <row r="103" spans="1:20" s="209" customFormat="1" ht="25" customHeight="1">
      <c r="A103" s="210"/>
      <c r="B103" s="133" t="s">
        <v>49</v>
      </c>
      <c r="C103" s="180" t="s">
        <v>658</v>
      </c>
      <c r="D103" s="203"/>
      <c r="E103" s="203"/>
      <c r="F103" s="204"/>
      <c r="G103" s="205">
        <f>S3_archive.50_EUR</f>
        <v>32.9</v>
      </c>
      <c r="H103" s="204"/>
      <c r="I103" s="206"/>
      <c r="J103" s="207"/>
      <c r="K103" s="185">
        <f>I103*G103</f>
        <v>0</v>
      </c>
      <c r="L103" s="208"/>
      <c r="M103" s="16"/>
      <c r="N103" s="167"/>
    </row>
    <row r="104" spans="1:20" s="50" customFormat="1" ht="25" customHeight="1">
      <c r="A104" s="43"/>
      <c r="B104" s="135" t="s">
        <v>50</v>
      </c>
      <c r="C104" s="50" t="s">
        <v>659</v>
      </c>
      <c r="D104" s="167"/>
      <c r="E104" s="167"/>
      <c r="F104" s="188"/>
      <c r="G104" s="211">
        <f>S3_storage50_EUR</f>
        <v>47</v>
      </c>
      <c r="H104" s="212"/>
      <c r="I104" s="213"/>
      <c r="J104" s="190"/>
      <c r="K104" s="191">
        <f>I104*G104</f>
        <v>0</v>
      </c>
      <c r="L104" s="154"/>
      <c r="M104" s="16"/>
      <c r="T104" s="62"/>
    </row>
    <row r="105" spans="1:20" s="97" customFormat="1" ht="25" customHeight="1">
      <c r="A105" s="92"/>
      <c r="B105" s="93" t="s">
        <v>17</v>
      </c>
      <c r="C105" s="94"/>
      <c r="D105" s="94"/>
      <c r="E105" s="94"/>
      <c r="F105" s="94"/>
      <c r="G105" s="94"/>
      <c r="H105" s="94"/>
      <c r="I105" s="94"/>
      <c r="J105" s="94"/>
      <c r="K105" s="123">
        <f>SUM(K103:K104)</f>
        <v>0</v>
      </c>
      <c r="M105" s="16"/>
      <c r="P105" s="98"/>
      <c r="R105" s="98"/>
    </row>
    <row r="106" spans="1:20" ht="25" customHeight="1">
      <c r="B106" s="108"/>
      <c r="C106" s="109"/>
      <c r="D106" s="109"/>
      <c r="E106" s="109"/>
      <c r="F106" s="109"/>
      <c r="G106" s="110"/>
      <c r="H106" s="111"/>
      <c r="I106" s="111"/>
      <c r="M106" s="16"/>
      <c r="N106" s="62"/>
      <c r="O106" s="62"/>
      <c r="P106" s="79"/>
    </row>
    <row r="107" spans="1:20" s="143" customFormat="1" ht="25" customHeight="1">
      <c r="A107" s="144"/>
      <c r="B107" s="4"/>
      <c r="C107" s="139"/>
      <c r="D107" s="60"/>
      <c r="E107" s="60"/>
      <c r="F107" s="60"/>
      <c r="G107" s="53"/>
      <c r="H107" s="54"/>
      <c r="I107" s="104"/>
      <c r="J107" s="61"/>
      <c r="K107" s="56"/>
      <c r="L107" s="57"/>
      <c r="M107" s="16"/>
      <c r="N107" s="175"/>
      <c r="O107" s="175"/>
      <c r="P107" s="175"/>
      <c r="Q107" s="175"/>
      <c r="R107" s="175"/>
      <c r="S107" s="175"/>
    </row>
    <row r="108" spans="1:20" ht="25" customHeight="1">
      <c r="B108" s="227"/>
      <c r="C108" s="228"/>
      <c r="D108" s="228"/>
      <c r="E108" s="228"/>
      <c r="F108" s="229"/>
      <c r="G108" s="230"/>
      <c r="H108" s="192"/>
      <c r="I108" s="192"/>
      <c r="J108" s="192"/>
      <c r="K108" s="193"/>
      <c r="L108" s="194"/>
      <c r="M108" s="16"/>
      <c r="N108" s="50"/>
      <c r="Q108" s="34"/>
    </row>
    <row r="109" spans="1:20" s="34" customFormat="1" ht="25" customHeight="1">
      <c r="A109" s="43"/>
      <c r="B109" s="957" t="s">
        <v>60</v>
      </c>
      <c r="C109" s="957"/>
      <c r="D109" s="957"/>
      <c r="E109" s="957"/>
      <c r="F109" s="957"/>
      <c r="G109" s="957"/>
      <c r="H109" s="46"/>
      <c r="J109" s="49"/>
      <c r="K109" s="47"/>
      <c r="L109" s="49"/>
      <c r="M109" s="16"/>
    </row>
    <row r="110" spans="1:20" s="34" customFormat="1" ht="25" customHeight="1">
      <c r="A110" s="43"/>
      <c r="B110" s="957"/>
      <c r="C110" s="957"/>
      <c r="D110" s="957"/>
      <c r="E110" s="957"/>
      <c r="F110" s="957"/>
      <c r="G110" s="957"/>
      <c r="H110" s="46"/>
      <c r="J110" s="49"/>
      <c r="K110" s="47"/>
      <c r="L110" s="49"/>
      <c r="M110" s="16"/>
    </row>
    <row r="111" spans="1:20" s="34" customFormat="1" ht="25" customHeight="1">
      <c r="A111" s="43"/>
      <c r="B111" s="957"/>
      <c r="C111" s="957"/>
      <c r="D111" s="957"/>
      <c r="E111" s="957"/>
      <c r="F111" s="957"/>
      <c r="G111" s="957"/>
      <c r="H111" s="46"/>
      <c r="J111" s="49"/>
      <c r="K111" s="47"/>
      <c r="L111" s="49"/>
      <c r="M111" s="16"/>
    </row>
    <row r="112" spans="1:20" s="34" customFormat="1" ht="25" customHeight="1">
      <c r="A112" s="43"/>
      <c r="B112" s="51" t="s">
        <v>560</v>
      </c>
      <c r="C112" s="51"/>
      <c r="D112" s="51"/>
      <c r="E112" s="51"/>
      <c r="F112" s="51"/>
      <c r="H112" s="46"/>
      <c r="J112" s="49"/>
      <c r="K112" s="47"/>
      <c r="L112" s="49"/>
      <c r="M112" s="16"/>
    </row>
    <row r="113" spans="1:32" s="34" customFormat="1" ht="25" customHeight="1">
      <c r="A113" s="43"/>
      <c r="B113" s="4" t="s">
        <v>548</v>
      </c>
      <c r="C113" s="4"/>
      <c r="D113" s="4"/>
      <c r="E113" s="4"/>
      <c r="F113" s="4"/>
      <c r="G113" s="53"/>
      <c r="H113" s="54"/>
      <c r="J113" s="55"/>
      <c r="K113" s="56"/>
      <c r="L113" s="57"/>
      <c r="M113" s="16"/>
      <c r="S113" s="50"/>
      <c r="T113" s="50"/>
      <c r="U113" s="50"/>
      <c r="V113" s="50"/>
      <c r="W113" s="50"/>
      <c r="X113" s="50"/>
      <c r="Y113" s="50"/>
      <c r="Z113" s="50"/>
    </row>
    <row r="114" spans="1:32" s="34" customFormat="1" ht="25" customHeight="1">
      <c r="A114" s="43"/>
      <c r="B114" s="58" t="s">
        <v>549</v>
      </c>
      <c r="C114" s="59"/>
      <c r="D114" s="59"/>
      <c r="E114" s="60"/>
      <c r="F114" s="60"/>
      <c r="G114" s="53"/>
      <c r="H114" s="54"/>
      <c r="I114" s="53"/>
      <c r="J114" s="55"/>
      <c r="K114" s="56"/>
      <c r="L114" s="61"/>
      <c r="M114" s="16"/>
      <c r="O114" s="50"/>
      <c r="P114" s="50"/>
    </row>
    <row r="115" spans="1:32" s="143" customFormat="1" ht="25" customHeight="1">
      <c r="A115" s="144"/>
      <c r="B115" s="232"/>
      <c r="C115" s="154"/>
      <c r="D115" s="154"/>
      <c r="E115" s="154"/>
      <c r="F115" s="154"/>
      <c r="G115" s="154"/>
      <c r="H115" s="154"/>
      <c r="I115" s="154"/>
      <c r="J115" s="154"/>
      <c r="K115" s="155"/>
      <c r="L115" s="154"/>
      <c r="M115" s="16"/>
      <c r="P115" s="175"/>
      <c r="Q115" s="175"/>
      <c r="R115" s="175"/>
      <c r="S115" s="175"/>
      <c r="T115" s="175"/>
      <c r="U115" s="175"/>
    </row>
    <row r="116" spans="1:32" ht="25" customHeight="1">
      <c r="B116" s="74" t="s">
        <v>22</v>
      </c>
      <c r="C116" s="233"/>
      <c r="D116" s="233"/>
      <c r="E116" s="2" t="s">
        <v>249</v>
      </c>
      <c r="F116" s="233"/>
      <c r="G116" s="2" t="s">
        <v>561</v>
      </c>
      <c r="H116" s="172"/>
      <c r="I116" s="173" t="s">
        <v>556</v>
      </c>
      <c r="J116" s="234" t="s">
        <v>562</v>
      </c>
      <c r="K116" s="174" t="s">
        <v>65</v>
      </c>
      <c r="L116" s="171"/>
      <c r="M116" s="16"/>
    </row>
    <row r="117" spans="1:32" ht="25" customHeight="1">
      <c r="B117" s="133" t="s">
        <v>66</v>
      </c>
      <c r="C117" s="180"/>
      <c r="D117" s="180"/>
      <c r="E117" s="235" t="s">
        <v>19</v>
      </c>
      <c r="F117" s="184"/>
      <c r="G117" s="236">
        <f>BAAS_on.demand_EUR</f>
        <v>0.2303</v>
      </c>
      <c r="H117" s="184"/>
      <c r="I117" s="206"/>
      <c r="J117" s="237" t="s">
        <v>19</v>
      </c>
      <c r="K117" s="185">
        <f>ROUNDUP(I117*G117,2)</f>
        <v>0</v>
      </c>
      <c r="L117" s="171"/>
      <c r="M117" s="16"/>
    </row>
    <row r="118" spans="1:32" ht="25" customHeight="1">
      <c r="B118" s="135" t="s">
        <v>67</v>
      </c>
      <c r="C118" s="167"/>
      <c r="D118" s="167"/>
      <c r="E118" s="238">
        <f>BAAS_small.fee_EUR</f>
        <v>517</v>
      </c>
      <c r="F118" s="190"/>
      <c r="G118" s="239">
        <f>BAAS_small_EUR</f>
        <v>0.16450000000000001</v>
      </c>
      <c r="H118" s="190"/>
      <c r="I118" s="240"/>
      <c r="J118" s="241">
        <v>0.75</v>
      </c>
      <c r="K118" s="191">
        <f>IF(I118&gt;0,$E$118+$G$118*MAX(0,I118*(1-$J$118)-1000),0)</f>
        <v>0</v>
      </c>
      <c r="L118" s="171"/>
      <c r="M118" s="16"/>
    </row>
    <row r="119" spans="1:32" s="245" customFormat="1" ht="25" customHeight="1">
      <c r="A119" s="246"/>
      <c r="B119" s="164" t="s">
        <v>68</v>
      </c>
      <c r="C119" s="217"/>
      <c r="D119" s="217"/>
      <c r="E119" s="242">
        <f>BAAS_large.fee_EUR</f>
        <v>893</v>
      </c>
      <c r="F119" s="219"/>
      <c r="G119" s="236">
        <f>BAAS_large_EUR</f>
        <v>8.6480000000000001E-2</v>
      </c>
      <c r="H119" s="219"/>
      <c r="I119" s="243"/>
      <c r="J119" s="244">
        <v>0.75</v>
      </c>
      <c r="K119" s="220">
        <f>IF(I119&gt;0,$E$119+($G$119*(I119*(1-$J$119))),0)</f>
        <v>0</v>
      </c>
      <c r="L119" s="171"/>
      <c r="M119" s="16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2" s="97" customFormat="1" ht="25" customHeight="1">
      <c r="A120" s="92"/>
      <c r="B120" s="93" t="s">
        <v>17</v>
      </c>
      <c r="C120" s="94"/>
      <c r="D120" s="94"/>
      <c r="E120" s="94"/>
      <c r="F120" s="94"/>
      <c r="G120" s="94"/>
      <c r="H120" s="94"/>
      <c r="I120" s="94" t="str">
        <f>SUM(I117:I119)&amp;" GB"</f>
        <v>0 GB</v>
      </c>
      <c r="J120" s="94"/>
      <c r="K120" s="123">
        <f>SUM(K117:K119)</f>
        <v>0</v>
      </c>
      <c r="M120" s="16"/>
      <c r="P120" s="98"/>
      <c r="R120" s="98"/>
    </row>
    <row r="121" spans="1:32" s="245" customFormat="1" ht="25" customHeight="1">
      <c r="A121" s="246"/>
      <c r="B121" s="99"/>
      <c r="C121" s="139"/>
      <c r="D121" s="139"/>
      <c r="E121" s="139"/>
      <c r="F121" s="247"/>
      <c r="G121" s="104"/>
      <c r="H121" s="104"/>
      <c r="I121" s="104"/>
      <c r="J121" s="104"/>
      <c r="K121" s="248"/>
      <c r="L121" s="102"/>
      <c r="M121" s="16"/>
      <c r="O121" s="249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25" customHeight="1">
      <c r="B122" s="227"/>
      <c r="C122" s="228"/>
      <c r="D122" s="228"/>
      <c r="E122" s="228"/>
      <c r="F122" s="229"/>
      <c r="G122" s="230"/>
      <c r="H122" s="192"/>
      <c r="I122" s="192"/>
      <c r="J122" s="192"/>
      <c r="K122" s="193"/>
      <c r="L122" s="208"/>
      <c r="M122" s="16"/>
      <c r="N122" s="50"/>
    </row>
    <row r="123" spans="1:32" s="143" customFormat="1" ht="25" customHeight="1">
      <c r="A123" s="144"/>
      <c r="B123" s="4"/>
      <c r="C123" s="139"/>
      <c r="D123" s="60"/>
      <c r="E123" s="60"/>
      <c r="F123" s="60"/>
      <c r="G123" s="53"/>
      <c r="H123" s="54"/>
      <c r="I123" s="53"/>
      <c r="J123" s="61"/>
      <c r="K123" s="56"/>
      <c r="L123" s="57"/>
      <c r="M123" s="16"/>
      <c r="N123" s="175"/>
      <c r="O123" s="175"/>
      <c r="P123" s="175"/>
      <c r="Q123" s="175"/>
      <c r="R123" s="175"/>
      <c r="S123" s="175"/>
    </row>
    <row r="124" spans="1:32" s="34" customFormat="1" ht="25" customHeight="1">
      <c r="A124" s="43"/>
      <c r="B124" s="957" t="s">
        <v>563</v>
      </c>
      <c r="C124" s="957"/>
      <c r="D124" s="957"/>
      <c r="E124" s="957"/>
      <c r="F124" s="957"/>
      <c r="G124" s="957"/>
      <c r="H124" s="46"/>
      <c r="J124" s="49"/>
      <c r="K124" s="47"/>
      <c r="M124" s="16"/>
    </row>
    <row r="125" spans="1:32" s="34" customFormat="1" ht="25" customHeight="1">
      <c r="A125" s="43"/>
      <c r="B125" s="957"/>
      <c r="C125" s="957"/>
      <c r="D125" s="957"/>
      <c r="E125" s="957"/>
      <c r="F125" s="957"/>
      <c r="G125" s="957"/>
      <c r="H125" s="46"/>
      <c r="J125" s="49"/>
      <c r="K125" s="47"/>
      <c r="M125" s="16"/>
    </row>
    <row r="126" spans="1:32" s="34" customFormat="1" ht="25" customHeight="1">
      <c r="A126" s="43"/>
      <c r="B126" s="957"/>
      <c r="C126" s="957"/>
      <c r="D126" s="957"/>
      <c r="E126" s="957"/>
      <c r="F126" s="957"/>
      <c r="G126" s="957"/>
      <c r="H126" s="46"/>
      <c r="J126" s="49"/>
      <c r="K126" s="47"/>
      <c r="M126" s="16"/>
    </row>
    <row r="127" spans="1:32" s="34" customFormat="1" ht="25" customHeight="1">
      <c r="A127" s="43"/>
      <c r="B127" s="4" t="s">
        <v>548</v>
      </c>
      <c r="C127" s="4"/>
      <c r="D127" s="4"/>
      <c r="E127" s="4"/>
      <c r="F127" s="4"/>
      <c r="G127" s="53"/>
      <c r="H127" s="54"/>
      <c r="J127" s="55"/>
      <c r="K127" s="56"/>
      <c r="L127" s="57"/>
      <c r="M127" s="16"/>
      <c r="S127" s="50"/>
      <c r="T127" s="50"/>
      <c r="U127" s="50"/>
      <c r="V127" s="50"/>
      <c r="W127" s="50"/>
      <c r="X127" s="50"/>
      <c r="Y127" s="50"/>
      <c r="Z127" s="50"/>
    </row>
    <row r="128" spans="1:32" s="34" customFormat="1" ht="25" customHeight="1">
      <c r="A128" s="43"/>
      <c r="B128" s="4"/>
      <c r="C128" s="60"/>
      <c r="D128" s="60"/>
      <c r="E128" s="60"/>
      <c r="F128" s="60"/>
      <c r="G128" s="53"/>
      <c r="H128" s="54"/>
      <c r="I128" s="53"/>
      <c r="J128" s="55"/>
      <c r="K128" s="56"/>
      <c r="L128" s="53"/>
      <c r="M128" s="16"/>
    </row>
    <row r="129" spans="1:19" s="154" customFormat="1" ht="25" customHeight="1">
      <c r="A129" s="231"/>
      <c r="B129" s="64" t="s">
        <v>674</v>
      </c>
      <c r="C129" s="60"/>
      <c r="D129" s="60"/>
      <c r="E129" s="60"/>
      <c r="F129" s="60"/>
      <c r="G129" s="53"/>
      <c r="H129" s="53"/>
      <c r="I129" s="53"/>
      <c r="J129" s="55"/>
      <c r="K129" s="56"/>
      <c r="L129" s="53"/>
      <c r="M129" s="16"/>
      <c r="N129" s="50"/>
      <c r="O129" s="50"/>
      <c r="P129" s="50"/>
      <c r="Q129" s="50"/>
      <c r="R129" s="50"/>
      <c r="S129" s="50"/>
    </row>
    <row r="130" spans="1:19" ht="25" customHeight="1">
      <c r="B130" s="72" t="s">
        <v>564</v>
      </c>
      <c r="M130" s="16"/>
    </row>
    <row r="131" spans="1:19" ht="25" customHeight="1">
      <c r="B131" s="252" t="s">
        <v>22</v>
      </c>
      <c r="C131" s="251" t="s">
        <v>73</v>
      </c>
      <c r="D131" s="251"/>
      <c r="E131" s="172" t="s">
        <v>242</v>
      </c>
      <c r="F131" s="172"/>
      <c r="G131" s="172"/>
      <c r="H131" s="172"/>
      <c r="I131" s="172"/>
      <c r="J131" s="251" t="s">
        <v>565</v>
      </c>
      <c r="K131" s="174" t="s">
        <v>566</v>
      </c>
      <c r="L131" s="131"/>
      <c r="M131" s="16"/>
      <c r="N131" s="194"/>
      <c r="O131" s="154"/>
    </row>
    <row r="132" spans="1:19" ht="25" customHeight="1">
      <c r="B132" s="133" t="s">
        <v>76</v>
      </c>
      <c r="C132" s="253" t="s">
        <v>77</v>
      </c>
      <c r="D132" s="253"/>
      <c r="E132" s="179" t="s">
        <v>677</v>
      </c>
      <c r="F132" s="184"/>
      <c r="G132" s="184"/>
      <c r="H132" s="184"/>
      <c r="I132" s="184"/>
      <c r="J132" s="254" t="s">
        <v>567</v>
      </c>
      <c r="K132" s="255">
        <f>NET_publicv4_EUR</f>
        <v>2.35</v>
      </c>
      <c r="M132" s="16"/>
      <c r="N132" s="194"/>
      <c r="O132" s="154"/>
    </row>
    <row r="133" spans="1:19" ht="25" customHeight="1">
      <c r="B133" s="135" t="s">
        <v>80</v>
      </c>
      <c r="C133" s="256" t="s">
        <v>81</v>
      </c>
      <c r="D133" s="256"/>
      <c r="E133" s="50" t="s">
        <v>677</v>
      </c>
      <c r="F133" s="257"/>
      <c r="G133" s="257"/>
      <c r="H133" s="257"/>
      <c r="I133" s="257"/>
      <c r="J133" s="258" t="s">
        <v>19</v>
      </c>
      <c r="K133" s="259">
        <f>NET_publicv6_EUR</f>
        <v>0</v>
      </c>
      <c r="M133" s="16"/>
      <c r="N133" s="194"/>
      <c r="O133" s="154"/>
    </row>
    <row r="134" spans="1:19" ht="25" customHeight="1">
      <c r="B134" s="133" t="s">
        <v>82</v>
      </c>
      <c r="C134" s="253" t="s">
        <v>568</v>
      </c>
      <c r="D134" s="253"/>
      <c r="E134" s="260"/>
      <c r="F134" s="261"/>
      <c r="G134" s="261"/>
      <c r="H134" s="261"/>
      <c r="I134" s="261"/>
      <c r="J134" s="254" t="s">
        <v>84</v>
      </c>
      <c r="K134" s="255">
        <f>NET_ingress_EUR</f>
        <v>0</v>
      </c>
      <c r="M134" s="16"/>
      <c r="N134" s="194"/>
      <c r="O134" s="154"/>
    </row>
    <row r="135" spans="1:19" ht="25" customHeight="1">
      <c r="B135" s="135" t="s">
        <v>85</v>
      </c>
      <c r="C135" s="256" t="s">
        <v>568</v>
      </c>
      <c r="D135" s="256"/>
      <c r="E135" s="50"/>
      <c r="F135" s="257"/>
      <c r="G135" s="257"/>
      <c r="H135" s="257"/>
      <c r="I135" s="257"/>
      <c r="J135" s="262" t="s">
        <v>84</v>
      </c>
      <c r="K135" s="259">
        <f>NET_egress_EUR</f>
        <v>0</v>
      </c>
      <c r="M135" s="16"/>
      <c r="N135" s="194"/>
      <c r="O135" s="154"/>
    </row>
    <row r="136" spans="1:19" ht="25" customHeight="1">
      <c r="B136" s="133" t="s">
        <v>86</v>
      </c>
      <c r="C136" s="253" t="s">
        <v>87</v>
      </c>
      <c r="D136" s="253"/>
      <c r="E136" s="184" t="s">
        <v>569</v>
      </c>
      <c r="F136" s="261"/>
      <c r="G136" s="261"/>
      <c r="H136" s="261"/>
      <c r="I136" s="261"/>
      <c r="J136" s="254" t="s">
        <v>570</v>
      </c>
      <c r="K136" s="840" t="s">
        <v>571</v>
      </c>
      <c r="M136" s="16"/>
    </row>
    <row r="137" spans="1:19" ht="25" customHeight="1">
      <c r="B137" s="135" t="s">
        <v>90</v>
      </c>
      <c r="C137" s="256" t="s">
        <v>91</v>
      </c>
      <c r="D137" s="256"/>
      <c r="E137" s="50"/>
      <c r="F137" s="257"/>
      <c r="G137" s="257"/>
      <c r="H137" s="257"/>
      <c r="I137" s="257"/>
      <c r="J137" s="258" t="s">
        <v>19</v>
      </c>
      <c r="K137" s="259">
        <f>NET_rdns_EUR</f>
        <v>0</v>
      </c>
      <c r="M137" s="16"/>
      <c r="N137" s="194"/>
      <c r="O137" s="154"/>
    </row>
    <row r="138" spans="1:19" ht="25" customHeight="1">
      <c r="B138" s="133" t="s">
        <v>92</v>
      </c>
      <c r="C138" s="253" t="s">
        <v>93</v>
      </c>
      <c r="D138" s="253"/>
      <c r="E138" s="184"/>
      <c r="F138" s="261"/>
      <c r="G138" s="261"/>
      <c r="H138" s="261"/>
      <c r="I138" s="261"/>
      <c r="J138" s="263" t="s">
        <v>19</v>
      </c>
      <c r="K138" s="255">
        <v>0</v>
      </c>
      <c r="M138" s="16"/>
      <c r="N138" s="194"/>
      <c r="O138" s="154"/>
    </row>
    <row r="139" spans="1:19" ht="25" customHeight="1">
      <c r="B139" s="264"/>
      <c r="C139" s="265"/>
      <c r="D139" s="266"/>
      <c r="E139" s="266"/>
      <c r="F139" s="266"/>
      <c r="G139" s="266"/>
      <c r="H139" s="266"/>
      <c r="I139" s="266"/>
      <c r="J139" s="265"/>
      <c r="K139" s="267"/>
      <c r="M139" s="16"/>
      <c r="N139" s="194"/>
      <c r="O139" s="154"/>
    </row>
    <row r="140" spans="1:19" ht="25" customHeight="1">
      <c r="C140" s="268"/>
      <c r="J140" s="268"/>
      <c r="M140" s="16"/>
      <c r="N140" s="194"/>
      <c r="O140" s="154"/>
    </row>
    <row r="141" spans="1:19" ht="25" customHeight="1">
      <c r="C141" s="268"/>
      <c r="J141" s="268"/>
      <c r="M141" s="16"/>
      <c r="N141" s="194"/>
      <c r="O141" s="154"/>
    </row>
    <row r="142" spans="1:19" ht="25" customHeight="1">
      <c r="B142" s="64" t="s">
        <v>572</v>
      </c>
      <c r="C142" s="131"/>
      <c r="D142" s="131"/>
      <c r="E142" s="131"/>
      <c r="F142" s="131"/>
      <c r="G142" s="131"/>
      <c r="H142" s="131"/>
      <c r="I142" s="131"/>
      <c r="J142" s="269"/>
      <c r="M142" s="16"/>
      <c r="N142" s="194"/>
      <c r="O142" s="154"/>
    </row>
    <row r="143" spans="1:19" ht="25" customHeight="1">
      <c r="B143" s="72" t="s">
        <v>573</v>
      </c>
      <c r="M143" s="16"/>
    </row>
    <row r="144" spans="1:19" ht="25" customHeight="1">
      <c r="B144" s="252" t="s">
        <v>22</v>
      </c>
      <c r="C144" s="251"/>
      <c r="D144" s="251"/>
      <c r="E144" s="172" t="s">
        <v>242</v>
      </c>
      <c r="F144" s="172"/>
      <c r="G144" s="172"/>
      <c r="H144" s="172"/>
      <c r="I144" s="172"/>
      <c r="J144" s="251" t="s">
        <v>565</v>
      </c>
      <c r="K144" s="174" t="s">
        <v>566</v>
      </c>
      <c r="M144" s="16"/>
      <c r="N144" s="194"/>
      <c r="O144" s="154"/>
    </row>
    <row r="145" spans="1:18" ht="25" customHeight="1">
      <c r="B145" s="133" t="s">
        <v>96</v>
      </c>
      <c r="C145" s="253"/>
      <c r="D145" s="184"/>
      <c r="E145" s="184" t="s">
        <v>97</v>
      </c>
      <c r="F145" s="184"/>
      <c r="G145" s="184"/>
      <c r="H145" s="184"/>
      <c r="I145" s="184"/>
      <c r="J145" s="254" t="s">
        <v>11</v>
      </c>
      <c r="K145" s="255">
        <f>SW_win.ser.201X_EUR</f>
        <v>16.45</v>
      </c>
      <c r="L145" s="192"/>
      <c r="M145" s="16"/>
      <c r="N145" s="194"/>
      <c r="O145" s="154"/>
      <c r="Q145" s="50"/>
      <c r="R145" s="50"/>
    </row>
    <row r="146" spans="1:18" ht="25" customHeight="1">
      <c r="B146" s="135" t="s">
        <v>98</v>
      </c>
      <c r="C146" s="256"/>
      <c r="D146" s="190"/>
      <c r="E146" s="190" t="s">
        <v>99</v>
      </c>
      <c r="F146" s="257"/>
      <c r="G146" s="257"/>
      <c r="H146" s="257"/>
      <c r="I146" s="257"/>
      <c r="J146" s="262" t="s">
        <v>11</v>
      </c>
      <c r="K146" s="259">
        <f>SW_ms.sql.ser_EUR</f>
        <v>115.526</v>
      </c>
      <c r="L146" s="192"/>
      <c r="M146" s="16"/>
      <c r="N146" s="194"/>
      <c r="O146" s="154"/>
      <c r="Q146" s="50"/>
      <c r="R146" s="50"/>
    </row>
    <row r="147" spans="1:18" ht="25" customHeight="1">
      <c r="B147" s="133" t="s">
        <v>100</v>
      </c>
      <c r="C147" s="253"/>
      <c r="D147" s="184"/>
      <c r="E147" s="184" t="s">
        <v>101</v>
      </c>
      <c r="F147" s="184"/>
      <c r="G147" s="184"/>
      <c r="H147" s="184"/>
      <c r="I147" s="184"/>
      <c r="J147" s="254" t="s">
        <v>11</v>
      </c>
      <c r="K147" s="255">
        <f>SW_ms.sql.ser.ent_EUR</f>
        <v>448.00400000000002</v>
      </c>
      <c r="L147" s="192"/>
      <c r="M147" s="16"/>
      <c r="N147" s="194"/>
      <c r="O147" s="154"/>
      <c r="Q147" s="50"/>
      <c r="R147" s="50"/>
    </row>
    <row r="148" spans="1:18" s="34" customFormat="1" ht="25" customHeight="1">
      <c r="A148" s="43"/>
      <c r="B148" s="135"/>
      <c r="C148" s="256"/>
      <c r="D148" s="190"/>
      <c r="E148" s="190"/>
      <c r="F148" s="257"/>
      <c r="G148" s="257"/>
      <c r="H148" s="257"/>
      <c r="I148" s="257"/>
      <c r="J148" s="262"/>
      <c r="K148" s="259"/>
      <c r="M148" s="16"/>
      <c r="N148" s="194"/>
      <c r="O148" s="154"/>
    </row>
    <row r="149" spans="1:18" ht="25" customHeight="1">
      <c r="B149" s="133"/>
      <c r="C149" s="253"/>
      <c r="D149" s="184"/>
      <c r="E149" s="184"/>
      <c r="F149" s="184"/>
      <c r="G149" s="184"/>
      <c r="H149" s="184"/>
      <c r="I149" s="184"/>
      <c r="J149" s="254"/>
      <c r="K149" s="255"/>
      <c r="L149" s="192"/>
      <c r="M149" s="16"/>
      <c r="N149" s="194"/>
      <c r="O149" s="154"/>
      <c r="Q149" s="50"/>
      <c r="R149" s="50"/>
    </row>
    <row r="150" spans="1:18" ht="25" customHeight="1">
      <c r="B150" s="270"/>
      <c r="C150" s="271"/>
      <c r="D150" s="272"/>
      <c r="E150" s="273"/>
      <c r="F150" s="274"/>
      <c r="G150" s="274"/>
      <c r="H150" s="274"/>
      <c r="I150" s="274"/>
      <c r="J150" s="275"/>
      <c r="K150" s="276"/>
      <c r="M150" s="16"/>
      <c r="N150" s="194"/>
      <c r="O150" s="154"/>
    </row>
    <row r="151" spans="1:18" ht="25" customHeight="1">
      <c r="B151" s="568"/>
      <c r="C151" s="256"/>
      <c r="D151" s="50"/>
      <c r="E151" s="277"/>
      <c r="F151" s="257"/>
      <c r="G151" s="257"/>
      <c r="H151" s="257"/>
      <c r="I151" s="257"/>
      <c r="J151" s="278"/>
      <c r="K151" s="191"/>
      <c r="M151" s="16"/>
      <c r="N151" s="194"/>
      <c r="O151" s="154"/>
    </row>
    <row r="152" spans="1:18" ht="25" customHeight="1">
      <c r="M152" s="16"/>
      <c r="N152" s="194"/>
      <c r="O152" s="154"/>
    </row>
    <row r="153" spans="1:18" ht="25" customHeight="1">
      <c r="B153" s="64" t="s">
        <v>664</v>
      </c>
      <c r="C153" s="131"/>
      <c r="D153" s="131"/>
      <c r="F153" s="131"/>
      <c r="G153" s="131"/>
      <c r="H153" s="131"/>
      <c r="I153" s="131"/>
      <c r="J153" s="131"/>
      <c r="M153" s="16"/>
      <c r="N153" s="194"/>
      <c r="O153" s="154"/>
    </row>
    <row r="154" spans="1:18" ht="25" customHeight="1">
      <c r="B154" s="72" t="s">
        <v>668</v>
      </c>
      <c r="M154" s="16"/>
    </row>
    <row r="155" spans="1:18" ht="25" customHeight="1">
      <c r="B155" s="252" t="s">
        <v>22</v>
      </c>
      <c r="C155" s="251"/>
      <c r="D155" s="251"/>
      <c r="E155" s="172" t="s">
        <v>242</v>
      </c>
      <c r="F155" s="172"/>
      <c r="G155" s="172"/>
      <c r="H155" s="172"/>
      <c r="I155" s="172"/>
      <c r="J155" s="2"/>
      <c r="K155" s="174" t="s">
        <v>566</v>
      </c>
      <c r="M155" s="16"/>
      <c r="N155" s="194"/>
      <c r="O155" s="154"/>
    </row>
    <row r="156" spans="1:18" ht="25" customHeight="1">
      <c r="B156" s="133" t="s">
        <v>647</v>
      </c>
      <c r="C156" s="253"/>
      <c r="D156" s="184"/>
      <c r="E156" s="184" t="s">
        <v>103</v>
      </c>
      <c r="F156" s="184"/>
      <c r="G156" s="184"/>
      <c r="H156" s="81"/>
      <c r="I156" s="184"/>
      <c r="J156" s="279"/>
      <c r="K156" s="954">
        <f>PAAS_man.elasticsearch_EUR</f>
        <v>0.188</v>
      </c>
      <c r="M156" s="16"/>
      <c r="N156" s="194"/>
      <c r="O156" s="154"/>
    </row>
    <row r="157" spans="1:18" ht="25" customHeight="1">
      <c r="B157" s="135" t="s">
        <v>653</v>
      </c>
      <c r="C157" s="256"/>
      <c r="D157" s="190"/>
      <c r="E157" s="190" t="s">
        <v>651</v>
      </c>
      <c r="F157" s="257"/>
      <c r="G157" s="257"/>
      <c r="H157" s="277"/>
      <c r="I157" s="257"/>
      <c r="J157" s="278"/>
      <c r="K157" s="955">
        <f>PAAS_man.mariadb_EUR</f>
        <v>0.188</v>
      </c>
      <c r="M157" s="16"/>
      <c r="N157" s="194"/>
      <c r="O157" s="154"/>
    </row>
    <row r="158" spans="1:18" ht="25" customHeight="1">
      <c r="B158" s="133" t="s">
        <v>648</v>
      </c>
      <c r="C158" s="253"/>
      <c r="D158" s="184"/>
      <c r="E158" s="184" t="s">
        <v>652</v>
      </c>
      <c r="F158" s="184"/>
      <c r="G158" s="184"/>
      <c r="H158" s="81"/>
      <c r="I158" s="184"/>
      <c r="J158" s="279"/>
      <c r="K158" s="954">
        <f>PAAS_man.elasticsearch_EUR</f>
        <v>0.188</v>
      </c>
      <c r="M158" s="16"/>
      <c r="N158" s="194"/>
      <c r="O158" s="154"/>
    </row>
    <row r="159" spans="1:18" ht="25" customHeight="1">
      <c r="B159" s="135" t="s">
        <v>649</v>
      </c>
      <c r="C159" s="256"/>
      <c r="D159" s="190"/>
      <c r="E159" s="190" t="s">
        <v>105</v>
      </c>
      <c r="F159" s="257"/>
      <c r="G159" s="257"/>
      <c r="H159" s="277"/>
      <c r="I159" s="257"/>
      <c r="J159" s="278"/>
      <c r="K159" s="955">
        <f>PAAS_man.redis_EUR</f>
        <v>0.188</v>
      </c>
      <c r="M159" s="16"/>
      <c r="N159" s="194"/>
      <c r="O159" s="154"/>
    </row>
    <row r="160" spans="1:18" ht="25" customHeight="1">
      <c r="B160" s="280" t="s">
        <v>650</v>
      </c>
      <c r="C160" s="253"/>
      <c r="D160" s="184"/>
      <c r="E160" s="184" t="s">
        <v>396</v>
      </c>
      <c r="F160" s="184"/>
      <c r="G160" s="184"/>
      <c r="H160" s="81"/>
      <c r="I160" s="184"/>
      <c r="J160" s="279"/>
      <c r="K160" s="954">
        <f>PAAS_man.nats_EUR</f>
        <v>0.188</v>
      </c>
      <c r="M160" s="16"/>
      <c r="N160" s="194"/>
      <c r="O160" s="154"/>
    </row>
    <row r="161" spans="1:20" ht="25" customHeight="1">
      <c r="B161" s="270"/>
      <c r="C161" s="271"/>
      <c r="D161" s="281"/>
      <c r="E161" s="273"/>
      <c r="F161" s="274"/>
      <c r="G161" s="274"/>
      <c r="H161" s="274"/>
      <c r="I161" s="274"/>
      <c r="J161" s="275"/>
      <c r="K161" s="276"/>
      <c r="M161" s="16"/>
      <c r="N161" s="194"/>
      <c r="O161" s="154"/>
    </row>
    <row r="162" spans="1:20" ht="25" customHeight="1">
      <c r="B162" s="568"/>
      <c r="C162" s="256"/>
      <c r="D162" s="190"/>
      <c r="E162" s="277"/>
      <c r="F162" s="257"/>
      <c r="G162" s="278"/>
      <c r="H162" s="262"/>
      <c r="I162" s="282"/>
      <c r="M162" s="16"/>
    </row>
    <row r="163" spans="1:20" ht="25" customHeight="1">
      <c r="B163" s="283"/>
      <c r="C163" s="228"/>
      <c r="D163" s="228"/>
      <c r="E163" s="228"/>
      <c r="F163" s="229"/>
      <c r="G163" s="230"/>
      <c r="H163" s="228"/>
      <c r="I163" s="192"/>
      <c r="J163" s="192"/>
      <c r="K163" s="193"/>
      <c r="L163" s="194"/>
      <c r="M163" s="16"/>
      <c r="N163" s="50"/>
      <c r="O163" s="50"/>
    </row>
    <row r="164" spans="1:20" s="34" customFormat="1" ht="25" customHeight="1">
      <c r="A164" s="43"/>
      <c r="B164" s="957" t="s">
        <v>263</v>
      </c>
      <c r="C164" s="957"/>
      <c r="D164" s="957"/>
      <c r="E164" s="957"/>
      <c r="F164" s="957"/>
      <c r="G164" s="957"/>
      <c r="H164" s="284"/>
      <c r="J164" s="49"/>
      <c r="K164" s="47"/>
      <c r="M164" s="16"/>
    </row>
    <row r="165" spans="1:20" s="34" customFormat="1" ht="25" customHeight="1">
      <c r="A165" s="43"/>
      <c r="B165" s="957"/>
      <c r="C165" s="957"/>
      <c r="D165" s="957"/>
      <c r="E165" s="957"/>
      <c r="F165" s="957"/>
      <c r="G165" s="957"/>
      <c r="H165" s="284"/>
      <c r="J165" s="49"/>
      <c r="K165" s="47"/>
      <c r="M165" s="16"/>
    </row>
    <row r="166" spans="1:20" s="34" customFormat="1" ht="25" customHeight="1">
      <c r="A166" s="43"/>
      <c r="B166" s="957"/>
      <c r="C166" s="957"/>
      <c r="D166" s="957"/>
      <c r="E166" s="957"/>
      <c r="F166" s="957"/>
      <c r="G166" s="957"/>
      <c r="H166" s="284"/>
      <c r="J166" s="49"/>
      <c r="K166" s="47"/>
      <c r="M166" s="16"/>
    </row>
    <row r="167" spans="1:20" s="34" customFormat="1" ht="25" customHeight="1">
      <c r="A167" s="43"/>
      <c r="B167" s="961" t="s">
        <v>574</v>
      </c>
      <c r="C167" s="961"/>
      <c r="D167" s="961"/>
      <c r="E167" s="961"/>
      <c r="F167" s="961"/>
      <c r="H167" s="284"/>
      <c r="J167" s="49"/>
      <c r="K167" s="47"/>
      <c r="M167" s="16"/>
    </row>
    <row r="168" spans="1:20" s="34" customFormat="1" ht="25" customHeight="1">
      <c r="A168" s="43"/>
      <c r="B168" s="4" t="s">
        <v>548</v>
      </c>
      <c r="C168" s="200"/>
      <c r="D168" s="200"/>
      <c r="E168" s="200"/>
      <c r="F168" s="200"/>
      <c r="G168" s="53"/>
      <c r="H168" s="54"/>
      <c r="I168" s="53"/>
      <c r="J168" s="55"/>
      <c r="K168" s="56"/>
      <c r="L168" s="53"/>
      <c r="M168" s="16"/>
    </row>
    <row r="169" spans="1:20" s="34" customFormat="1" ht="25" customHeight="1">
      <c r="A169" s="43"/>
      <c r="B169" s="4"/>
      <c r="C169" s="60"/>
      <c r="D169" s="60"/>
      <c r="E169" s="60"/>
      <c r="F169" s="60"/>
      <c r="G169" s="53"/>
      <c r="H169" s="54"/>
      <c r="I169" s="53"/>
      <c r="J169" s="55"/>
      <c r="K169" s="56"/>
      <c r="L169" s="53"/>
      <c r="M169" s="16"/>
    </row>
    <row r="170" spans="1:20" ht="25" customHeight="1">
      <c r="B170" s="64" t="s">
        <v>108</v>
      </c>
      <c r="C170" s="131"/>
      <c r="D170" s="131"/>
      <c r="F170" s="131"/>
      <c r="G170" s="131"/>
      <c r="H170" s="131"/>
      <c r="I170" s="131"/>
      <c r="J170" s="131"/>
      <c r="K170" s="285"/>
      <c r="L170" s="131"/>
      <c r="M170" s="16"/>
      <c r="O170" s="194"/>
      <c r="P170" s="194"/>
      <c r="Q170" s="154"/>
      <c r="S170" s="50"/>
      <c r="T170" s="50"/>
    </row>
    <row r="171" spans="1:20" ht="25" customHeight="1">
      <c r="B171" s="72" t="s">
        <v>575</v>
      </c>
      <c r="M171" s="16"/>
    </row>
    <row r="172" spans="1:20" ht="25" customHeight="1">
      <c r="B172" s="252" t="s">
        <v>22</v>
      </c>
      <c r="C172" s="251"/>
      <c r="D172" s="172" t="s">
        <v>242</v>
      </c>
      <c r="E172" s="172"/>
      <c r="F172" s="172"/>
      <c r="G172" s="172"/>
      <c r="H172" s="172"/>
      <c r="I172" s="251" t="s">
        <v>565</v>
      </c>
      <c r="J172" s="251"/>
      <c r="K172" s="174" t="s">
        <v>69</v>
      </c>
      <c r="L172" s="192"/>
      <c r="M172" s="16"/>
      <c r="N172" s="194"/>
      <c r="O172" s="154"/>
      <c r="Q172" s="50"/>
      <c r="R172" s="50"/>
    </row>
    <row r="173" spans="1:20" ht="25" customHeight="1">
      <c r="B173" s="133" t="s">
        <v>110</v>
      </c>
      <c r="C173" s="253"/>
      <c r="D173" s="184" t="s">
        <v>266</v>
      </c>
      <c r="E173" s="279"/>
      <c r="F173" s="184"/>
      <c r="G173" s="279"/>
      <c r="H173" s="279"/>
      <c r="I173" s="263" t="s">
        <v>19</v>
      </c>
      <c r="J173" s="263"/>
      <c r="K173" s="185">
        <v>0</v>
      </c>
      <c r="L173" s="192"/>
      <c r="M173" s="16"/>
      <c r="N173" s="194"/>
      <c r="O173" s="154"/>
      <c r="Q173" s="50"/>
      <c r="R173" s="50"/>
    </row>
    <row r="174" spans="1:20" ht="25" customHeight="1">
      <c r="B174" s="568" t="s">
        <v>407</v>
      </c>
      <c r="C174" s="256"/>
      <c r="D174" s="190" t="s">
        <v>576</v>
      </c>
      <c r="E174" s="277"/>
      <c r="F174" s="257"/>
      <c r="G174" s="278"/>
      <c r="H174" s="278"/>
      <c r="I174" s="262" t="s">
        <v>475</v>
      </c>
      <c r="J174" s="262"/>
      <c r="K174" s="191" t="s">
        <v>571</v>
      </c>
      <c r="L174" s="192"/>
      <c r="M174" s="16"/>
      <c r="N174" s="194"/>
      <c r="O174" s="154"/>
      <c r="Q174" s="50"/>
      <c r="R174" s="50"/>
    </row>
    <row r="175" spans="1:20" ht="25" customHeight="1">
      <c r="B175" s="270"/>
      <c r="C175" s="271"/>
      <c r="D175" s="271"/>
      <c r="E175" s="273"/>
      <c r="F175" s="274"/>
      <c r="G175" s="275"/>
      <c r="H175" s="275"/>
      <c r="I175" s="286"/>
      <c r="J175" s="286"/>
      <c r="K175" s="276"/>
      <c r="L175" s="192"/>
      <c r="M175" s="16"/>
      <c r="N175" s="194"/>
      <c r="O175" s="154"/>
      <c r="Q175" s="50"/>
      <c r="R175" s="50"/>
    </row>
    <row r="176" spans="1:20" ht="25" customHeight="1">
      <c r="B176" s="568"/>
      <c r="C176" s="256"/>
      <c r="D176" s="190"/>
      <c r="E176" s="277"/>
      <c r="F176" s="257"/>
      <c r="G176" s="278"/>
      <c r="H176" s="278"/>
      <c r="I176" s="262"/>
      <c r="J176" s="262"/>
      <c r="K176" s="191"/>
      <c r="L176" s="192"/>
      <c r="M176" s="16"/>
      <c r="N176" s="194"/>
      <c r="O176" s="154"/>
      <c r="Q176" s="50"/>
      <c r="R176" s="50"/>
    </row>
    <row r="177" spans="1:18" s="78" customFormat="1" ht="25" customHeight="1">
      <c r="A177" s="73"/>
      <c r="B177" s="64" t="s">
        <v>478</v>
      </c>
      <c r="C177" s="287"/>
      <c r="D177" s="287"/>
      <c r="F177" s="287"/>
      <c r="G177" s="287"/>
      <c r="H177" s="287"/>
      <c r="I177" s="288"/>
      <c r="J177" s="288"/>
      <c r="K177" s="289"/>
      <c r="L177" s="290"/>
      <c r="M177" s="16"/>
      <c r="N177" s="291"/>
      <c r="O177" s="292"/>
      <c r="Q177" s="292"/>
      <c r="R177" s="292"/>
    </row>
    <row r="178" spans="1:18" ht="25" customHeight="1">
      <c r="B178" s="72" t="s">
        <v>577</v>
      </c>
      <c r="M178" s="16"/>
    </row>
    <row r="179" spans="1:18" ht="25" customHeight="1">
      <c r="B179" s="252" t="s">
        <v>22</v>
      </c>
      <c r="C179" s="251"/>
      <c r="D179" s="172" t="s">
        <v>242</v>
      </c>
      <c r="E179" s="172"/>
      <c r="F179" s="172"/>
      <c r="G179" s="172"/>
      <c r="H179" s="172"/>
      <c r="I179" s="251" t="s">
        <v>565</v>
      </c>
      <c r="J179" s="251"/>
      <c r="K179" s="174" t="s">
        <v>69</v>
      </c>
      <c r="L179" s="192"/>
      <c r="M179" s="16"/>
      <c r="N179" s="194"/>
      <c r="O179" s="154"/>
      <c r="Q179" s="50"/>
      <c r="R179" s="50"/>
    </row>
    <row r="180" spans="1:18" ht="25" customHeight="1">
      <c r="B180" s="133" t="s">
        <v>118</v>
      </c>
      <c r="C180" s="253"/>
      <c r="D180" s="184" t="s">
        <v>119</v>
      </c>
      <c r="E180" s="279"/>
      <c r="F180" s="184"/>
      <c r="G180" s="279"/>
      <c r="H180" s="279"/>
      <c r="I180" s="254" t="s">
        <v>475</v>
      </c>
      <c r="J180" s="254"/>
      <c r="K180" s="185">
        <f>PS_consult.jun_EUR</f>
        <v>105.938</v>
      </c>
      <c r="L180" s="192"/>
      <c r="M180" s="16"/>
      <c r="N180" s="194"/>
      <c r="O180" s="154"/>
      <c r="Q180" s="50"/>
      <c r="R180" s="50"/>
    </row>
    <row r="181" spans="1:18" ht="25" customHeight="1">
      <c r="B181" s="135" t="s">
        <v>120</v>
      </c>
      <c r="C181" s="256"/>
      <c r="D181" s="190" t="s">
        <v>121</v>
      </c>
      <c r="E181" s="277"/>
      <c r="F181" s="257"/>
      <c r="G181" s="278"/>
      <c r="H181" s="278"/>
      <c r="I181" s="262" t="s">
        <v>475</v>
      </c>
      <c r="J181" s="262"/>
      <c r="K181" s="191">
        <f>PS_consult.sen_EUR</f>
        <v>129.15600000000001</v>
      </c>
      <c r="L181" s="192"/>
      <c r="M181" s="16"/>
      <c r="N181" s="194"/>
      <c r="O181" s="154"/>
      <c r="Q181" s="50"/>
      <c r="R181" s="50"/>
    </row>
    <row r="182" spans="1:18" ht="25" customHeight="1">
      <c r="B182" s="133" t="s">
        <v>122</v>
      </c>
      <c r="C182" s="253"/>
      <c r="D182" s="184" t="s">
        <v>123</v>
      </c>
      <c r="E182" s="279"/>
      <c r="F182" s="184"/>
      <c r="G182" s="279"/>
      <c r="H182" s="279"/>
      <c r="I182" s="254" t="s">
        <v>475</v>
      </c>
      <c r="J182" s="254"/>
      <c r="K182" s="185">
        <f>PS_cloudarch.jun_EUR</f>
        <v>120.038</v>
      </c>
      <c r="L182" s="192"/>
      <c r="M182" s="16"/>
      <c r="N182" s="194"/>
      <c r="O182" s="154"/>
      <c r="Q182" s="50"/>
      <c r="R182" s="50"/>
    </row>
    <row r="183" spans="1:18" ht="25" customHeight="1">
      <c r="B183" s="135" t="s">
        <v>124</v>
      </c>
      <c r="C183" s="256"/>
      <c r="D183" s="190" t="s">
        <v>125</v>
      </c>
      <c r="E183" s="190"/>
      <c r="F183" s="190"/>
      <c r="G183" s="278"/>
      <c r="H183" s="278"/>
      <c r="I183" s="262" t="s">
        <v>475</v>
      </c>
      <c r="J183" s="262"/>
      <c r="K183" s="191">
        <f>PS_cloudarch.sen_EUR</f>
        <v>129.15600000000001</v>
      </c>
      <c r="L183" s="192"/>
      <c r="M183" s="16"/>
      <c r="N183" s="194"/>
      <c r="O183" s="154"/>
      <c r="Q183" s="50"/>
      <c r="R183" s="50"/>
    </row>
    <row r="184" spans="1:18" ht="25" customHeight="1">
      <c r="B184" s="133" t="s">
        <v>126</v>
      </c>
      <c r="C184" s="253"/>
      <c r="D184" s="184" t="s">
        <v>127</v>
      </c>
      <c r="E184" s="279"/>
      <c r="F184" s="184"/>
      <c r="G184" s="279"/>
      <c r="H184" s="279"/>
      <c r="I184" s="254" t="s">
        <v>475</v>
      </c>
      <c r="J184" s="254"/>
      <c r="K184" s="185">
        <f>PS_pm.jun_EUR</f>
        <v>107.066</v>
      </c>
      <c r="L184" s="192"/>
      <c r="M184" s="16"/>
      <c r="N184" s="194"/>
      <c r="O184" s="154"/>
      <c r="Q184" s="50"/>
      <c r="R184" s="50"/>
    </row>
    <row r="185" spans="1:18" ht="25" customHeight="1">
      <c r="B185" s="135" t="s">
        <v>128</v>
      </c>
      <c r="C185" s="256"/>
      <c r="D185" s="190" t="s">
        <v>129</v>
      </c>
      <c r="E185" s="277"/>
      <c r="F185" s="257"/>
      <c r="G185" s="278"/>
      <c r="H185" s="278"/>
      <c r="I185" s="262" t="s">
        <v>475</v>
      </c>
      <c r="J185" s="262"/>
      <c r="K185" s="191">
        <f>PS_pm.sen_EUR</f>
        <v>129.15600000000001</v>
      </c>
      <c r="L185" s="192"/>
      <c r="M185" s="16"/>
      <c r="N185" s="194"/>
      <c r="O185" s="154"/>
      <c r="Q185" s="50"/>
      <c r="R185" s="50"/>
    </row>
    <row r="186" spans="1:18" ht="25" customHeight="1">
      <c r="B186" s="270"/>
      <c r="C186" s="271"/>
      <c r="D186" s="281"/>
      <c r="E186" s="273"/>
      <c r="F186" s="274"/>
      <c r="G186" s="275"/>
      <c r="H186" s="275"/>
      <c r="I186" s="286"/>
      <c r="J186" s="286"/>
      <c r="K186" s="276"/>
      <c r="L186" s="192"/>
      <c r="M186" s="16"/>
      <c r="N186" s="194"/>
      <c r="O186" s="154"/>
      <c r="Q186" s="50"/>
      <c r="R186" s="50"/>
    </row>
    <row r="187" spans="1:18" ht="25" customHeight="1">
      <c r="B187" s="283"/>
      <c r="C187" s="228"/>
      <c r="D187" s="228"/>
      <c r="E187" s="228"/>
      <c r="F187" s="229"/>
      <c r="G187" s="230"/>
      <c r="H187" s="192"/>
      <c r="I187" s="192"/>
      <c r="J187" s="192"/>
      <c r="K187" s="193"/>
      <c r="L187" s="194"/>
      <c r="M187" s="16"/>
      <c r="N187" s="50"/>
      <c r="O187" s="50"/>
    </row>
    <row r="188" spans="1:18" ht="25" customHeight="1">
      <c r="A188" s="295"/>
      <c r="B188" s="296"/>
      <c r="C188" s="297"/>
      <c r="D188" s="297"/>
      <c r="E188" s="297"/>
      <c r="F188" s="298"/>
      <c r="G188" s="299"/>
      <c r="H188" s="300"/>
      <c r="I188" s="300"/>
      <c r="J188" s="301"/>
      <c r="K188" s="302"/>
      <c r="L188" s="303"/>
      <c r="M188" s="16"/>
      <c r="N188" s="50"/>
      <c r="O188" s="50"/>
    </row>
    <row r="189" spans="1:18" s="34" customFormat="1" ht="25" customHeight="1">
      <c r="A189" s="26"/>
      <c r="B189" s="304"/>
      <c r="C189" s="305"/>
      <c r="D189" s="305"/>
      <c r="E189" s="305"/>
      <c r="F189" s="306"/>
      <c r="G189" s="307"/>
      <c r="H189" s="308"/>
      <c r="I189" s="308"/>
      <c r="J189" s="309"/>
      <c r="K189" s="310"/>
      <c r="L189" s="29"/>
      <c r="M189" s="16"/>
    </row>
    <row r="190" spans="1:18" s="34" customFormat="1" ht="25" customHeight="1">
      <c r="A190" s="26"/>
      <c r="B190" s="304"/>
      <c r="C190" s="305"/>
      <c r="D190" s="305"/>
      <c r="E190" s="305"/>
      <c r="F190" s="306"/>
      <c r="G190" s="307"/>
      <c r="H190" s="308"/>
      <c r="I190" s="308"/>
      <c r="J190" s="309"/>
      <c r="K190" s="310"/>
      <c r="L190" s="29"/>
      <c r="M190" s="16"/>
    </row>
    <row r="191" spans="1:18" s="34" customFormat="1" ht="25" customHeight="1">
      <c r="A191" s="26"/>
      <c r="B191" s="304"/>
      <c r="C191" s="305"/>
      <c r="D191" s="305"/>
      <c r="E191" s="305"/>
      <c r="F191" s="306"/>
      <c r="G191" s="307"/>
      <c r="H191" s="308"/>
      <c r="I191" s="308"/>
      <c r="J191" s="309"/>
      <c r="K191" s="310"/>
      <c r="L191" s="29"/>
      <c r="M191" s="16"/>
    </row>
    <row r="192" spans="1:18" s="34" customFormat="1" ht="25" customHeight="1">
      <c r="A192" s="26"/>
      <c r="B192" s="962" t="s">
        <v>578</v>
      </c>
      <c r="C192" s="962"/>
      <c r="D192" s="962"/>
      <c r="E192" s="962"/>
      <c r="F192" s="962"/>
      <c r="G192" s="962"/>
      <c r="H192" s="31"/>
      <c r="I192" s="148"/>
      <c r="J192" s="29"/>
      <c r="K192" s="32"/>
      <c r="L192" s="29"/>
      <c r="M192" s="16"/>
    </row>
    <row r="193" spans="1:20" s="34" customFormat="1" ht="25" customHeight="1">
      <c r="A193" s="26"/>
      <c r="B193" s="962"/>
      <c r="C193" s="962"/>
      <c r="D193" s="962"/>
      <c r="E193" s="962"/>
      <c r="F193" s="962"/>
      <c r="G193" s="962"/>
      <c r="H193" s="31"/>
      <c r="I193" s="148"/>
      <c r="J193" s="29"/>
      <c r="K193" s="32"/>
      <c r="L193" s="29"/>
      <c r="M193" s="16"/>
    </row>
    <row r="194" spans="1:20" s="34" customFormat="1" ht="25" customHeight="1">
      <c r="A194" s="26"/>
      <c r="B194" s="962"/>
      <c r="C194" s="962"/>
      <c r="D194" s="962"/>
      <c r="E194" s="962"/>
      <c r="F194" s="962"/>
      <c r="G194" s="962"/>
      <c r="H194" s="31"/>
      <c r="I194" s="148"/>
      <c r="J194" s="29"/>
      <c r="K194" s="32"/>
      <c r="L194" s="29"/>
      <c r="M194" s="16"/>
    </row>
    <row r="195" spans="1:20" s="34" customFormat="1" ht="25" customHeight="1">
      <c r="A195" s="26"/>
      <c r="B195" s="311" t="s">
        <v>548</v>
      </c>
      <c r="C195" s="318"/>
      <c r="D195" s="318"/>
      <c r="E195" s="318"/>
      <c r="F195" s="318"/>
      <c r="G195" s="29"/>
      <c r="H195" s="31"/>
      <c r="I195" s="148"/>
      <c r="J195" s="29"/>
      <c r="K195" s="32"/>
      <c r="L195" s="312"/>
      <c r="M195" s="16"/>
    </row>
    <row r="196" spans="1:20" s="34" customFormat="1" ht="25" customHeight="1">
      <c r="A196" s="26"/>
      <c r="B196" s="27"/>
      <c r="C196" s="28"/>
      <c r="D196" s="28"/>
      <c r="E196" s="28"/>
      <c r="F196" s="28"/>
      <c r="G196" s="29"/>
      <c r="H196" s="31"/>
      <c r="I196" s="148"/>
      <c r="J196" s="29"/>
      <c r="K196" s="32"/>
      <c r="L196" s="312"/>
      <c r="M196" s="16"/>
    </row>
    <row r="197" spans="1:20" s="34" customFormat="1" ht="25" customHeight="1">
      <c r="A197" s="26"/>
      <c r="B197" s="21" t="s">
        <v>579</v>
      </c>
      <c r="C197" s="28"/>
      <c r="D197" s="28"/>
      <c r="E197" s="28"/>
      <c r="F197" s="28"/>
      <c r="G197" s="29"/>
      <c r="H197" s="31"/>
      <c r="I197" s="148"/>
      <c r="J197" s="29"/>
      <c r="K197" s="32"/>
      <c r="L197" s="312"/>
      <c r="M197" s="16"/>
    </row>
    <row r="198" spans="1:20" s="34" customFormat="1" ht="25" customHeight="1">
      <c r="A198" s="26"/>
      <c r="B198" s="23" t="s">
        <v>545</v>
      </c>
      <c r="C198" s="28"/>
      <c r="D198" s="28"/>
      <c r="E198" s="28"/>
      <c r="F198" s="28"/>
      <c r="G198" s="29"/>
      <c r="H198" s="31"/>
      <c r="I198" s="29"/>
      <c r="J198" s="33"/>
      <c r="K198" s="32"/>
      <c r="L198" s="312"/>
      <c r="M198" s="16"/>
    </row>
    <row r="199" spans="1:20" s="34" customFormat="1" ht="25" customHeight="1">
      <c r="A199" s="26"/>
      <c r="B199" s="24" t="s">
        <v>3</v>
      </c>
      <c r="C199" s="313"/>
      <c r="D199" s="313"/>
      <c r="E199" s="313"/>
      <c r="F199" s="313"/>
      <c r="G199" s="312"/>
      <c r="H199" s="314"/>
      <c r="I199" s="312"/>
      <c r="J199" s="315"/>
      <c r="K199" s="316"/>
      <c r="L199" s="312"/>
      <c r="M199" s="16"/>
    </row>
    <row r="200" spans="1:20" s="143" customFormat="1" ht="25" customHeight="1">
      <c r="A200" s="317"/>
      <c r="B200" s="311"/>
      <c r="C200" s="318"/>
      <c r="D200" s="318"/>
      <c r="E200" s="318"/>
      <c r="F200" s="318"/>
      <c r="G200" s="312"/>
      <c r="H200" s="314"/>
      <c r="I200" s="312"/>
      <c r="J200" s="315"/>
      <c r="K200" s="316"/>
      <c r="L200" s="319"/>
      <c r="M200" s="16"/>
      <c r="N200" s="320"/>
      <c r="O200" s="175"/>
      <c r="P200" s="175"/>
      <c r="Q200" s="175"/>
      <c r="R200" s="175"/>
      <c r="S200" s="175"/>
      <c r="T200" s="175"/>
    </row>
    <row r="201" spans="1:20" ht="25" customHeight="1">
      <c r="A201" s="11"/>
      <c r="B201" s="321" t="s">
        <v>227</v>
      </c>
      <c r="C201" s="322"/>
      <c r="D201" s="323"/>
      <c r="E201" s="322"/>
      <c r="F201" s="324"/>
      <c r="G201" s="324"/>
      <c r="H201" s="324"/>
      <c r="I201" s="322"/>
      <c r="J201" s="324" t="s">
        <v>578</v>
      </c>
      <c r="K201" s="325"/>
      <c r="L201" s="326"/>
      <c r="M201" s="16"/>
      <c r="N201" s="249"/>
    </row>
    <row r="202" spans="1:20" ht="25" customHeight="1">
      <c r="A202" s="11"/>
      <c r="B202" s="327" t="s">
        <v>140</v>
      </c>
      <c r="C202" s="328"/>
      <c r="D202" s="329"/>
      <c r="E202" s="328"/>
      <c r="F202" s="328"/>
      <c r="G202" s="330"/>
      <c r="H202" s="331"/>
      <c r="I202" s="329"/>
      <c r="J202" s="332">
        <f>K27+K55+K72+K84+K92</f>
        <v>0</v>
      </c>
      <c r="K202" s="185"/>
      <c r="L202" s="13"/>
      <c r="M202" s="16"/>
      <c r="N202" s="249"/>
    </row>
    <row r="203" spans="1:20" ht="25" customHeight="1">
      <c r="A203" s="11"/>
      <c r="B203" s="333" t="s">
        <v>141</v>
      </c>
      <c r="C203" s="334" t="str">
        <f>K104&amp;" TB - S3"&amp;"     /     "&amp;K103&amp;" TB - Archive"</f>
        <v>0 TB - S3     /     0 TB - Archive</v>
      </c>
      <c r="D203" s="335"/>
      <c r="E203" s="335"/>
      <c r="F203" s="336"/>
      <c r="G203" s="337"/>
      <c r="H203" s="337"/>
      <c r="I203" s="338"/>
      <c r="J203" s="339">
        <f>K105</f>
        <v>0</v>
      </c>
      <c r="K203" s="185"/>
      <c r="L203" s="13"/>
      <c r="M203" s="16"/>
      <c r="N203" s="249"/>
    </row>
    <row r="204" spans="1:20" ht="25" customHeight="1">
      <c r="A204" s="11"/>
      <c r="B204" s="333" t="s">
        <v>142</v>
      </c>
      <c r="C204" s="340"/>
      <c r="D204" s="341"/>
      <c r="E204" s="342"/>
      <c r="F204" s="336"/>
      <c r="G204" s="337"/>
      <c r="H204" s="337"/>
      <c r="I204" s="338"/>
      <c r="J204" s="339">
        <f>K120</f>
        <v>0</v>
      </c>
      <c r="K204" s="185"/>
      <c r="L204" s="13"/>
      <c r="M204" s="16"/>
      <c r="N204" s="249"/>
    </row>
    <row r="205" spans="1:20" s="349" customFormat="1" ht="25" customHeight="1">
      <c r="A205" s="343"/>
      <c r="B205" s="344" t="s">
        <v>17</v>
      </c>
      <c r="C205" s="345"/>
      <c r="D205" s="345"/>
      <c r="E205" s="345"/>
      <c r="F205" s="345"/>
      <c r="G205" s="345"/>
      <c r="H205" s="345"/>
      <c r="I205" s="345"/>
      <c r="J205" s="346">
        <f>SUM(J202:J204)</f>
        <v>0</v>
      </c>
      <c r="K205" s="347"/>
      <c r="L205" s="348"/>
      <c r="M205" s="16"/>
    </row>
    <row r="206" spans="1:20" ht="25" customHeight="1">
      <c r="A206" s="11"/>
      <c r="B206" s="350"/>
      <c r="C206" s="351"/>
      <c r="D206" s="351"/>
      <c r="E206" s="351"/>
      <c r="F206" s="352"/>
      <c r="G206" s="353"/>
      <c r="H206" s="353"/>
      <c r="I206" s="354"/>
      <c r="J206" s="354"/>
      <c r="K206" s="355"/>
      <c r="L206" s="13"/>
      <c r="M206" s="16"/>
    </row>
    <row r="207" spans="1:20" ht="25" customHeight="1">
      <c r="A207" s="11"/>
      <c r="B207" s="20"/>
      <c r="C207" s="184"/>
      <c r="D207" s="356"/>
      <c r="E207" s="261"/>
      <c r="F207" s="279"/>
      <c r="G207" s="357"/>
      <c r="H207" s="184"/>
      <c r="I207" s="358"/>
      <c r="J207" s="359"/>
      <c r="K207" s="185"/>
      <c r="L207" s="13"/>
      <c r="M207" s="16"/>
    </row>
    <row r="208" spans="1:20" ht="25" customHeight="1">
      <c r="A208" s="360"/>
      <c r="B208" s="361"/>
      <c r="C208" s="219"/>
      <c r="D208" s="362"/>
      <c r="E208" s="363"/>
      <c r="F208" s="364"/>
      <c r="G208" s="365"/>
      <c r="H208" s="219"/>
      <c r="I208" s="366"/>
      <c r="J208" s="367"/>
      <c r="K208" s="220"/>
      <c r="L208" s="368"/>
      <c r="M208" s="16"/>
    </row>
    <row r="209" spans="1:23" s="379" customFormat="1" ht="25" customHeight="1">
      <c r="A209" s="369"/>
      <c r="B209" s="370"/>
      <c r="C209" s="371"/>
      <c r="D209" s="372"/>
      <c r="E209" s="373"/>
      <c r="F209" s="374"/>
      <c r="G209" s="375"/>
      <c r="H209" s="371"/>
      <c r="I209" s="376"/>
      <c r="J209" s="377"/>
      <c r="K209" s="378"/>
    </row>
    <row r="210" spans="1:23" s="379" customFormat="1" ht="25" customHeight="1">
      <c r="A210" s="369"/>
      <c r="B210" s="380" t="s">
        <v>580</v>
      </c>
      <c r="C210" s="371"/>
      <c r="D210" s="371"/>
      <c r="E210" s="371"/>
      <c r="F210" s="381"/>
      <c r="G210" s="382"/>
      <c r="H210" s="383"/>
      <c r="I210" s="383"/>
      <c r="J210" s="383"/>
      <c r="K210" s="378"/>
      <c r="L210" s="377"/>
      <c r="M210" s="377"/>
      <c r="N210" s="377"/>
    </row>
    <row r="211" spans="1:23" s="379" customFormat="1" ht="25" customHeight="1">
      <c r="A211" s="369"/>
      <c r="B211" s="380" t="s">
        <v>581</v>
      </c>
      <c r="C211" s="371"/>
      <c r="D211" s="371"/>
      <c r="E211" s="371"/>
      <c r="F211" s="381"/>
      <c r="G211" s="382"/>
      <c r="H211" s="383"/>
      <c r="I211" s="383"/>
      <c r="J211" s="383"/>
      <c r="K211" s="378"/>
      <c r="L211" s="377"/>
      <c r="M211" s="377"/>
      <c r="N211" s="377"/>
    </row>
    <row r="212" spans="1:23" s="379" customFormat="1" ht="25" customHeight="1">
      <c r="A212" s="369"/>
      <c r="B212" s="380" t="s">
        <v>662</v>
      </c>
      <c r="C212" s="371"/>
      <c r="D212" s="371"/>
      <c r="E212" s="371"/>
      <c r="F212" s="381"/>
      <c r="G212" s="382"/>
      <c r="H212" s="383"/>
      <c r="I212" s="383"/>
      <c r="J212" s="383"/>
      <c r="K212" s="378"/>
      <c r="L212" s="377"/>
      <c r="M212" s="377"/>
      <c r="N212" s="377"/>
    </row>
    <row r="213" spans="1:23" s="379" customFormat="1" ht="25" customHeight="1">
      <c r="A213" s="369"/>
      <c r="B213" s="380" t="s">
        <v>663</v>
      </c>
      <c r="C213" s="371"/>
      <c r="D213" s="371"/>
      <c r="E213" s="371"/>
      <c r="F213" s="381"/>
      <c r="G213" s="382"/>
      <c r="H213" s="383"/>
      <c r="I213" s="383"/>
      <c r="J213" s="383"/>
      <c r="K213" s="378"/>
      <c r="L213" s="377"/>
      <c r="M213" s="377"/>
      <c r="N213" s="377"/>
    </row>
    <row r="214" spans="1:23" s="379" customFormat="1" ht="25" customHeight="1">
      <c r="A214" s="369"/>
      <c r="B214" s="380"/>
      <c r="C214" s="371"/>
      <c r="D214" s="371"/>
      <c r="E214" s="371"/>
      <c r="F214" s="381"/>
      <c r="G214" s="382"/>
      <c r="H214" s="383"/>
      <c r="I214" s="383"/>
      <c r="J214" s="383"/>
      <c r="K214" s="378"/>
      <c r="L214" s="377"/>
      <c r="M214" s="377"/>
      <c r="N214" s="377"/>
    </row>
    <row r="215" spans="1:23" s="379" customFormat="1" ht="25" customHeight="1">
      <c r="A215" s="369"/>
      <c r="B215" s="370"/>
      <c r="C215" s="371"/>
      <c r="D215" s="371"/>
      <c r="E215" s="371"/>
      <c r="F215" s="381"/>
      <c r="G215" s="382"/>
      <c r="H215" s="383"/>
      <c r="I215" s="383"/>
      <c r="J215" s="383"/>
      <c r="K215" s="378"/>
      <c r="L215" s="377"/>
      <c r="M215" s="377"/>
      <c r="N215" s="377"/>
    </row>
    <row r="216" spans="1:23" s="379" customFormat="1" ht="25" customHeight="1">
      <c r="A216" s="369"/>
      <c r="B216" s="370"/>
      <c r="C216" s="371"/>
      <c r="D216" s="371"/>
      <c r="E216" s="371"/>
      <c r="F216" s="381"/>
      <c r="G216" s="382"/>
      <c r="H216" s="383"/>
      <c r="I216" s="383"/>
      <c r="J216" s="383"/>
      <c r="K216" s="378"/>
      <c r="L216" s="377"/>
      <c r="M216" s="377"/>
      <c r="N216" s="377"/>
    </row>
    <row r="217" spans="1:23" s="379" customFormat="1" ht="25" customHeight="1">
      <c r="A217" s="369"/>
      <c r="B217" s="370"/>
      <c r="C217" s="371"/>
      <c r="D217" s="371"/>
      <c r="E217" s="371"/>
      <c r="F217" s="381"/>
      <c r="G217" s="382"/>
      <c r="H217" s="383"/>
      <c r="I217" s="383"/>
      <c r="J217" s="383"/>
      <c r="K217" s="378"/>
      <c r="L217" s="377"/>
      <c r="M217" s="377"/>
      <c r="N217" s="377"/>
    </row>
    <row r="218" spans="1:23" s="379" customFormat="1" ht="25" customHeight="1">
      <c r="A218" s="369"/>
      <c r="B218" s="370"/>
      <c r="C218" s="371"/>
      <c r="D218" s="371"/>
      <c r="E218" s="371"/>
      <c r="F218" s="381"/>
      <c r="G218" s="382"/>
      <c r="H218" s="383"/>
      <c r="I218" s="383"/>
      <c r="J218" s="383"/>
      <c r="K218" s="378"/>
      <c r="L218" s="377"/>
      <c r="M218" s="377"/>
      <c r="N218" s="377"/>
    </row>
    <row r="219" spans="1:23" s="384" customFormat="1" ht="25" customHeight="1">
      <c r="A219" s="369"/>
      <c r="B219" s="370"/>
      <c r="C219" s="371"/>
      <c r="D219" s="371"/>
      <c r="E219" s="371"/>
      <c r="F219" s="381"/>
      <c r="G219" s="382"/>
      <c r="H219" s="383"/>
      <c r="I219" s="383"/>
      <c r="J219" s="383"/>
      <c r="K219" s="378"/>
      <c r="L219" s="377"/>
      <c r="M219" s="377"/>
      <c r="N219" s="377"/>
      <c r="O219" s="379"/>
      <c r="P219" s="379"/>
      <c r="Q219" s="379"/>
      <c r="R219" s="379"/>
      <c r="S219" s="379"/>
      <c r="T219" s="379"/>
      <c r="U219" s="379"/>
      <c r="V219" s="379"/>
      <c r="W219" s="379"/>
    </row>
    <row r="220" spans="1:23" s="379" customFormat="1" ht="25" customHeight="1">
      <c r="A220" s="369"/>
      <c r="B220" s="370"/>
      <c r="C220" s="371"/>
      <c r="D220" s="371"/>
      <c r="E220" s="371"/>
      <c r="F220" s="381"/>
      <c r="G220" s="382"/>
      <c r="H220" s="383"/>
      <c r="I220" s="383"/>
      <c r="J220" s="383"/>
      <c r="K220" s="378"/>
      <c r="L220" s="377"/>
      <c r="M220" s="377"/>
      <c r="N220" s="377"/>
    </row>
    <row r="221" spans="1:23" s="379" customFormat="1" ht="25" customHeight="1">
      <c r="A221" s="369"/>
      <c r="B221" s="370"/>
      <c r="C221" s="371"/>
      <c r="D221" s="371"/>
      <c r="E221" s="371"/>
      <c r="F221" s="381"/>
      <c r="G221" s="382"/>
      <c r="H221" s="383"/>
      <c r="I221" s="383"/>
      <c r="J221" s="383"/>
      <c r="K221" s="378"/>
      <c r="L221" s="377"/>
      <c r="M221" s="377"/>
      <c r="N221" s="377"/>
    </row>
    <row r="222" spans="1:23" s="379" customFormat="1" ht="25" customHeight="1">
      <c r="A222" s="369"/>
      <c r="B222" s="370"/>
      <c r="C222" s="371"/>
      <c r="D222" s="371"/>
      <c r="E222" s="371"/>
      <c r="F222" s="381"/>
      <c r="G222" s="382"/>
      <c r="H222" s="383"/>
      <c r="I222" s="383"/>
      <c r="J222" s="383"/>
      <c r="K222" s="378"/>
      <c r="L222" s="377"/>
      <c r="M222" s="377"/>
      <c r="N222" s="377"/>
    </row>
    <row r="223" spans="1:23" s="379" customFormat="1" ht="25" customHeight="1">
      <c r="A223" s="369"/>
      <c r="B223" s="370"/>
      <c r="C223" s="371"/>
      <c r="D223" s="371"/>
      <c r="E223" s="371"/>
      <c r="F223" s="381"/>
      <c r="G223" s="382"/>
      <c r="H223" s="383"/>
      <c r="I223" s="383"/>
      <c r="J223" s="383"/>
      <c r="K223" s="378"/>
      <c r="L223" s="377"/>
      <c r="M223" s="377"/>
      <c r="N223" s="377"/>
    </row>
    <row r="224" spans="1:23" s="379" customFormat="1" ht="25" customHeight="1">
      <c r="A224" s="369"/>
      <c r="B224" s="370"/>
      <c r="C224" s="371"/>
      <c r="D224" s="371"/>
      <c r="E224" s="371"/>
      <c r="F224" s="381"/>
      <c r="G224" s="382"/>
      <c r="H224" s="383"/>
      <c r="I224" s="383"/>
      <c r="J224" s="383"/>
      <c r="K224" s="378"/>
      <c r="L224" s="377"/>
      <c r="M224" s="377"/>
      <c r="N224" s="377"/>
    </row>
    <row r="225" spans="1:14" s="379" customFormat="1" ht="25" customHeight="1">
      <c r="A225" s="369"/>
      <c r="B225" s="370"/>
      <c r="C225" s="371"/>
      <c r="D225" s="371"/>
      <c r="E225" s="371"/>
      <c r="F225" s="381"/>
      <c r="G225" s="382"/>
      <c r="H225" s="383"/>
      <c r="I225" s="383"/>
      <c r="J225" s="383"/>
      <c r="K225" s="378"/>
      <c r="L225" s="377"/>
      <c r="M225" s="377"/>
      <c r="N225" s="377"/>
    </row>
    <row r="226" spans="1:14" s="379" customFormat="1" ht="25" customHeight="1">
      <c r="A226" s="369"/>
      <c r="B226" s="370"/>
      <c r="C226" s="371"/>
      <c r="D226" s="371"/>
      <c r="E226" s="371"/>
      <c r="F226" s="381"/>
      <c r="G226" s="382"/>
      <c r="H226" s="383"/>
      <c r="I226" s="383"/>
      <c r="J226" s="383"/>
      <c r="K226" s="378"/>
      <c r="L226" s="377"/>
      <c r="M226" s="377"/>
      <c r="N226" s="377"/>
    </row>
    <row r="227" spans="1:14" s="379" customFormat="1" ht="25" customHeight="1">
      <c r="A227" s="369"/>
      <c r="B227" s="370"/>
      <c r="C227" s="371"/>
      <c r="D227" s="371"/>
      <c r="E227" s="371"/>
      <c r="F227" s="381"/>
      <c r="G227" s="382"/>
      <c r="H227" s="383"/>
      <c r="I227" s="383"/>
      <c r="J227" s="383"/>
      <c r="K227" s="378"/>
      <c r="L227" s="377"/>
      <c r="M227" s="377"/>
      <c r="N227" s="377"/>
    </row>
    <row r="228" spans="1:14" s="379" customFormat="1" ht="25" customHeight="1">
      <c r="A228" s="369"/>
      <c r="B228" s="370"/>
      <c r="C228" s="371"/>
      <c r="D228" s="371"/>
      <c r="E228" s="371"/>
      <c r="F228" s="381"/>
      <c r="G228" s="382"/>
      <c r="H228" s="383"/>
      <c r="I228" s="383"/>
      <c r="J228" s="383"/>
      <c r="K228" s="378"/>
      <c r="L228" s="377"/>
      <c r="M228" s="377"/>
      <c r="N228" s="377"/>
    </row>
    <row r="229" spans="1:14" s="379" customFormat="1" ht="25" customHeight="1">
      <c r="A229" s="369"/>
      <c r="B229" s="370"/>
      <c r="C229" s="371"/>
      <c r="D229" s="371"/>
      <c r="E229" s="371"/>
      <c r="F229" s="381"/>
      <c r="G229" s="382"/>
      <c r="H229" s="383"/>
      <c r="I229" s="383"/>
      <c r="J229" s="383"/>
      <c r="K229" s="378"/>
      <c r="L229" s="377"/>
      <c r="M229" s="377"/>
      <c r="N229" s="377"/>
    </row>
    <row r="230" spans="1:14" s="379" customFormat="1" ht="25" customHeight="1">
      <c r="A230" s="369"/>
      <c r="B230" s="370"/>
      <c r="C230" s="371"/>
      <c r="D230" s="371"/>
      <c r="E230" s="371"/>
      <c r="F230" s="381"/>
      <c r="G230" s="382"/>
      <c r="H230" s="383"/>
      <c r="I230" s="383"/>
      <c r="J230" s="383"/>
      <c r="K230" s="378"/>
      <c r="L230" s="377"/>
      <c r="M230" s="377"/>
      <c r="N230" s="377"/>
    </row>
    <row r="231" spans="1:14" s="379" customFormat="1" ht="25" customHeight="1">
      <c r="A231" s="369"/>
      <c r="B231" s="370"/>
      <c r="C231" s="371"/>
      <c r="D231" s="371"/>
      <c r="E231" s="371"/>
      <c r="F231" s="381"/>
      <c r="G231" s="382"/>
      <c r="H231" s="383"/>
      <c r="I231" s="383"/>
      <c r="J231" s="383"/>
      <c r="K231" s="378"/>
      <c r="L231" s="377"/>
      <c r="M231" s="377"/>
      <c r="N231" s="377"/>
    </row>
    <row r="232" spans="1:14" s="379" customFormat="1" ht="25" customHeight="1">
      <c r="A232" s="369"/>
      <c r="B232" s="370"/>
      <c r="C232" s="371"/>
      <c r="D232" s="371"/>
      <c r="E232" s="371"/>
      <c r="F232" s="381"/>
      <c r="G232" s="382"/>
      <c r="H232" s="383"/>
      <c r="I232" s="383"/>
      <c r="J232" s="383"/>
      <c r="K232" s="378"/>
      <c r="L232" s="377"/>
      <c r="M232" s="377"/>
      <c r="N232" s="377"/>
    </row>
    <row r="233" spans="1:14" s="379" customFormat="1" ht="25" customHeight="1">
      <c r="A233" s="369"/>
      <c r="B233" s="370"/>
      <c r="C233" s="371"/>
      <c r="D233" s="371"/>
      <c r="E233" s="371"/>
      <c r="F233" s="381"/>
      <c r="G233" s="382"/>
      <c r="H233" s="383"/>
      <c r="I233" s="383"/>
      <c r="J233" s="383"/>
      <c r="K233" s="378"/>
      <c r="L233" s="377"/>
      <c r="M233" s="377"/>
      <c r="N233" s="377"/>
    </row>
    <row r="234" spans="1:14" s="379" customFormat="1" ht="25" customHeight="1">
      <c r="A234" s="369"/>
      <c r="B234" s="370"/>
      <c r="C234" s="371"/>
      <c r="D234" s="371"/>
      <c r="E234" s="371"/>
      <c r="F234" s="381"/>
      <c r="G234" s="382"/>
      <c r="H234" s="383"/>
      <c r="I234" s="383"/>
      <c r="J234" s="383"/>
      <c r="K234" s="378"/>
      <c r="L234" s="377"/>
      <c r="M234" s="377"/>
      <c r="N234" s="377"/>
    </row>
    <row r="235" spans="1:14" s="379" customFormat="1" ht="25" customHeight="1">
      <c r="A235" s="369"/>
      <c r="B235" s="370"/>
      <c r="C235" s="371"/>
      <c r="D235" s="371"/>
      <c r="E235" s="371"/>
      <c r="F235" s="381"/>
      <c r="G235" s="382"/>
      <c r="H235" s="383"/>
      <c r="I235" s="383"/>
      <c r="J235" s="383"/>
      <c r="K235" s="378"/>
      <c r="L235" s="377"/>
      <c r="M235" s="377"/>
      <c r="N235" s="377"/>
    </row>
    <row r="236" spans="1:14" s="379" customFormat="1" ht="25" customHeight="1">
      <c r="A236" s="369"/>
      <c r="B236" s="370"/>
      <c r="C236" s="371"/>
      <c r="D236" s="371"/>
      <c r="E236" s="371"/>
      <c r="F236" s="381"/>
      <c r="G236" s="382"/>
      <c r="H236" s="383"/>
      <c r="I236" s="383"/>
      <c r="J236" s="383"/>
      <c r="K236" s="378"/>
      <c r="L236" s="377"/>
      <c r="M236" s="377"/>
      <c r="N236" s="377"/>
    </row>
    <row r="237" spans="1:14" s="379" customFormat="1" ht="25" customHeight="1">
      <c r="A237" s="369"/>
      <c r="B237" s="370"/>
      <c r="C237" s="371"/>
      <c r="D237" s="371"/>
      <c r="E237" s="371"/>
      <c r="F237" s="381"/>
      <c r="G237" s="382"/>
      <c r="H237" s="383"/>
      <c r="I237" s="383"/>
      <c r="J237" s="383"/>
      <c r="K237" s="378"/>
      <c r="L237" s="377"/>
      <c r="M237" s="377"/>
      <c r="N237" s="377"/>
    </row>
    <row r="238" spans="1:14" s="379" customFormat="1" ht="25" customHeight="1">
      <c r="A238" s="369"/>
      <c r="B238" s="370"/>
      <c r="C238" s="371"/>
      <c r="D238" s="371"/>
      <c r="E238" s="371"/>
      <c r="F238" s="381"/>
      <c r="G238" s="382"/>
      <c r="H238" s="383"/>
      <c r="I238" s="383"/>
      <c r="J238" s="383"/>
      <c r="K238" s="378"/>
      <c r="L238" s="377"/>
      <c r="M238" s="377"/>
      <c r="N238" s="377"/>
    </row>
    <row r="239" spans="1:14" s="379" customFormat="1" ht="25" customHeight="1">
      <c r="A239" s="369"/>
      <c r="B239" s="370"/>
      <c r="K239" s="378"/>
      <c r="M239" s="385"/>
    </row>
    <row r="240" spans="1:14" s="379" customFormat="1" ht="25" customHeight="1">
      <c r="A240" s="369"/>
      <c r="B240" s="370"/>
      <c r="K240" s="378"/>
      <c r="M240" s="385"/>
    </row>
    <row r="241" spans="1:13" s="379" customFormat="1" ht="25" customHeight="1">
      <c r="A241" s="369"/>
      <c r="B241" s="370"/>
      <c r="K241" s="378"/>
      <c r="M241" s="385"/>
    </row>
    <row r="242" spans="1:13" s="379" customFormat="1" ht="25" customHeight="1">
      <c r="A242" s="369"/>
      <c r="B242" s="370"/>
      <c r="K242" s="378"/>
      <c r="M242" s="385"/>
    </row>
    <row r="243" spans="1:13" s="379" customFormat="1" ht="25" customHeight="1">
      <c r="A243" s="369"/>
      <c r="B243" s="370"/>
      <c r="K243" s="378"/>
      <c r="M243" s="385"/>
    </row>
    <row r="244" spans="1:13" s="379" customFormat="1" ht="25" customHeight="1">
      <c r="A244" s="369"/>
      <c r="B244" s="370"/>
      <c r="K244" s="378"/>
      <c r="M244" s="385"/>
    </row>
    <row r="245" spans="1:13" s="379" customFormat="1" ht="25" customHeight="1">
      <c r="A245" s="369"/>
      <c r="B245" s="370"/>
      <c r="K245" s="378"/>
      <c r="M245" s="385"/>
    </row>
    <row r="246" spans="1:13" s="379" customFormat="1" ht="25" customHeight="1">
      <c r="A246" s="369"/>
      <c r="B246" s="370"/>
      <c r="K246" s="378"/>
      <c r="M246" s="385"/>
    </row>
    <row r="247" spans="1:13" s="379" customFormat="1" ht="25" customHeight="1">
      <c r="A247" s="369"/>
      <c r="B247" s="370"/>
      <c r="K247" s="378"/>
      <c r="M247" s="385"/>
    </row>
    <row r="248" spans="1:13" s="379" customFormat="1" ht="25" customHeight="1">
      <c r="A248" s="369"/>
      <c r="B248" s="370"/>
      <c r="K248" s="378"/>
      <c r="M248" s="385"/>
    </row>
    <row r="249" spans="1:13" s="379" customFormat="1" ht="25" customHeight="1">
      <c r="A249" s="369"/>
      <c r="B249" s="370"/>
      <c r="K249" s="378"/>
      <c r="M249" s="385"/>
    </row>
    <row r="250" spans="1:13" s="379" customFormat="1" ht="25" customHeight="1">
      <c r="A250" s="369"/>
      <c r="B250" s="370"/>
      <c r="K250" s="378"/>
      <c r="M250" s="385"/>
    </row>
    <row r="251" spans="1:13" s="379" customFormat="1" ht="25" customHeight="1">
      <c r="A251" s="369"/>
      <c r="B251" s="370"/>
      <c r="K251" s="378"/>
      <c r="M251" s="385"/>
    </row>
    <row r="252" spans="1:13" s="379" customFormat="1" ht="25" customHeight="1">
      <c r="A252" s="369"/>
      <c r="B252" s="370"/>
      <c r="K252" s="378"/>
      <c r="M252" s="385"/>
    </row>
    <row r="253" spans="1:13" s="379" customFormat="1" ht="25" customHeight="1">
      <c r="A253" s="369"/>
      <c r="B253" s="370"/>
      <c r="K253" s="378"/>
      <c r="M253" s="385"/>
    </row>
    <row r="254" spans="1:13" s="379" customFormat="1" ht="25" customHeight="1">
      <c r="A254" s="369"/>
      <c r="B254" s="370"/>
      <c r="K254" s="378"/>
      <c r="M254" s="385"/>
    </row>
    <row r="255" spans="1:13" s="379" customFormat="1" ht="25" customHeight="1">
      <c r="A255" s="369"/>
      <c r="B255" s="370"/>
      <c r="K255" s="378"/>
      <c r="M255" s="385"/>
    </row>
    <row r="256" spans="1:13" s="379" customFormat="1" ht="25" customHeight="1">
      <c r="A256" s="369"/>
      <c r="B256" s="370"/>
      <c r="K256" s="378"/>
      <c r="M256" s="385"/>
    </row>
    <row r="257" spans="1:13" s="379" customFormat="1" ht="25" customHeight="1">
      <c r="A257" s="369"/>
      <c r="B257" s="370"/>
      <c r="K257" s="378"/>
      <c r="M257" s="385"/>
    </row>
    <row r="258" spans="1:13" s="379" customFormat="1" ht="25" customHeight="1">
      <c r="A258" s="369"/>
      <c r="B258" s="370"/>
      <c r="K258" s="378"/>
      <c r="M258" s="385"/>
    </row>
    <row r="259" spans="1:13" s="379" customFormat="1" ht="25" customHeight="1">
      <c r="A259" s="369"/>
      <c r="B259" s="370"/>
      <c r="K259" s="378"/>
      <c r="M259" s="385"/>
    </row>
    <row r="260" spans="1:13" s="379" customFormat="1" ht="25" customHeight="1">
      <c r="A260" s="369"/>
      <c r="B260" s="370"/>
      <c r="K260" s="378"/>
      <c r="M260" s="385"/>
    </row>
    <row r="261" spans="1:13" s="379" customFormat="1" ht="25" customHeight="1">
      <c r="A261" s="369"/>
      <c r="B261" s="370"/>
      <c r="K261" s="378"/>
      <c r="M261" s="385"/>
    </row>
    <row r="262" spans="1:13" s="379" customFormat="1" ht="25" customHeight="1">
      <c r="A262" s="369"/>
      <c r="B262" s="370"/>
      <c r="K262" s="378"/>
      <c r="M262" s="385"/>
    </row>
    <row r="263" spans="1:13" s="379" customFormat="1" ht="25" customHeight="1">
      <c r="A263" s="369"/>
      <c r="B263" s="370"/>
      <c r="K263" s="378"/>
      <c r="M263" s="385"/>
    </row>
    <row r="264" spans="1:13" s="379" customFormat="1" ht="25" customHeight="1">
      <c r="A264" s="369"/>
      <c r="B264" s="370"/>
      <c r="K264" s="378"/>
      <c r="M264" s="385"/>
    </row>
    <row r="265" spans="1:13" s="379" customFormat="1" ht="25" customHeight="1">
      <c r="A265" s="369"/>
      <c r="B265" s="370"/>
      <c r="K265" s="378"/>
      <c r="M265" s="385"/>
    </row>
    <row r="266" spans="1:13" s="379" customFormat="1" ht="25" customHeight="1">
      <c r="A266" s="369"/>
      <c r="B266" s="370"/>
      <c r="K266" s="378"/>
      <c r="M266" s="385"/>
    </row>
    <row r="267" spans="1:13" s="379" customFormat="1" ht="25" customHeight="1">
      <c r="A267" s="369"/>
      <c r="B267" s="370"/>
      <c r="K267" s="378"/>
      <c r="M267" s="385"/>
    </row>
    <row r="268" spans="1:13" s="379" customFormat="1" ht="25" customHeight="1">
      <c r="A268" s="369"/>
      <c r="B268" s="370"/>
      <c r="K268" s="378"/>
      <c r="M268" s="385"/>
    </row>
    <row r="269" spans="1:13" s="379" customFormat="1" ht="25" customHeight="1">
      <c r="A269" s="369"/>
      <c r="B269" s="370"/>
      <c r="K269" s="378"/>
      <c r="M269" s="385"/>
    </row>
    <row r="270" spans="1:13" s="379" customFormat="1" ht="25" customHeight="1">
      <c r="A270" s="369"/>
      <c r="B270" s="370"/>
      <c r="K270" s="378"/>
      <c r="M270" s="385"/>
    </row>
    <row r="271" spans="1:13" s="379" customFormat="1" ht="25" customHeight="1">
      <c r="A271" s="369"/>
      <c r="B271" s="370"/>
      <c r="K271" s="378"/>
      <c r="M271" s="385"/>
    </row>
    <row r="272" spans="1:13" s="379" customFormat="1" ht="25" customHeight="1">
      <c r="A272" s="369"/>
      <c r="B272" s="370"/>
      <c r="K272" s="378"/>
      <c r="M272" s="385"/>
    </row>
    <row r="273" spans="1:13" s="379" customFormat="1" ht="25" customHeight="1">
      <c r="A273" s="369"/>
      <c r="B273" s="370"/>
      <c r="K273" s="378"/>
      <c r="M273" s="385"/>
    </row>
    <row r="274" spans="1:13" s="379" customFormat="1" ht="25" customHeight="1">
      <c r="A274" s="369"/>
      <c r="B274" s="370"/>
      <c r="K274" s="378"/>
      <c r="M274" s="385"/>
    </row>
    <row r="275" spans="1:13" s="379" customFormat="1" ht="25" customHeight="1">
      <c r="A275" s="369"/>
      <c r="B275" s="370"/>
      <c r="K275" s="378"/>
      <c r="M275" s="385"/>
    </row>
    <row r="276" spans="1:13" s="379" customFormat="1" ht="25" customHeight="1">
      <c r="A276" s="369"/>
      <c r="B276" s="370"/>
      <c r="K276" s="378"/>
      <c r="M276" s="385"/>
    </row>
    <row r="277" spans="1:13" s="379" customFormat="1" ht="25" customHeight="1">
      <c r="A277" s="369"/>
      <c r="B277" s="370"/>
      <c r="K277" s="378"/>
      <c r="M277" s="385"/>
    </row>
    <row r="278" spans="1:13" s="379" customFormat="1" ht="25" customHeight="1">
      <c r="A278" s="369"/>
      <c r="B278" s="370"/>
      <c r="K278" s="378"/>
      <c r="M278" s="385"/>
    </row>
    <row r="279" spans="1:13" s="379" customFormat="1" ht="25" customHeight="1">
      <c r="A279" s="369"/>
      <c r="B279" s="370"/>
      <c r="K279" s="378"/>
      <c r="M279" s="385"/>
    </row>
    <row r="280" spans="1:13" s="379" customFormat="1" ht="25" customHeight="1">
      <c r="A280" s="369"/>
      <c r="B280" s="370"/>
      <c r="K280" s="378"/>
      <c r="M280" s="385"/>
    </row>
    <row r="281" spans="1:13" s="379" customFormat="1" ht="25" customHeight="1">
      <c r="A281" s="369"/>
      <c r="B281" s="370"/>
      <c r="K281" s="378"/>
      <c r="M281" s="385"/>
    </row>
    <row r="282" spans="1:13" s="379" customFormat="1" ht="25" customHeight="1">
      <c r="A282" s="369"/>
      <c r="B282" s="370"/>
      <c r="K282" s="378"/>
      <c r="M282" s="385"/>
    </row>
    <row r="283" spans="1:13" s="379" customFormat="1" ht="25" customHeight="1">
      <c r="A283" s="369"/>
      <c r="B283" s="370"/>
      <c r="K283" s="378"/>
      <c r="M283" s="385"/>
    </row>
    <row r="284" spans="1:13" s="379" customFormat="1" ht="25" customHeight="1">
      <c r="A284" s="369"/>
      <c r="B284" s="370"/>
      <c r="K284" s="378"/>
      <c r="M284" s="385"/>
    </row>
    <row r="285" spans="1:13" s="379" customFormat="1" ht="25" customHeight="1">
      <c r="A285" s="369"/>
      <c r="B285" s="370"/>
      <c r="K285" s="378"/>
      <c r="M285" s="385"/>
    </row>
    <row r="286" spans="1:13" s="379" customFormat="1" ht="25" customHeight="1">
      <c r="A286" s="369"/>
      <c r="B286" s="370"/>
      <c r="K286" s="378"/>
      <c r="M286" s="385"/>
    </row>
    <row r="287" spans="1:13" s="379" customFormat="1" ht="25" customHeight="1">
      <c r="A287" s="369"/>
      <c r="B287" s="370"/>
      <c r="K287" s="378"/>
      <c r="M287" s="385"/>
    </row>
    <row r="288" spans="1:13" s="379" customFormat="1" ht="25" customHeight="1">
      <c r="A288" s="369"/>
      <c r="B288" s="370"/>
      <c r="K288" s="378"/>
      <c r="M288" s="385"/>
    </row>
    <row r="289" spans="1:13" s="379" customFormat="1" ht="25" customHeight="1">
      <c r="A289" s="369"/>
      <c r="B289" s="370"/>
      <c r="K289" s="378"/>
      <c r="M289" s="385"/>
    </row>
    <row r="301" spans="1:13" ht="25" customHeight="1">
      <c r="B301" s="386"/>
      <c r="C301" s="190"/>
      <c r="D301" s="163"/>
    </row>
  </sheetData>
  <sheetProtection algorithmName="SHA-512" hashValue="Kl2XUkFivvUnrSmoWiumU/345pJfe/TbmZ4t2PulLH8sTmq/MMPc12pzbxfwL6MT1jPfFagWEogSqLEgond9vg==" saltValue="3SqY0IAuLxq/pGCPN75wTQ==" spinCount="100000" sheet="1" selectLockedCells="1"/>
  <mergeCells count="11">
    <mergeCell ref="B164:G166"/>
    <mergeCell ref="B167:F167"/>
    <mergeCell ref="B192:G194"/>
    <mergeCell ref="B124:G126"/>
    <mergeCell ref="B4:C4"/>
    <mergeCell ref="B30:G32"/>
    <mergeCell ref="B95:G97"/>
    <mergeCell ref="B109:G111"/>
    <mergeCell ref="B15:L17"/>
    <mergeCell ref="B18:F18"/>
    <mergeCell ref="B23:E23"/>
  </mergeCells>
  <conditionalFormatting sqref="I25:I26 K25:K26">
    <cfRule type="cellIs" dxfId="12" priority="1" operator="greaterThan">
      <formula>0</formula>
    </cfRule>
  </conditionalFormatting>
  <conditionalFormatting sqref="I41:I54 K41:K54 I62:I71 K62:K71 I89:I91 K89:K91 I103:I104 K103:K104 I117:I119 K117:K119 J118:J119">
    <cfRule type="cellIs" dxfId="11" priority="5" operator="greaterThan">
      <formula>0</formula>
    </cfRule>
  </conditionalFormatting>
  <conditionalFormatting sqref="I79:I83 K79:K83">
    <cfRule type="cellIs" dxfId="10" priority="3" operator="greaterThan">
      <formula>0</formula>
    </cfRule>
  </conditionalFormatting>
  <hyperlinks>
    <hyperlink ref="B10" r:id="rId1" xr:uid="{00000000-0004-0000-0600-000000000000}"/>
    <hyperlink ref="B199" r:id="rId2" xr:uid="{00000000-0004-0000-0600-000003000000}"/>
    <hyperlink ref="B23" location="'SEK - Safesprings tjänster 2023'!I80" display="Central blocklagring kan köpas till instanserna. Se &quot;Central blocklagring&quot; i prislistan." xr:uid="{84750334-599D-7D4F-81A8-FCE32CC5104E}"/>
  </hyperlinks>
  <pageMargins left="0" right="0" top="0" bottom="0" header="0.511811023622047" footer="0"/>
  <pageSetup paperSize="9" orientation="portrait" horizontalDpi="300" verticalDpi="300"/>
  <headerFooter>
    <oddFooter>&amp;C&amp;P av &amp;N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76"/>
  <sheetViews>
    <sheetView topLeftCell="A47" zoomScaleNormal="100" workbookViewId="0">
      <selection activeCell="I66" sqref="I66"/>
    </sheetView>
  </sheetViews>
  <sheetFormatPr baseColWidth="10" defaultColWidth="17.5" defaultRowHeight="30" customHeight="1"/>
  <cols>
    <col min="1" max="1" width="10.1640625" style="841" customWidth="1"/>
    <col min="2" max="3" width="17.5" style="841"/>
    <col min="4" max="4" width="17.5" style="842"/>
    <col min="5" max="6" width="23.1640625" style="841" customWidth="1"/>
    <col min="7" max="7" width="22.5" style="843" customWidth="1"/>
    <col min="8" max="16384" width="17.5" style="841"/>
  </cols>
  <sheetData>
    <row r="1" spans="2:14" s="844" customFormat="1" ht="30" customHeight="1">
      <c r="B1" s="845"/>
      <c r="D1" s="846"/>
      <c r="G1" s="847"/>
      <c r="L1" s="848"/>
      <c r="N1" s="846"/>
    </row>
    <row r="2" spans="2:14" s="849" customFormat="1" ht="30" customHeight="1">
      <c r="B2" s="850" t="s">
        <v>140</v>
      </c>
      <c r="C2" s="851"/>
      <c r="D2" s="852" t="s">
        <v>582</v>
      </c>
      <c r="E2" s="852" t="s">
        <v>583</v>
      </c>
      <c r="F2" s="852" t="s">
        <v>584</v>
      </c>
      <c r="G2" s="853" t="s">
        <v>585</v>
      </c>
      <c r="I2" s="851" t="s">
        <v>586</v>
      </c>
      <c r="J2" s="852"/>
      <c r="K2" s="852"/>
    </row>
    <row r="3" spans="2:14" s="844" customFormat="1" ht="30" customHeight="1">
      <c r="B3" s="854" t="s">
        <v>587</v>
      </c>
      <c r="C3" s="28"/>
      <c r="D3" s="855">
        <v>55</v>
      </c>
      <c r="E3" s="856">
        <f>D3*SEK</f>
        <v>55</v>
      </c>
      <c r="F3" s="857">
        <f>D3*EUR</f>
        <v>5.17</v>
      </c>
      <c r="G3" s="856">
        <f t="shared" ref="G3:G9" si="0">(D3*(1+Safespring.price.increase))*(1+sunet.price.increase)</f>
        <v>55</v>
      </c>
      <c r="I3" s="858" t="s">
        <v>488</v>
      </c>
      <c r="J3" s="859"/>
      <c r="K3" s="860">
        <v>1</v>
      </c>
    </row>
    <row r="4" spans="2:14" s="844" customFormat="1" ht="30" customHeight="1">
      <c r="B4" s="861" t="s">
        <v>588</v>
      </c>
      <c r="C4" s="862"/>
      <c r="D4" s="855">
        <v>3.6</v>
      </c>
      <c r="E4" s="863">
        <f>D4*SEK</f>
        <v>3.6</v>
      </c>
      <c r="F4" s="864">
        <f>D4*EUR</f>
        <v>0.33840000000000003</v>
      </c>
      <c r="G4" s="865">
        <f t="shared" si="0"/>
        <v>3.6</v>
      </c>
      <c r="I4" s="866" t="s">
        <v>584</v>
      </c>
      <c r="K4" s="867">
        <v>9.4E-2</v>
      </c>
      <c r="L4" s="844" t="s">
        <v>589</v>
      </c>
    </row>
    <row r="5" spans="2:14" s="844" customFormat="1" ht="30" customHeight="1">
      <c r="B5" s="854" t="s">
        <v>590</v>
      </c>
      <c r="C5" s="28"/>
      <c r="D5" s="855">
        <v>80</v>
      </c>
      <c r="E5" s="856">
        <f>D5*SEK</f>
        <v>80</v>
      </c>
      <c r="F5" s="857">
        <f>D5*EUR</f>
        <v>7.52</v>
      </c>
      <c r="G5" s="856">
        <f t="shared" si="0"/>
        <v>80</v>
      </c>
      <c r="I5" s="858" t="s">
        <v>591</v>
      </c>
      <c r="J5" s="859"/>
      <c r="K5" s="868">
        <v>1</v>
      </c>
    </row>
    <row r="6" spans="2:14" s="844" customFormat="1" ht="30" customHeight="1">
      <c r="B6" s="861" t="s">
        <v>592</v>
      </c>
      <c r="C6" s="862"/>
      <c r="D6" s="855">
        <v>1</v>
      </c>
      <c r="E6" s="863">
        <f>D6*SEK</f>
        <v>1</v>
      </c>
      <c r="F6" s="864">
        <f>D6*EUR</f>
        <v>9.4E-2</v>
      </c>
      <c r="G6" s="863">
        <f t="shared" si="0"/>
        <v>1</v>
      </c>
      <c r="I6" s="869"/>
      <c r="J6" s="870"/>
      <c r="K6" s="869"/>
    </row>
    <row r="7" spans="2:14" s="844" customFormat="1" ht="30" customHeight="1">
      <c r="B7" s="854" t="s">
        <v>593</v>
      </c>
      <c r="C7" s="28"/>
      <c r="D7" s="855">
        <v>5500</v>
      </c>
      <c r="E7" s="856">
        <f>D7*SEK</f>
        <v>5500</v>
      </c>
      <c r="F7" s="857">
        <f>D7*EUR</f>
        <v>517</v>
      </c>
      <c r="G7" s="856">
        <f t="shared" si="0"/>
        <v>5500</v>
      </c>
      <c r="J7" s="848"/>
    </row>
    <row r="8" spans="2:14" s="844" customFormat="1" ht="30" customHeight="1">
      <c r="B8" s="861" t="s">
        <v>594</v>
      </c>
      <c r="C8" s="862"/>
      <c r="D8" s="855">
        <v>2.66</v>
      </c>
      <c r="E8" s="863">
        <f>D8*IAAS_vcpu_SEK*SEK</f>
        <v>212.8</v>
      </c>
      <c r="F8" s="864">
        <f>D8*IAAS_vcpu_SEK*EUR</f>
        <v>20.0032</v>
      </c>
      <c r="G8" s="863">
        <f t="shared" si="0"/>
        <v>2.66</v>
      </c>
      <c r="I8" s="850" t="s">
        <v>595</v>
      </c>
      <c r="J8" s="871" t="s">
        <v>34</v>
      </c>
      <c r="K8" s="852" t="s">
        <v>69</v>
      </c>
    </row>
    <row r="9" spans="2:14" s="844" customFormat="1" ht="30" customHeight="1">
      <c r="B9" s="854" t="s">
        <v>596</v>
      </c>
      <c r="C9" s="28"/>
      <c r="D9" s="855">
        <v>2020</v>
      </c>
      <c r="E9" s="872">
        <f>D9*SEK</f>
        <v>2020</v>
      </c>
      <c r="F9" s="873">
        <f>D9*EUR</f>
        <v>189.88</v>
      </c>
      <c r="G9" s="856">
        <f t="shared" si="0"/>
        <v>2020</v>
      </c>
      <c r="I9" s="874" t="s">
        <v>597</v>
      </c>
      <c r="J9" s="875"/>
      <c r="K9" s="876">
        <f>J9*IAAS_vcpu_SEK</f>
        <v>0</v>
      </c>
    </row>
    <row r="10" spans="2:14" s="844" customFormat="1" ht="30" customHeight="1">
      <c r="B10" s="861" t="s">
        <v>627</v>
      </c>
      <c r="C10" s="862"/>
      <c r="D10" s="855">
        <v>10904</v>
      </c>
      <c r="E10" s="877">
        <f>D10*SEK</f>
        <v>10904</v>
      </c>
      <c r="F10" s="878">
        <f>D10*EUR</f>
        <v>1024.9760000000001</v>
      </c>
      <c r="G10" s="863">
        <f t="shared" ref="G10:G11" si="1">(D10*(1+Safespring.price.increase))*(1+sunet.price.increase)</f>
        <v>10904</v>
      </c>
      <c r="I10" s="879" t="s">
        <v>598</v>
      </c>
      <c r="J10" s="875"/>
      <c r="K10" s="880">
        <f>J10*IAAS_ram_SEK</f>
        <v>0</v>
      </c>
    </row>
    <row r="11" spans="2:14" s="881" customFormat="1" ht="30" customHeight="1">
      <c r="B11" s="854"/>
      <c r="C11" s="28"/>
      <c r="D11" s="855"/>
      <c r="E11" s="872">
        <f>D11*SEK</f>
        <v>0</v>
      </c>
      <c r="F11" s="873">
        <f>D11*EUR</f>
        <v>0</v>
      </c>
      <c r="G11" s="856">
        <f t="shared" si="1"/>
        <v>0</v>
      </c>
      <c r="I11" s="882" t="s">
        <v>521</v>
      </c>
      <c r="J11" s="883"/>
      <c r="K11" s="884">
        <f>SUM(K9:K10)</f>
        <v>0</v>
      </c>
    </row>
    <row r="12" spans="2:14" s="844" customFormat="1" ht="30" customHeight="1">
      <c r="B12" s="885"/>
      <c r="C12" s="886"/>
      <c r="D12" s="887"/>
      <c r="E12" s="887"/>
      <c r="F12" s="887"/>
      <c r="G12" s="888"/>
      <c r="L12" s="848"/>
      <c r="N12" s="841"/>
    </row>
    <row r="13" spans="2:14" ht="30" customHeight="1">
      <c r="B13" s="850" t="s">
        <v>599</v>
      </c>
      <c r="C13" s="851"/>
      <c r="D13" s="852" t="s">
        <v>582</v>
      </c>
      <c r="E13" s="852" t="s">
        <v>488</v>
      </c>
      <c r="F13" s="852" t="s">
        <v>584</v>
      </c>
      <c r="G13" s="853" t="s">
        <v>600</v>
      </c>
      <c r="I13" s="844"/>
      <c r="J13" s="844"/>
      <c r="K13" s="844"/>
      <c r="L13" s="889"/>
    </row>
    <row r="14" spans="2:14" ht="30" customHeight="1">
      <c r="B14" s="854" t="s">
        <v>334</v>
      </c>
      <c r="C14" s="28"/>
      <c r="D14" s="890">
        <f>INSTANCE_p1.4xlarge.16d_SEK/2</f>
        <v>6840</v>
      </c>
      <c r="E14" s="856">
        <f>D14*SEK</f>
        <v>6840</v>
      </c>
      <c r="F14" s="857">
        <f>D14*EUR</f>
        <v>642.96</v>
      </c>
      <c r="G14" s="891"/>
      <c r="I14" s="844"/>
      <c r="J14" s="844"/>
      <c r="K14" s="844"/>
    </row>
    <row r="15" spans="2:14" s="892" customFormat="1" ht="30" customHeight="1">
      <c r="B15" s="861" t="s">
        <v>336</v>
      </c>
      <c r="C15" s="862"/>
      <c r="D15" s="893">
        <v>13680</v>
      </c>
      <c r="E15" s="863">
        <f>D15*SEK</f>
        <v>13680</v>
      </c>
      <c r="F15" s="864">
        <f>D15*EUR</f>
        <v>1285.92</v>
      </c>
      <c r="G15" s="865"/>
      <c r="I15" s="844"/>
      <c r="J15" s="844"/>
      <c r="K15" s="844"/>
    </row>
    <row r="16" spans="2:14" ht="30" customHeight="1">
      <c r="B16" s="854" t="s">
        <v>337</v>
      </c>
      <c r="C16" s="28"/>
      <c r="D16" s="890">
        <f>INSTANCE_p1.4xlarge.16d_SEK*2</f>
        <v>27360</v>
      </c>
      <c r="E16" s="856">
        <f>D16*SEK</f>
        <v>27360</v>
      </c>
      <c r="F16" s="857">
        <f>D16*EUR</f>
        <v>2571.84</v>
      </c>
      <c r="G16" s="891"/>
      <c r="I16" s="844"/>
      <c r="J16" s="844"/>
      <c r="K16" s="844"/>
    </row>
    <row r="17" spans="2:7" s="892" customFormat="1" ht="30" customHeight="1">
      <c r="B17" s="869"/>
      <c r="C17" s="869"/>
      <c r="D17" s="894"/>
      <c r="E17" s="869"/>
      <c r="F17" s="869"/>
      <c r="G17" s="895"/>
    </row>
    <row r="18" spans="2:7" ht="30" customHeight="1">
      <c r="B18" s="850" t="s">
        <v>140</v>
      </c>
      <c r="C18" s="851"/>
      <c r="D18" s="852" t="s">
        <v>582</v>
      </c>
      <c r="E18" s="852" t="s">
        <v>488</v>
      </c>
      <c r="F18" s="852" t="s">
        <v>584</v>
      </c>
      <c r="G18" s="853" t="s">
        <v>600</v>
      </c>
    </row>
    <row r="19" spans="2:7" s="892" customFormat="1" ht="30" customHeight="1">
      <c r="B19" s="854" t="s">
        <v>340</v>
      </c>
      <c r="C19" s="28"/>
      <c r="D19" s="855">
        <v>1.2</v>
      </c>
      <c r="E19" s="856">
        <f>D19*SEK</f>
        <v>1.2</v>
      </c>
      <c r="F19" s="857">
        <f>D19*EUR</f>
        <v>0.1128</v>
      </c>
      <c r="G19" s="891">
        <f>(D19*(1+Safespring.price.increase))*(1+sunet.price.increase)</f>
        <v>1.2</v>
      </c>
    </row>
    <row r="20" spans="2:7" ht="30" customHeight="1">
      <c r="B20" s="861" t="s">
        <v>341</v>
      </c>
      <c r="C20" s="862"/>
      <c r="D20" s="855">
        <v>3.6</v>
      </c>
      <c r="E20" s="863">
        <f>D20*SEK</f>
        <v>3.6</v>
      </c>
      <c r="F20" s="864">
        <f>D20*EUR</f>
        <v>0.33840000000000003</v>
      </c>
      <c r="G20" s="865">
        <f>(D20*(1+Safespring.price.increase))*(1+sunet.price.increase)</f>
        <v>3.6</v>
      </c>
    </row>
    <row r="21" spans="2:7" s="892" customFormat="1" ht="30" customHeight="1">
      <c r="B21" s="896"/>
      <c r="C21" s="896"/>
      <c r="D21" s="897"/>
      <c r="E21" s="896"/>
      <c r="F21" s="896"/>
      <c r="G21" s="898"/>
    </row>
    <row r="22" spans="2:7" ht="30" customHeight="1">
      <c r="B22" s="850" t="s">
        <v>142</v>
      </c>
      <c r="C22" s="851"/>
      <c r="D22" s="852" t="s">
        <v>582</v>
      </c>
      <c r="E22" s="852" t="s">
        <v>488</v>
      </c>
      <c r="F22" s="852" t="s">
        <v>584</v>
      </c>
      <c r="G22" s="853" t="s">
        <v>600</v>
      </c>
    </row>
    <row r="23" spans="2:7" ht="30" customHeight="1">
      <c r="B23" s="854" t="s">
        <v>601</v>
      </c>
      <c r="C23" s="28"/>
      <c r="D23" s="855">
        <v>2.4500000000000002</v>
      </c>
      <c r="E23" s="856">
        <f>D23*SEK</f>
        <v>2.4500000000000002</v>
      </c>
      <c r="F23" s="857">
        <f>D23*EUR</f>
        <v>0.2303</v>
      </c>
      <c r="G23" s="891"/>
    </row>
    <row r="24" spans="2:7" ht="30" customHeight="1">
      <c r="B24" s="861" t="s">
        <v>602</v>
      </c>
      <c r="C24" s="862"/>
      <c r="D24" s="899">
        <v>5500</v>
      </c>
      <c r="E24" s="863">
        <f>D24*SEK</f>
        <v>5500</v>
      </c>
      <c r="F24" s="864">
        <f>D24*EUR</f>
        <v>517</v>
      </c>
      <c r="G24" s="865"/>
    </row>
    <row r="25" spans="2:7" ht="30" customHeight="1">
      <c r="B25" s="854" t="s">
        <v>603</v>
      </c>
      <c r="C25" s="28"/>
      <c r="D25" s="855">
        <v>9500</v>
      </c>
      <c r="E25" s="856">
        <f>D25*SEK</f>
        <v>9500</v>
      </c>
      <c r="F25" s="857">
        <f>D25*EUR</f>
        <v>893</v>
      </c>
      <c r="G25" s="891"/>
    </row>
    <row r="26" spans="2:7" ht="30" customHeight="1">
      <c r="B26" s="861" t="s">
        <v>604</v>
      </c>
      <c r="C26" s="862"/>
      <c r="D26" s="899">
        <v>1.75</v>
      </c>
      <c r="E26" s="863">
        <f>D26*SEK</f>
        <v>1.75</v>
      </c>
      <c r="F26" s="864">
        <f>D26*EUR</f>
        <v>0.16450000000000001</v>
      </c>
      <c r="G26" s="865"/>
    </row>
    <row r="27" spans="2:7" ht="30" customHeight="1">
      <c r="B27" s="854" t="s">
        <v>605</v>
      </c>
      <c r="C27" s="28"/>
      <c r="D27" s="855">
        <v>0.92</v>
      </c>
      <c r="E27" s="856">
        <f>D27*SEK</f>
        <v>0.92</v>
      </c>
      <c r="F27" s="857">
        <f>D27*EUR</f>
        <v>8.6480000000000001E-2</v>
      </c>
      <c r="G27" s="891"/>
    </row>
    <row r="28" spans="2:7" ht="30" customHeight="1">
      <c r="B28" s="900"/>
      <c r="C28" s="900"/>
      <c r="D28" s="900"/>
      <c r="E28" s="900"/>
      <c r="F28" s="900"/>
      <c r="G28" s="901"/>
    </row>
    <row r="29" spans="2:7" ht="30" customHeight="1">
      <c r="B29" s="850" t="s">
        <v>141</v>
      </c>
      <c r="C29" s="851"/>
      <c r="D29" s="852" t="s">
        <v>582</v>
      </c>
      <c r="E29" s="852" t="s">
        <v>488</v>
      </c>
      <c r="F29" s="852" t="s">
        <v>584</v>
      </c>
      <c r="G29" s="853" t="s">
        <v>600</v>
      </c>
    </row>
    <row r="30" spans="2:7" ht="30" customHeight="1">
      <c r="B30" s="854" t="s">
        <v>606</v>
      </c>
      <c r="C30" s="28"/>
      <c r="D30" s="902">
        <v>500</v>
      </c>
      <c r="E30" s="856">
        <f>D30*SEK</f>
        <v>500</v>
      </c>
      <c r="F30" s="857">
        <f>D30*EUR</f>
        <v>47</v>
      </c>
      <c r="G30" s="891">
        <v>0.35</v>
      </c>
    </row>
    <row r="31" spans="2:7" ht="30" customHeight="1">
      <c r="B31" s="903" t="s">
        <v>607</v>
      </c>
      <c r="C31" s="862"/>
      <c r="D31" s="902">
        <v>500</v>
      </c>
      <c r="E31" s="863">
        <f>D31*SEK</f>
        <v>500</v>
      </c>
      <c r="F31" s="864">
        <f>D31*EUR</f>
        <v>47</v>
      </c>
      <c r="G31" s="865">
        <v>0.19</v>
      </c>
    </row>
    <row r="32" spans="2:7" ht="30" customHeight="1">
      <c r="B32" s="854" t="s">
        <v>608</v>
      </c>
      <c r="C32" s="28"/>
      <c r="D32" s="902">
        <v>500</v>
      </c>
      <c r="E32" s="856">
        <f>D32*SEK</f>
        <v>500</v>
      </c>
      <c r="F32" s="857">
        <f>D32*EUR</f>
        <v>47</v>
      </c>
      <c r="G32" s="891">
        <v>0.1</v>
      </c>
    </row>
    <row r="33" spans="2:7" ht="30" customHeight="1">
      <c r="B33" s="903" t="s">
        <v>609</v>
      </c>
      <c r="C33" s="862"/>
      <c r="D33" s="902">
        <v>500</v>
      </c>
      <c r="E33" s="863">
        <f>D33*SEK</f>
        <v>500</v>
      </c>
      <c r="F33" s="864">
        <f>D33*EUR</f>
        <v>47</v>
      </c>
      <c r="G33" s="865">
        <v>0.06</v>
      </c>
    </row>
    <row r="34" spans="2:7" ht="30" customHeight="1">
      <c r="B34" s="854" t="s">
        <v>610</v>
      </c>
      <c r="C34" s="28"/>
      <c r="D34" s="902" t="s">
        <v>611</v>
      </c>
      <c r="E34" s="904" t="str">
        <f>D34</f>
        <v>Be om offert</v>
      </c>
      <c r="F34" s="905" t="s">
        <v>115</v>
      </c>
      <c r="G34" s="891" t="str">
        <f>S3_storage.quote_SEK</f>
        <v>Be om offert</v>
      </c>
    </row>
    <row r="35" spans="2:7" ht="30" customHeight="1">
      <c r="B35" s="903" t="s">
        <v>612</v>
      </c>
      <c r="C35" s="862"/>
      <c r="D35" s="902">
        <v>350</v>
      </c>
      <c r="E35" s="863">
        <f>D35*SEK</f>
        <v>350</v>
      </c>
      <c r="F35" s="864">
        <f>D35*EUR</f>
        <v>32.9</v>
      </c>
      <c r="G35" s="865">
        <v>0.35</v>
      </c>
    </row>
    <row r="36" spans="2:7" ht="30" customHeight="1">
      <c r="B36" s="854" t="s">
        <v>613</v>
      </c>
      <c r="C36" s="28"/>
      <c r="D36" s="902">
        <v>270</v>
      </c>
      <c r="E36" s="856">
        <f>D36*SEK</f>
        <v>270</v>
      </c>
      <c r="F36" s="857">
        <f>D36*EUR</f>
        <v>25.38</v>
      </c>
      <c r="G36" s="891">
        <v>0.19</v>
      </c>
    </row>
    <row r="37" spans="2:7" ht="30" customHeight="1">
      <c r="B37" s="903" t="s">
        <v>614</v>
      </c>
      <c r="C37" s="862"/>
      <c r="D37" s="902">
        <v>200</v>
      </c>
      <c r="E37" s="863">
        <f>D37*SEK</f>
        <v>200</v>
      </c>
      <c r="F37" s="864">
        <f>D37*EUR</f>
        <v>18.8</v>
      </c>
      <c r="G37" s="865">
        <v>0.1</v>
      </c>
    </row>
    <row r="38" spans="2:7" ht="30" customHeight="1">
      <c r="B38" s="854" t="s">
        <v>615</v>
      </c>
      <c r="C38" s="28"/>
      <c r="D38" s="902">
        <v>185</v>
      </c>
      <c r="E38" s="856">
        <f>D38*SEK</f>
        <v>185</v>
      </c>
      <c r="F38" s="857">
        <f>D38*EUR</f>
        <v>17.39</v>
      </c>
      <c r="G38" s="891">
        <v>0.06</v>
      </c>
    </row>
    <row r="39" spans="2:7" ht="30" customHeight="1">
      <c r="B39" s="903" t="s">
        <v>616</v>
      </c>
      <c r="C39" s="862"/>
      <c r="D39" s="902" t="s">
        <v>611</v>
      </c>
      <c r="E39" s="906" t="str">
        <f>D39</f>
        <v>Be om offert</v>
      </c>
      <c r="F39" s="907" t="s">
        <v>115</v>
      </c>
      <c r="G39" s="865" t="str">
        <f>S3_storage.quote_SEK</f>
        <v>Be om offert</v>
      </c>
    </row>
    <row r="40" spans="2:7" ht="30" customHeight="1">
      <c r="B40" s="900"/>
      <c r="C40" s="900"/>
      <c r="D40" s="900"/>
      <c r="E40" s="900"/>
      <c r="F40" s="900"/>
      <c r="G40" s="901"/>
    </row>
    <row r="41" spans="2:7" ht="30" customHeight="1">
      <c r="B41" s="850" t="s">
        <v>200</v>
      </c>
      <c r="C41" s="851"/>
      <c r="D41" s="852" t="s">
        <v>582</v>
      </c>
      <c r="E41" s="852" t="s">
        <v>488</v>
      </c>
      <c r="F41" s="852" t="s">
        <v>584</v>
      </c>
      <c r="G41" s="853" t="s">
        <v>600</v>
      </c>
    </row>
    <row r="42" spans="2:7" ht="30" customHeight="1">
      <c r="B42" s="854" t="s">
        <v>361</v>
      </c>
      <c r="C42" s="28"/>
      <c r="D42" s="855">
        <v>25</v>
      </c>
      <c r="E42" s="856">
        <f>D42*SEK</f>
        <v>25</v>
      </c>
      <c r="F42" s="857">
        <f t="shared" ref="F42:F47" si="2">D42*EUR</f>
        <v>2.35</v>
      </c>
      <c r="G42" s="891" t="s">
        <v>19</v>
      </c>
    </row>
    <row r="43" spans="2:7" ht="30" customHeight="1">
      <c r="B43" s="861" t="s">
        <v>362</v>
      </c>
      <c r="C43" s="862"/>
      <c r="D43" s="855">
        <v>0</v>
      </c>
      <c r="E43" s="863">
        <f>D43*SEK</f>
        <v>0</v>
      </c>
      <c r="F43" s="864">
        <f t="shared" si="2"/>
        <v>0</v>
      </c>
      <c r="G43" s="865" t="s">
        <v>19</v>
      </c>
    </row>
    <row r="44" spans="2:7" ht="30" customHeight="1">
      <c r="B44" s="854" t="s">
        <v>363</v>
      </c>
      <c r="C44" s="28"/>
      <c r="D44" s="855">
        <v>0</v>
      </c>
      <c r="E44" s="856">
        <f>D44*SEK</f>
        <v>0</v>
      </c>
      <c r="F44" s="857">
        <f t="shared" si="2"/>
        <v>0</v>
      </c>
      <c r="G44" s="891" t="s">
        <v>19</v>
      </c>
    </row>
    <row r="45" spans="2:7" ht="30" customHeight="1">
      <c r="B45" s="861" t="s">
        <v>364</v>
      </c>
      <c r="C45" s="862"/>
      <c r="D45" s="855">
        <v>0</v>
      </c>
      <c r="E45" s="863">
        <f>D45*SEK</f>
        <v>0</v>
      </c>
      <c r="F45" s="864">
        <f t="shared" si="2"/>
        <v>0</v>
      </c>
      <c r="G45" s="865" t="s">
        <v>19</v>
      </c>
    </row>
    <row r="46" spans="2:7" ht="30" customHeight="1">
      <c r="B46" s="854" t="s">
        <v>366</v>
      </c>
      <c r="C46" s="28"/>
      <c r="D46" s="855">
        <v>275</v>
      </c>
      <c r="E46" s="904">
        <f>D46</f>
        <v>275</v>
      </c>
      <c r="F46" s="905">
        <f t="shared" si="2"/>
        <v>25.85</v>
      </c>
      <c r="G46" s="891" t="s">
        <v>19</v>
      </c>
    </row>
    <row r="47" spans="2:7" ht="30" customHeight="1">
      <c r="B47" s="861" t="s">
        <v>368</v>
      </c>
      <c r="C47" s="862"/>
      <c r="D47" s="855">
        <v>0</v>
      </c>
      <c r="E47" s="863">
        <f>D47*SEK</f>
        <v>0</v>
      </c>
      <c r="F47" s="864">
        <f t="shared" si="2"/>
        <v>0</v>
      </c>
      <c r="G47" s="865" t="s">
        <v>19</v>
      </c>
    </row>
    <row r="48" spans="2:7" ht="30" customHeight="1">
      <c r="B48" s="854" t="s">
        <v>617</v>
      </c>
      <c r="C48" s="28"/>
      <c r="D48" s="855" t="s">
        <v>214</v>
      </c>
      <c r="E48" s="904" t="str">
        <f>D48</f>
        <v>Begär offert</v>
      </c>
      <c r="F48" s="908" t="s">
        <v>115</v>
      </c>
      <c r="G48" s="904" t="str">
        <f>S3_storage.quote_SEK</f>
        <v>Be om offert</v>
      </c>
    </row>
    <row r="49" spans="2:7" ht="30" customHeight="1">
      <c r="B49" s="861" t="s">
        <v>369</v>
      </c>
      <c r="C49" s="862"/>
      <c r="D49" s="899">
        <v>0</v>
      </c>
      <c r="E49" s="863">
        <f>D49*SEK</f>
        <v>0</v>
      </c>
      <c r="F49" s="864">
        <f>D49*EUR</f>
        <v>0</v>
      </c>
      <c r="G49" s="865" t="s">
        <v>19</v>
      </c>
    </row>
    <row r="50" spans="2:7" ht="30" customHeight="1">
      <c r="B50" s="896"/>
      <c r="C50" s="896"/>
      <c r="D50" s="897"/>
      <c r="E50" s="896"/>
      <c r="F50" s="896"/>
      <c r="G50" s="898"/>
    </row>
    <row r="51" spans="2:7" ht="30" customHeight="1">
      <c r="B51" s="850" t="s">
        <v>618</v>
      </c>
      <c r="C51" s="851"/>
      <c r="D51" s="852" t="s">
        <v>582</v>
      </c>
      <c r="E51" s="852" t="s">
        <v>488</v>
      </c>
      <c r="F51" s="852" t="s">
        <v>584</v>
      </c>
      <c r="G51" s="853" t="s">
        <v>600</v>
      </c>
    </row>
    <row r="52" spans="2:7" ht="30" customHeight="1">
      <c r="B52" s="854" t="s">
        <v>619</v>
      </c>
      <c r="C52" s="28"/>
      <c r="D52" s="855">
        <v>175</v>
      </c>
      <c r="E52" s="856">
        <f>D52*SEK</f>
        <v>175</v>
      </c>
      <c r="F52" s="857">
        <f>D52*EUR</f>
        <v>16.45</v>
      </c>
      <c r="G52" s="891" t="s">
        <v>19</v>
      </c>
    </row>
    <row r="53" spans="2:7" ht="30" customHeight="1">
      <c r="B53" s="861" t="s">
        <v>374</v>
      </c>
      <c r="C53" s="862"/>
      <c r="D53" s="855">
        <v>1229</v>
      </c>
      <c r="E53" s="863">
        <f>D53*SEK</f>
        <v>1229</v>
      </c>
      <c r="F53" s="864">
        <f>D53*EUR</f>
        <v>115.526</v>
      </c>
      <c r="G53" s="865" t="s">
        <v>19</v>
      </c>
    </row>
    <row r="54" spans="2:7" ht="30" customHeight="1">
      <c r="B54" s="854" t="s">
        <v>620</v>
      </c>
      <c r="C54" s="28"/>
      <c r="D54" s="855">
        <v>4766</v>
      </c>
      <c r="E54" s="856">
        <f>D54*SEK</f>
        <v>4766</v>
      </c>
      <c r="F54" s="857">
        <f>D54*EUR</f>
        <v>448.00400000000002</v>
      </c>
      <c r="G54" s="891" t="s">
        <v>19</v>
      </c>
    </row>
    <row r="55" spans="2:7" ht="30" customHeight="1">
      <c r="B55" s="861" t="s">
        <v>376</v>
      </c>
      <c r="C55" s="862"/>
      <c r="D55" s="855"/>
      <c r="E55" s="863" t="s">
        <v>214</v>
      </c>
      <c r="F55" s="864" t="s">
        <v>115</v>
      </c>
      <c r="G55" s="865" t="s">
        <v>19</v>
      </c>
    </row>
    <row r="56" spans="2:7" ht="30" customHeight="1">
      <c r="B56" s="854" t="s">
        <v>378</v>
      </c>
      <c r="C56" s="28"/>
      <c r="D56" s="855"/>
      <c r="E56" s="856" t="s">
        <v>214</v>
      </c>
      <c r="F56" s="857" t="s">
        <v>115</v>
      </c>
      <c r="G56" s="891" t="s">
        <v>19</v>
      </c>
    </row>
    <row r="57" spans="2:7" ht="30" customHeight="1">
      <c r="B57" s="861" t="s">
        <v>621</v>
      </c>
      <c r="C57" s="862"/>
      <c r="D57" s="855"/>
      <c r="E57" s="863" t="s">
        <v>214</v>
      </c>
      <c r="F57" s="864" t="s">
        <v>115</v>
      </c>
      <c r="G57" s="865" t="s">
        <v>19</v>
      </c>
    </row>
    <row r="58" spans="2:7" ht="30" customHeight="1">
      <c r="B58" s="854" t="s">
        <v>382</v>
      </c>
      <c r="C58" s="28"/>
      <c r="D58" s="855"/>
      <c r="E58" s="856" t="s">
        <v>622</v>
      </c>
      <c r="F58" s="857" t="s">
        <v>623</v>
      </c>
      <c r="G58" s="891" t="s">
        <v>19</v>
      </c>
    </row>
    <row r="59" spans="2:7" ht="30" customHeight="1">
      <c r="B59" s="861" t="s">
        <v>384</v>
      </c>
      <c r="C59" s="862"/>
      <c r="D59" s="855">
        <v>400</v>
      </c>
      <c r="E59" s="863">
        <f>D59*SEK</f>
        <v>400</v>
      </c>
      <c r="F59" s="864">
        <f>D59*EUR</f>
        <v>37.6</v>
      </c>
      <c r="G59" s="865" t="s">
        <v>19</v>
      </c>
    </row>
    <row r="60" spans="2:7" ht="30" customHeight="1">
      <c r="B60" s="896"/>
      <c r="C60" s="896"/>
      <c r="D60" s="897"/>
      <c r="E60" s="896"/>
      <c r="F60" s="896"/>
      <c r="G60" s="898"/>
    </row>
    <row r="61" spans="2:7" ht="30" customHeight="1">
      <c r="B61" s="850" t="s">
        <v>469</v>
      </c>
      <c r="C61" s="851"/>
      <c r="D61" s="852" t="s">
        <v>582</v>
      </c>
      <c r="E61" s="852" t="s">
        <v>488</v>
      </c>
      <c r="F61" s="852" t="s">
        <v>584</v>
      </c>
      <c r="G61" s="853" t="s">
        <v>600</v>
      </c>
    </row>
    <row r="62" spans="2:7" ht="30" customHeight="1">
      <c r="B62" s="854" t="s">
        <v>387</v>
      </c>
      <c r="C62" s="28"/>
      <c r="D62" s="855" t="s">
        <v>624</v>
      </c>
      <c r="E62" s="904" t="s">
        <v>214</v>
      </c>
      <c r="F62" s="908" t="s">
        <v>115</v>
      </c>
      <c r="G62" s="891" t="s">
        <v>19</v>
      </c>
    </row>
    <row r="63" spans="2:7" ht="30" customHeight="1">
      <c r="B63" s="861" t="s">
        <v>389</v>
      </c>
      <c r="C63" s="862"/>
      <c r="D63" s="855" t="s">
        <v>624</v>
      </c>
      <c r="E63" s="906" t="s">
        <v>214</v>
      </c>
      <c r="F63" s="907" t="s">
        <v>115</v>
      </c>
      <c r="G63" s="865" t="s">
        <v>19</v>
      </c>
    </row>
    <row r="64" spans="2:7" ht="30" customHeight="1">
      <c r="B64" s="854" t="s">
        <v>391</v>
      </c>
      <c r="C64" s="28"/>
      <c r="D64" s="855">
        <v>2</v>
      </c>
      <c r="E64" s="904">
        <f>D64</f>
        <v>2</v>
      </c>
      <c r="F64" s="908">
        <f>D64*EUR</f>
        <v>0.188</v>
      </c>
      <c r="G64" s="891" t="s">
        <v>19</v>
      </c>
    </row>
    <row r="65" spans="2:7" ht="30" customHeight="1">
      <c r="B65" s="861" t="s">
        <v>393</v>
      </c>
      <c r="C65" s="862"/>
      <c r="D65" s="855">
        <v>2</v>
      </c>
      <c r="E65" s="906">
        <f t="shared" ref="E65:E67" si="3">D65</f>
        <v>2</v>
      </c>
      <c r="F65" s="907">
        <f>D65*EUR</f>
        <v>0.188</v>
      </c>
      <c r="G65" s="865" t="s">
        <v>19</v>
      </c>
    </row>
    <row r="66" spans="2:7" ht="30" customHeight="1">
      <c r="B66" s="854" t="s">
        <v>395</v>
      </c>
      <c r="C66" s="28"/>
      <c r="D66" s="855">
        <v>2</v>
      </c>
      <c r="E66" s="904">
        <f t="shared" si="3"/>
        <v>2</v>
      </c>
      <c r="F66" s="908">
        <f>D66*EUR</f>
        <v>0.188</v>
      </c>
      <c r="G66" s="891" t="s">
        <v>19</v>
      </c>
    </row>
    <row r="67" spans="2:7" ht="30" customHeight="1">
      <c r="B67" s="861" t="s">
        <v>398</v>
      </c>
      <c r="C67" s="862"/>
      <c r="D67" s="855">
        <v>2</v>
      </c>
      <c r="E67" s="906">
        <f t="shared" si="3"/>
        <v>2</v>
      </c>
      <c r="F67" s="907">
        <f>D67*EUR</f>
        <v>0.188</v>
      </c>
      <c r="G67" s="865" t="s">
        <v>19</v>
      </c>
    </row>
    <row r="68" spans="2:7" ht="30" customHeight="1">
      <c r="B68" s="854" t="s">
        <v>625</v>
      </c>
      <c r="C68" s="28"/>
      <c r="D68" s="855">
        <v>0</v>
      </c>
      <c r="E68" s="904" t="s">
        <v>214</v>
      </c>
      <c r="F68" s="908" t="s">
        <v>115</v>
      </c>
      <c r="G68" s="891" t="s">
        <v>19</v>
      </c>
    </row>
    <row r="69" spans="2:7" ht="30" customHeight="1">
      <c r="B69" s="896"/>
      <c r="C69" s="896"/>
      <c r="D69" s="897"/>
      <c r="E69" s="896"/>
      <c r="F69" s="896"/>
      <c r="G69" s="898"/>
    </row>
    <row r="70" spans="2:7" ht="30" customHeight="1">
      <c r="B70" s="850" t="s">
        <v>221</v>
      </c>
      <c r="C70" s="851"/>
      <c r="D70" s="852" t="s">
        <v>582</v>
      </c>
      <c r="E70" s="852" t="s">
        <v>488</v>
      </c>
      <c r="F70" s="852" t="s">
        <v>584</v>
      </c>
      <c r="G70" s="853" t="s">
        <v>600</v>
      </c>
    </row>
    <row r="71" spans="2:7" ht="30" customHeight="1">
      <c r="B71" s="854" t="s">
        <v>411</v>
      </c>
      <c r="C71" s="28"/>
      <c r="D71" s="855">
        <v>1127</v>
      </c>
      <c r="E71" s="909">
        <f t="shared" ref="E71:E76" si="4">D71*SEK</f>
        <v>1127</v>
      </c>
      <c r="F71" s="910">
        <f t="shared" ref="F71:F76" si="5">D71*EUR</f>
        <v>105.938</v>
      </c>
      <c r="G71" s="891" t="s">
        <v>19</v>
      </c>
    </row>
    <row r="72" spans="2:7" ht="30" customHeight="1">
      <c r="B72" s="861" t="s">
        <v>412</v>
      </c>
      <c r="C72" s="862"/>
      <c r="D72" s="855">
        <v>1374</v>
      </c>
      <c r="E72" s="863">
        <f t="shared" si="4"/>
        <v>1374</v>
      </c>
      <c r="F72" s="911">
        <f t="shared" si="5"/>
        <v>129.15600000000001</v>
      </c>
      <c r="G72" s="865" t="s">
        <v>19</v>
      </c>
    </row>
    <row r="73" spans="2:7" ht="30" customHeight="1">
      <c r="B73" s="854" t="s">
        <v>413</v>
      </c>
      <c r="C73" s="28"/>
      <c r="D73" s="855">
        <v>1277</v>
      </c>
      <c r="E73" s="856">
        <f t="shared" si="4"/>
        <v>1277</v>
      </c>
      <c r="F73" s="912">
        <f t="shared" si="5"/>
        <v>120.038</v>
      </c>
      <c r="G73" s="891" t="s">
        <v>19</v>
      </c>
    </row>
    <row r="74" spans="2:7" ht="30" customHeight="1">
      <c r="B74" s="861" t="s">
        <v>414</v>
      </c>
      <c r="C74" s="862"/>
      <c r="D74" s="855">
        <v>1374</v>
      </c>
      <c r="E74" s="863">
        <f t="shared" si="4"/>
        <v>1374</v>
      </c>
      <c r="F74" s="911">
        <f t="shared" si="5"/>
        <v>129.15600000000001</v>
      </c>
      <c r="G74" s="865" t="s">
        <v>19</v>
      </c>
    </row>
    <row r="75" spans="2:7" ht="30" customHeight="1">
      <c r="B75" s="854" t="s">
        <v>415</v>
      </c>
      <c r="C75" s="28"/>
      <c r="D75" s="855">
        <v>1139</v>
      </c>
      <c r="E75" s="856">
        <f t="shared" si="4"/>
        <v>1139</v>
      </c>
      <c r="F75" s="912">
        <f t="shared" si="5"/>
        <v>107.066</v>
      </c>
      <c r="G75" s="891" t="s">
        <v>19</v>
      </c>
    </row>
    <row r="76" spans="2:7" ht="30" customHeight="1">
      <c r="B76" s="861" t="s">
        <v>416</v>
      </c>
      <c r="C76" s="862"/>
      <c r="D76" s="855">
        <v>1374</v>
      </c>
      <c r="E76" s="863">
        <f t="shared" si="4"/>
        <v>1374</v>
      </c>
      <c r="F76" s="911">
        <f t="shared" si="5"/>
        <v>129.15600000000001</v>
      </c>
      <c r="G76" s="865" t="s">
        <v>19</v>
      </c>
    </row>
  </sheetData>
  <conditionalFormatting sqref="D3:D11">
    <cfRule type="cellIs" dxfId="9" priority="4" operator="greaterThan">
      <formula>0</formula>
    </cfRule>
  </conditionalFormatting>
  <conditionalFormatting sqref="D15">
    <cfRule type="cellIs" dxfId="8" priority="7" operator="greaterThan">
      <formula>0</formula>
    </cfRule>
  </conditionalFormatting>
  <conditionalFormatting sqref="D19:D20">
    <cfRule type="cellIs" dxfId="7" priority="9" operator="greaterThan">
      <formula>0</formula>
    </cfRule>
  </conditionalFormatting>
  <conditionalFormatting sqref="D23:D27">
    <cfRule type="cellIs" dxfId="6" priority="6" operator="greaterThan">
      <formula>0</formula>
    </cfRule>
  </conditionalFormatting>
  <conditionalFormatting sqref="D30:D39">
    <cfRule type="cellIs" dxfId="5" priority="3" operator="greaterThan">
      <formula>0</formula>
    </cfRule>
  </conditionalFormatting>
  <conditionalFormatting sqref="D42:D49">
    <cfRule type="cellIs" dxfId="4" priority="10" operator="greaterThan">
      <formula>0</formula>
    </cfRule>
  </conditionalFormatting>
  <conditionalFormatting sqref="D52:D59">
    <cfRule type="cellIs" dxfId="3" priority="8" operator="greaterThan">
      <formula>0</formula>
    </cfRule>
  </conditionalFormatting>
  <conditionalFormatting sqref="D62:D68">
    <cfRule type="cellIs" dxfId="2" priority="2" operator="greaterThan">
      <formula>0</formula>
    </cfRule>
  </conditionalFormatting>
  <conditionalFormatting sqref="D71:D76">
    <cfRule type="cellIs" dxfId="1" priority="5" operator="greaterThan">
      <formula>0</formula>
    </cfRule>
  </conditionalFormatting>
  <conditionalFormatting sqref="J9:J10">
    <cfRule type="cellIs" dxfId="0" priority="11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8</vt:i4>
      </vt:variant>
      <vt:variant>
        <vt:lpstr>Namngivna områden</vt:lpstr>
      </vt:variant>
      <vt:variant>
        <vt:i4>162</vt:i4>
      </vt:variant>
    </vt:vector>
  </HeadingPairs>
  <TitlesOfParts>
    <vt:vector size="170" baseType="lpstr">
      <vt:lpstr>EUR - Safespring services 2025</vt:lpstr>
      <vt:lpstr>SEK - Safesprings tjänster 2025</vt:lpstr>
      <vt:lpstr>NOK - Safespring tjenester 2025</vt:lpstr>
      <vt:lpstr>EUR - Safespring services 2021</vt:lpstr>
      <vt:lpstr>NOK - Safesprings tjeneste 2021</vt:lpstr>
      <vt:lpstr>SUNET SEK - priser 2020</vt:lpstr>
      <vt:lpstr>DKK - Safespring-tjenester 2025</vt:lpstr>
      <vt:lpstr>Data</vt:lpstr>
      <vt:lpstr>BAAS_large_EUR</vt:lpstr>
      <vt:lpstr>BAAS_large_SEK</vt:lpstr>
      <vt:lpstr>BAAS_large.fee_EUR</vt:lpstr>
      <vt:lpstr>BAAS_large.fee_SEK</vt:lpstr>
      <vt:lpstr>BAAS_on.demand_EUR</vt:lpstr>
      <vt:lpstr>BAAS_on.demand_SEK</vt:lpstr>
      <vt:lpstr>BAAS_small_EUR</vt:lpstr>
      <vt:lpstr>BAAS_small_SEK</vt:lpstr>
      <vt:lpstr>BAAS_small.fee_EUR</vt:lpstr>
      <vt:lpstr>BAAS_small.fee_SEK</vt:lpstr>
      <vt:lpstr>EUR</vt:lpstr>
      <vt:lpstr>IAAS_GPU_A2_EUR</vt:lpstr>
      <vt:lpstr>IAAS_GPU_A2_SEK</vt:lpstr>
      <vt:lpstr>IAAS_gpu_EUR</vt:lpstr>
      <vt:lpstr>IAAS_GPU_H100_EUR</vt:lpstr>
      <vt:lpstr>IAAS_GPU_H100_SEK</vt:lpstr>
      <vt:lpstr>IAAS_gpu_SEK</vt:lpstr>
      <vt:lpstr>IAAS_gpu_SUNET</vt:lpstr>
      <vt:lpstr>IAAS_nvme_EUR</vt:lpstr>
      <vt:lpstr>IAAS_nvme_SEK</vt:lpstr>
      <vt:lpstr>IAAS_nvme_SUNET</vt:lpstr>
      <vt:lpstr>IAAS_pcpu_EUR</vt:lpstr>
      <vt:lpstr>IAAS_pcpu_SEK</vt:lpstr>
      <vt:lpstr>IAAS_pcpu_SUNET</vt:lpstr>
      <vt:lpstr>IAAS_ram_EUR</vt:lpstr>
      <vt:lpstr>IAAS_ram_SEK</vt:lpstr>
      <vt:lpstr>IAAS_ram_SUNET</vt:lpstr>
      <vt:lpstr>IAAS_ram_sunet_b_m</vt:lpstr>
      <vt:lpstr>IAAS_ssd_EUR</vt:lpstr>
      <vt:lpstr>IAAS_ssd_SEK</vt:lpstr>
      <vt:lpstr>IAAS_ssd_SUNET</vt:lpstr>
      <vt:lpstr>IAAS_vcpu_EUR</vt:lpstr>
      <vt:lpstr>IAAS_vcpu_SEK</vt:lpstr>
      <vt:lpstr>IAAS_vcpu_SUNET</vt:lpstr>
      <vt:lpstr>IAAS_vcpu_sunet_b_m</vt:lpstr>
      <vt:lpstr>INSTANCE_p1.2xlarge.16d_EUR</vt:lpstr>
      <vt:lpstr>INSTANCE_p1.2xlarge.16d_SEK</vt:lpstr>
      <vt:lpstr>INSTANCE_p1.4xlarge.16d_EUR</vt:lpstr>
      <vt:lpstr>INSTANCE_p1.4xlarge.16d_SEK</vt:lpstr>
      <vt:lpstr>INSTANCE_p1.8xlarge.32d_EUR</vt:lpstr>
      <vt:lpstr>INSTANCE_p1.8xlarge.32d_SEK</vt:lpstr>
      <vt:lpstr>NET_byoip_EUR</vt:lpstr>
      <vt:lpstr>NET_byoip_SEK</vt:lpstr>
      <vt:lpstr>NET_egress_EUR</vt:lpstr>
      <vt:lpstr>NET_egress_SEK</vt:lpstr>
      <vt:lpstr>NET_ingress_EUR</vt:lpstr>
      <vt:lpstr>NET_ingress_SEK</vt:lpstr>
      <vt:lpstr>NET_mgn.slb_EUR</vt:lpstr>
      <vt:lpstr>NET_mgn.slb_SEK</vt:lpstr>
      <vt:lpstr>NET_publicv4_EUR</vt:lpstr>
      <vt:lpstr>NET_publicv4_SEK</vt:lpstr>
      <vt:lpstr>NET_publicv6_EUR</vt:lpstr>
      <vt:lpstr>NET_publicv6_SEK</vt:lpstr>
      <vt:lpstr>NET_rdns_EUR</vt:lpstr>
      <vt:lpstr>NET_rdns_SEK</vt:lpstr>
      <vt:lpstr>NET_saferoute_EUR</vt:lpstr>
      <vt:lpstr>NET_saferoute_SEK</vt:lpstr>
      <vt:lpstr>NOK</vt:lpstr>
      <vt:lpstr>PAAS_man.elasticsearch_EUR</vt:lpstr>
      <vt:lpstr>PAAS_man.elasticsearch_SEK</vt:lpstr>
      <vt:lpstr>PAAS_man.kubernetes_EUR</vt:lpstr>
      <vt:lpstr>PAAS_man.kubernetes_SEK</vt:lpstr>
      <vt:lpstr>PAAS_man.kubernetes24_EUR</vt:lpstr>
      <vt:lpstr>PAAS_man.kubernetes24_SEK</vt:lpstr>
      <vt:lpstr>PAAS_man.kubernetes8_EUR</vt:lpstr>
      <vt:lpstr>PAAS_man.kubernetes8_SEK</vt:lpstr>
      <vt:lpstr>PAAS_man.mariadb_EUR</vt:lpstr>
      <vt:lpstr>PAAS_man.mariadb_SEK</vt:lpstr>
      <vt:lpstr>PAAS_man.nats_EUR</vt:lpstr>
      <vt:lpstr>PAAS_man.nats_SEK</vt:lpstr>
      <vt:lpstr>PAAS_man.postgres.sql_EUR</vt:lpstr>
      <vt:lpstr>PAAS_man.postgres.sql_SEK</vt:lpstr>
      <vt:lpstr>PAAS_man.redis_EUR</vt:lpstr>
      <vt:lpstr>PAAS_man.redis_SEK</vt:lpstr>
      <vt:lpstr>PAAS_openshift_EUR</vt:lpstr>
      <vt:lpstr>PAAS_openshift_SEK</vt:lpstr>
      <vt:lpstr>PS_cloudarch.jun_EUR</vt:lpstr>
      <vt:lpstr>PS_cloudarch.jun_SEK</vt:lpstr>
      <vt:lpstr>PS_cloudarch.sen_EUR</vt:lpstr>
      <vt:lpstr>PS_cloudarch.sen_SEK</vt:lpstr>
      <vt:lpstr>PS_consult.jun_EUR</vt:lpstr>
      <vt:lpstr>PS_consult.jun_SEK</vt:lpstr>
      <vt:lpstr>PS_consult.sen_EUR</vt:lpstr>
      <vt:lpstr>PS_consult.sen_SEK</vt:lpstr>
      <vt:lpstr>PS_pm.jun_EUR</vt:lpstr>
      <vt:lpstr>PS_pm.jun_SEK</vt:lpstr>
      <vt:lpstr>PS_pm.sen_EUR</vt:lpstr>
      <vt:lpstr>PS_pm.sen_SEK</vt:lpstr>
      <vt:lpstr>S3_archive.100_EUR</vt:lpstr>
      <vt:lpstr>S3_archive.100_SEK</vt:lpstr>
      <vt:lpstr>S3_archive.100_SUNET</vt:lpstr>
      <vt:lpstr>S3_archive.1000_EUR</vt:lpstr>
      <vt:lpstr>S3_archive.1000_SEK</vt:lpstr>
      <vt:lpstr>S3_archive.1000_SUNET</vt:lpstr>
      <vt:lpstr>S3_archive.50_EUR</vt:lpstr>
      <vt:lpstr>S3_archive.50_SEK</vt:lpstr>
      <vt:lpstr>S3_archive.50_SUNET</vt:lpstr>
      <vt:lpstr>S3_archive.500_EUR</vt:lpstr>
      <vt:lpstr>S3_archive.500_SEK</vt:lpstr>
      <vt:lpstr>S3_archive.500_SUNET</vt:lpstr>
      <vt:lpstr>S3_archive.quote_EUR</vt:lpstr>
      <vt:lpstr>S3_archive.quote_SEK</vt:lpstr>
      <vt:lpstr>S3_archive.quote_SUNET</vt:lpstr>
      <vt:lpstr>S3_archive100</vt:lpstr>
      <vt:lpstr>S3_storage.100_EUR</vt:lpstr>
      <vt:lpstr>S3_storage.100_SEK</vt:lpstr>
      <vt:lpstr>S3_storage.100_SUNET</vt:lpstr>
      <vt:lpstr>S3_storage.1000_EUR</vt:lpstr>
      <vt:lpstr>S3_storage.1000_SEK</vt:lpstr>
      <vt:lpstr>S3_storage.1000_SUNET</vt:lpstr>
      <vt:lpstr>S3_storage.50_EUR</vt:lpstr>
      <vt:lpstr>S3_storage.50_SEK</vt:lpstr>
      <vt:lpstr>S3_storage.50_SUNET</vt:lpstr>
      <vt:lpstr>S3_storage.500_EUR</vt:lpstr>
      <vt:lpstr>S3_storage.500_SEK</vt:lpstr>
      <vt:lpstr>S3_storage.500_SUNET</vt:lpstr>
      <vt:lpstr>S3_storage.quote_EUR</vt:lpstr>
      <vt:lpstr>S3_storage.quote_SEK</vt:lpstr>
      <vt:lpstr>S3_storage.quote_SUNET</vt:lpstr>
      <vt:lpstr>S3_storage100_EUR</vt:lpstr>
      <vt:lpstr>S3_storage100_SEK</vt:lpstr>
      <vt:lpstr>S3_storage1000_EUR</vt:lpstr>
      <vt:lpstr>S3_storage1000_SEK</vt:lpstr>
      <vt:lpstr>S3_storage50</vt:lpstr>
      <vt:lpstr>S3_storage50_EUR</vt:lpstr>
      <vt:lpstr>S3_storage50_SEK</vt:lpstr>
      <vt:lpstr>S3_storage500_EUR</vt:lpstr>
      <vt:lpstr>S3_storage500_SEK</vt:lpstr>
      <vt:lpstr>S3.archive.50</vt:lpstr>
      <vt:lpstr>Safespring.price.increase</vt:lpstr>
      <vt:lpstr>SEK</vt:lpstr>
      <vt:lpstr>sunet.price.increase</vt:lpstr>
      <vt:lpstr>SW_backup.ninja_EUR</vt:lpstr>
      <vt:lpstr>SW_backup.ninja_SEK</vt:lpstr>
      <vt:lpstr>SW_cluster.control_EUR</vt:lpstr>
      <vt:lpstr>SW_cluster.control_SEK</vt:lpstr>
      <vt:lpstr>SW_ms.sql.ser_EUR</vt:lpstr>
      <vt:lpstr>SW_ms.sql.ser_SEK</vt:lpstr>
      <vt:lpstr>SW_ms.sql.ser.ent_EUR</vt:lpstr>
      <vt:lpstr>SW_ms.sql.ser.ent_SEK</vt:lpstr>
      <vt:lpstr>SW_nextcloud_EUR</vt:lpstr>
      <vt:lpstr>SW_nextcloud_SEK</vt:lpstr>
      <vt:lpstr>SW_stackn_EUR</vt:lpstr>
      <vt:lpstr>SW_stackn_SEK</vt:lpstr>
      <vt:lpstr>SW_suse_EUR</vt:lpstr>
      <vt:lpstr>SW_suse_SEK</vt:lpstr>
      <vt:lpstr>SW_suse_SEUR</vt:lpstr>
      <vt:lpstr>SW_win.ser.201X_EUR</vt:lpstr>
      <vt:lpstr>SW_win.ser.201X_SEK</vt:lpstr>
      <vt:lpstr>'DKK - Safespring-tjenester 2025'!Utskriftsområde</vt:lpstr>
      <vt:lpstr>'EUR - Safespring services 2021'!Utskriftsområde</vt:lpstr>
      <vt:lpstr>'EUR - Safespring services 2025'!Utskriftsområde</vt:lpstr>
      <vt:lpstr>'NOK - Safespring tjenester 2025'!Utskriftsområde</vt:lpstr>
      <vt:lpstr>'NOK - Safesprings tjeneste 2021'!Utskriftsområde</vt:lpstr>
      <vt:lpstr>'SEK - Safesprings tjänster 2025'!Utskriftsområde</vt:lpstr>
      <vt:lpstr>'SUNET SEK - priser 2020'!Utskriftsområde</vt:lpstr>
      <vt:lpstr>VOLUME_fast_EUR</vt:lpstr>
      <vt:lpstr>VOLUME_fast_SEK</vt:lpstr>
      <vt:lpstr>VOLUME_fast_SUNET</vt:lpstr>
      <vt:lpstr>VOLUME_large_EUR</vt:lpstr>
      <vt:lpstr>VOLUME_large_SEK</vt:lpstr>
      <vt:lpstr>VOLUME_large_SUNET</vt:lpstr>
    </vt:vector>
  </TitlesOfParts>
  <Manager>Fredric Wallsten</Manager>
  <Company>Safespring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Safesprings priser 2020</dc:title>
  <dc:subject>Priskalkyl</dc:subject>
  <dc:creator>Petter Hylin</dc:creator>
  <dc:description/>
  <cp:lastModifiedBy>Marcus Boberg</cp:lastModifiedBy>
  <cp:revision>2</cp:revision>
  <dcterms:created xsi:type="dcterms:W3CDTF">2015-05-31T16:02:08Z</dcterms:created>
  <dcterms:modified xsi:type="dcterms:W3CDTF">2026-09-15T13:57:16Z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0x0101001C43B81DAFEB6E48968C393326E48C35</vt:lpwstr>
  </property>
</Properties>
</file>